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tışlar" sheetId="1" state="visible" r:id="rId3"/>
    <sheet name="Özet" sheetId="2" state="visible" r:id="rId4"/>
    <sheet name="Zincir" sheetId="3" state="visible" r:id="rId5"/>
    <sheet name="Gizli" sheetId="4" state="hidden" r:id="rId6"/>
  </sheets>
  <definedNames>
    <definedName function="false" hidden="false" name="Fiyatlar" vbProcedure="false">Satışlar!$D$3:$D$3002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Ürün adı (açıklama)</t>
        </r>
      </text>
    </comment>
  </commentList>
</comments>
</file>

<file path=xl/sharedStrings.xml><?xml version="1.0" encoding="utf-8"?>
<sst xmlns="http://schemas.openxmlformats.org/spreadsheetml/2006/main" count="6036" uniqueCount="51">
  <si>
    <t xml:space="preserve">2024 Satış Raporu — İĞÜŞÖÇ</t>
  </si>
  <si>
    <t xml:space="preserve">Ürün</t>
  </si>
  <si>
    <t xml:space="preserve">Şehir</t>
  </si>
  <si>
    <t xml:space="preserve">Adet</t>
  </si>
  <si>
    <t xml:space="preserve">Fiyat</t>
  </si>
  <si>
    <t xml:space="preserve">Tarih</t>
  </si>
  <si>
    <t xml:space="preserve">Tutar</t>
  </si>
  <si>
    <t xml:space="preserve">KDV</t>
  </si>
  <si>
    <t xml:space="preserve">Durum</t>
  </si>
  <si>
    <t xml:space="preserve">Döndürülmüş ve kaydırılmış uzun başlık metni</t>
  </si>
  <si>
    <t xml:space="preserve">Çay</t>
  </si>
  <si>
    <t xml:space="preserve">İstanbul</t>
  </si>
  <si>
    <t xml:space="preserve">Şeker</t>
  </si>
  <si>
    <t xml:space="preserve">Ankara</t>
  </si>
  <si>
    <t xml:space="preserve">Ğofret</t>
  </si>
  <si>
    <t xml:space="preserve">İzmir</t>
  </si>
  <si>
    <t xml:space="preserve">Kahve</t>
  </si>
  <si>
    <t xml:space="preserve">Bursa</t>
  </si>
  <si>
    <t xml:space="preserve">Süt</t>
  </si>
  <si>
    <t xml:space="preserve">Çanakkale</t>
  </si>
  <si>
    <t xml:space="preserve">Peynir</t>
  </si>
  <si>
    <t xml:space="preserve">Zeytin</t>
  </si>
  <si>
    <t xml:space="preserve">Ekmek</t>
  </si>
  <si>
    <t xml:space="preserve">Bal</t>
  </si>
  <si>
    <t xml:space="preserve">Un</t>
  </si>
  <si>
    <t xml:space="preserve">Toplam</t>
  </si>
  <si>
    <t xml:space="preserve">Ortalama</t>
  </si>
  <si>
    <t xml:space="preserve">Çay adedi</t>
  </si>
  <si>
    <t xml:space="preserve">Yüksek sayısı</t>
  </si>
  <si>
    <t xml:space="preserve">En büyük</t>
  </si>
  <si>
    <t xml:space="preserve">Genel toplam</t>
  </si>
  <si>
    <t xml:space="preserve">KDV dahil</t>
  </si>
  <si>
    <t xml:space="preserve">Ürün araması</t>
  </si>
  <si>
    <t xml:space="preserve">INDEX/MATCH</t>
  </si>
  <si>
    <t xml:space="preserve">Metin</t>
  </si>
  <si>
    <t xml:space="preserve">Büyük harf</t>
  </si>
  <si>
    <t xml:space="preserve">Tarih farkı</t>
  </si>
  <si>
    <t xml:space="preserve">SUMPRODUCT</t>
  </si>
  <si>
    <t xml:space="preserve">IFERROR</t>
  </si>
  <si>
    <t xml:space="preserve">Ortalama (adlı)</t>
  </si>
  <si>
    <t xml:space="preserve">Yuvarla</t>
  </si>
  <si>
    <t xml:space="preserve">Mantık</t>
  </si>
  <si>
    <t xml:space="preserve">Ay adı</t>
  </si>
  <si>
    <t xml:space="preserve">Bölü sıfır</t>
  </si>
  <si>
    <t xml:space="preserve">Bulunamadı</t>
  </si>
  <si>
    <t xml:space="preserve">Std sapma</t>
  </si>
  <si>
    <t xml:space="preserve">Medyan</t>
  </si>
  <si>
    <t xml:space="preserve">Mantıksal değer</t>
  </si>
  <si>
    <t xml:space="preserve">3x3 birleşik</t>
  </si>
  <si>
    <t xml:space="preserve">Dikey birleşik</t>
  </si>
  <si>
    <t xml:space="preserve">gizli sayfa verisi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</si>
</sst>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#,##0.00&quot; TL&quot;"/>
    <numFmt numFmtId="166" formatCode="[$-409]dd\.mm\.yyyy"/>
    <numFmt numFmtId="167" formatCode="[$-409]#,##0.00"/>
    <numFmt numFmtId="168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4586"/>
      </patternFill>
    </fill>
    <fill>
      <patternFill patternType="solid">
        <fgColor rgb="FFDDEBF7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404040"/>
      </left>
      <right style="hair">
        <color rgb="FF404040"/>
      </right>
      <top style="hair">
        <color rgb="FF404040"/>
      </top>
      <bottom style="hair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45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ont>
        <b val="1"/>
      </font>
      <fill>
        <patternFill>
          <bgColor rgb="FFDDDDDD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Grafik1 başlığı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Satışlar!$D$2</c:f>
              <c:strCache>
                <c:ptCount val="1"/>
                <c:pt idx="0">
                  <c:v>Fiyat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Satışlar!$C$3:$C$12</c:f>
              <c:strCache>
                <c:ptCount val="10"/>
                <c:pt idx="0">
                  <c:v>1</c:v>
                </c:pt>
                <c:pt idx="1">
                  <c:v>8</c:v>
                </c:pt>
                <c:pt idx="2">
                  <c:v>15</c:v>
                </c:pt>
                <c:pt idx="3">
                  <c:v>22</c:v>
                </c:pt>
                <c:pt idx="4">
                  <c:v>29</c:v>
                </c:pt>
                <c:pt idx="5">
                  <c:v>36</c:v>
                </c:pt>
                <c:pt idx="6">
                  <c:v>43</c:v>
                </c:pt>
                <c:pt idx="7">
                  <c:v>50</c:v>
                </c:pt>
                <c:pt idx="8">
                  <c:v>7</c:v>
                </c:pt>
                <c:pt idx="9">
                  <c:v>14</c:v>
                </c:pt>
              </c:strCache>
            </c:strRef>
          </c:cat>
          <c:val>
            <c:numRef>
              <c:f>Satışlar!$D$3:$D$12</c:f>
              <c:numCache>
                <c:formatCode>[$-409]#,##0.00" TL"</c:formatCode>
                <c:ptCount val="10"/>
                <c:pt idx="0">
                  <c:v>5</c:v>
                </c:pt>
                <c:pt idx="1">
                  <c:v>7.75</c:v>
                </c:pt>
                <c:pt idx="2">
                  <c:v>10.5</c:v>
                </c:pt>
                <c:pt idx="3">
                  <c:v>13.25</c:v>
                </c:pt>
                <c:pt idx="4">
                  <c:v>16</c:v>
                </c:pt>
                <c:pt idx="5">
                  <c:v>18.75</c:v>
                </c:pt>
                <c:pt idx="6">
                  <c:v>21.5</c:v>
                </c:pt>
                <c:pt idx="7">
                  <c:v>24.25</c:v>
                </c:pt>
                <c:pt idx="8">
                  <c:v>27</c:v>
                </c:pt>
                <c:pt idx="9">
                  <c:v>29.75</c:v>
                </c:pt>
              </c:numCache>
            </c:numRef>
          </c:val>
        </c:ser>
        <c:gapWidth val="100"/>
        <c:overlap val="0"/>
        <c:axId val="31323737"/>
        <c:axId val="2354519"/>
      </c:barChart>
      <c:catAx>
        <c:axId val="3132373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354519"/>
        <c:crosses val="autoZero"/>
        <c:auto val="1"/>
        <c:lblAlgn val="ctr"/>
        <c:lblOffset val="100"/>
        <c:noMultiLvlLbl val="0"/>
      </c:catAx>
      <c:valAx>
        <c:axId val="23545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.00&quot; TL&quot;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1323737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Cizgi başlığı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Satışlar!$G$2</c:f>
              <c:strCache>
                <c:ptCount val="1"/>
                <c:pt idx="0">
                  <c:v>KDV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Satışlar!$F$3:$F$20</c:f>
              <c:strCache>
                <c:ptCount val="18"/>
                <c:pt idx="0">
                  <c:v>5.00</c:v>
                </c:pt>
                <c:pt idx="1">
                  <c:v>62.00</c:v>
                </c:pt>
                <c:pt idx="2">
                  <c:v>157.50</c:v>
                </c:pt>
                <c:pt idx="3">
                  <c:v>291.50</c:v>
                </c:pt>
                <c:pt idx="4">
                  <c:v>464.00</c:v>
                </c:pt>
                <c:pt idx="5">
                  <c:v>675.00</c:v>
                </c:pt>
                <c:pt idx="6">
                  <c:v>924.50</c:v>
                </c:pt>
                <c:pt idx="7">
                  <c:v>1,212.50</c:v>
                </c:pt>
                <c:pt idx="8">
                  <c:v>189.00</c:v>
                </c:pt>
                <c:pt idx="9">
                  <c:v>416.50</c:v>
                </c:pt>
                <c:pt idx="10">
                  <c:v>682.50</c:v>
                </c:pt>
                <c:pt idx="11">
                  <c:v>987.00</c:v>
                </c:pt>
                <c:pt idx="12">
                  <c:v>1,330.00</c:v>
                </c:pt>
                <c:pt idx="13">
                  <c:v>210.00</c:v>
                </c:pt>
                <c:pt idx="14">
                  <c:v>379.75</c:v>
                </c:pt>
                <c:pt idx="15">
                  <c:v>63.00</c:v>
                </c:pt>
                <c:pt idx="16">
                  <c:v>172.25</c:v>
                </c:pt>
                <c:pt idx="17">
                  <c:v>320.00</c:v>
                </c:pt>
              </c:strCache>
            </c:strRef>
          </c:cat>
          <c:val>
            <c:numRef>
              <c:f>Satışlar!$G$3:$G$20</c:f>
              <c:numCache>
                <c:formatCode>[$-409]#,##0.00</c:formatCode>
                <c:ptCount val="18"/>
                <c:pt idx="0">
                  <c:v>1</c:v>
                </c:pt>
                <c:pt idx="1">
                  <c:v>12.4</c:v>
                </c:pt>
                <c:pt idx="2">
                  <c:v>31.5</c:v>
                </c:pt>
                <c:pt idx="3">
                  <c:v>58.3</c:v>
                </c:pt>
                <c:pt idx="4">
                  <c:v>92.8</c:v>
                </c:pt>
                <c:pt idx="5">
                  <c:v>135</c:v>
                </c:pt>
                <c:pt idx="6">
                  <c:v>184.9</c:v>
                </c:pt>
                <c:pt idx="7">
                  <c:v>242.5</c:v>
                </c:pt>
                <c:pt idx="8">
                  <c:v>37.8</c:v>
                </c:pt>
                <c:pt idx="9">
                  <c:v>83.3</c:v>
                </c:pt>
                <c:pt idx="10">
                  <c:v>136.5</c:v>
                </c:pt>
                <c:pt idx="11">
                  <c:v>197.4</c:v>
                </c:pt>
                <c:pt idx="12">
                  <c:v>266</c:v>
                </c:pt>
                <c:pt idx="13">
                  <c:v>42</c:v>
                </c:pt>
                <c:pt idx="14">
                  <c:v>75.95</c:v>
                </c:pt>
                <c:pt idx="15">
                  <c:v>12.6</c:v>
                </c:pt>
                <c:pt idx="16">
                  <c:v>34.45</c:v>
                </c:pt>
                <c:pt idx="17">
                  <c:v>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003911"/>
        <c:axId val="8985178"/>
      </c:lineChart>
      <c:catAx>
        <c:axId val="29003911"/>
        <c:scaling>
          <c:orientation val="minMax"/>
        </c:scaling>
        <c:delete val="0"/>
        <c:axPos val="b"/>
        <c:numFmt formatCode="[$-4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985178"/>
        <c:crosses val="autoZero"/>
        <c:auto val="1"/>
        <c:lblAlgn val="ctr"/>
        <c:lblOffset val="100"/>
        <c:noMultiLvlLbl val="0"/>
      </c:catAx>
      <c:valAx>
        <c:axId val="89851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9003911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Pasta başlığı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Özet!$B$1</c:f>
              <c:strCache>
                <c:ptCount val="1"/>
                <c:pt idx="0">
                  <c:v>1,643,677.50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Özet!$A$2:$A$3</c:f>
              <c:strCache>
                <c:ptCount val="2"/>
                <c:pt idx="0">
                  <c:v>KDV dahil</c:v>
                </c:pt>
                <c:pt idx="1">
                  <c:v>Ürün araması</c:v>
                </c:pt>
              </c:strCache>
            </c:strRef>
          </c:cat>
          <c:val>
            <c:numRef>
              <c:f>Özet!$B$2:$B$3</c:f>
              <c:numCache>
                <c:formatCode>[$-409]General</c:formatCode>
                <c:ptCount val="2"/>
                <c:pt idx="0">
                  <c:v>1972413</c:v>
                </c:pt>
                <c:pt idx="1">
                  <c:v>291.5</c:v>
                </c:pt>
              </c:numCache>
            </c:numRef>
          </c:val>
        </c:ser>
        <c:firstSliceAng val="0"/>
      </c:pieChart>
      <c:spPr>
        <a:solidFill>
          <a:srgbClr val="d9d9d9"/>
        </a:solidFill>
        <a:ln w="0">
          <a:noFill/>
        </a:ln>
      </c:spPr>
    </c:plotArea>
    <c:plotVisOnly val="0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576360</xdr:colOff>
      <xdr:row>1</xdr:row>
      <xdr:rowOff>36000</xdr:rowOff>
    </xdr:from>
    <xdr:to>
      <xdr:col>14</xdr:col>
      <xdr:colOff>39960</xdr:colOff>
      <xdr:row>14</xdr:row>
      <xdr:rowOff>27000</xdr:rowOff>
    </xdr:to>
    <xdr:graphicFrame>
      <xdr:nvGraphicFramePr>
        <xdr:cNvPr id="0" name=""/>
        <xdr:cNvGraphicFramePr/>
      </xdr:nvGraphicFramePr>
      <xdr:xfrm>
        <a:off x="7200000" y="360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576360</xdr:colOff>
      <xdr:row>17</xdr:row>
      <xdr:rowOff>79560</xdr:rowOff>
    </xdr:from>
    <xdr:to>
      <xdr:col>14</xdr:col>
      <xdr:colOff>39960</xdr:colOff>
      <xdr:row>34</xdr:row>
      <xdr:rowOff>15840</xdr:rowOff>
    </xdr:to>
    <xdr:graphicFrame>
      <xdr:nvGraphicFramePr>
        <xdr:cNvPr id="1" name=""/>
        <xdr:cNvGraphicFramePr/>
      </xdr:nvGraphicFramePr>
      <xdr:xfrm>
        <a:off x="7200000" y="3600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441720</xdr:colOff>
      <xdr:row>2</xdr:row>
      <xdr:rowOff>34920</xdr:rowOff>
    </xdr:from>
    <xdr:to>
      <xdr:col>8</xdr:col>
      <xdr:colOff>697320</xdr:colOff>
      <xdr:row>18</xdr:row>
      <xdr:rowOff>133560</xdr:rowOff>
    </xdr:to>
    <xdr:graphicFrame>
      <xdr:nvGraphicFramePr>
        <xdr:cNvPr id="2" name=""/>
        <xdr:cNvGraphicFramePr/>
      </xdr:nvGraphicFramePr>
      <xdr:xfrm>
        <a:off x="2880000" y="360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Veri" displayName="Veri" ref="A2:H3002" headerRowCount="1" totalsRowCount="0" totalsRowShown="0">
  <autoFilter ref="A2:H3002"/>
  <tableColumns count="8">
    <tableColumn id="1" name="Ürün"/>
    <tableColumn id="2" name="Şehir"/>
    <tableColumn id="3" name="Adet"/>
    <tableColumn id="4" name="Fiyat"/>
    <tableColumn id="5" name="Tarih"/>
    <tableColumn id="6" name="Tutar"/>
    <tableColumn id="7" name="KDV"/>
    <tableColumn id="8" name="Durum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4"/>
    <col collapsed="false" customWidth="true" hidden="false" outlineLevel="0" max="2" min="2" style="0" width="15.32"/>
    <col collapsed="false" customWidth="true" hidden="false" outlineLevel="0" max="3" min="3" style="0" width="9.19"/>
    <col collapsed="false" customWidth="true" hidden="false" outlineLevel="0" max="5" min="4" style="0" width="13.28"/>
    <col collapsed="false" customWidth="true" hidden="false" outlineLevel="0" max="6" min="6" style="0" width="14.3"/>
    <col collapsed="false" customWidth="true" hidden="false" outlineLevel="0" max="7" min="7" style="0" width="12.26"/>
    <col collapsed="false" customWidth="true" hidden="false" outlineLevel="0" max="8" min="8" style="0" width="11.24"/>
    <col collapsed="false" customWidth="false" hidden="true" outlineLevel="0" max="11" min="11" style="0" width="11.5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59.7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3" t="s">
        <v>9</v>
      </c>
    </row>
    <row r="3" customFormat="false" ht="12.8" hidden="false" customHeight="false" outlineLevel="0" collapsed="false">
      <c r="A3" s="4" t="s">
        <v>10</v>
      </c>
      <c r="B3" s="4" t="s">
        <v>11</v>
      </c>
      <c r="C3" s="4" t="n">
        <v>1</v>
      </c>
      <c r="D3" s="5" t="n">
        <v>5</v>
      </c>
      <c r="E3" s="6" t="n">
        <f aca="false">DATE(2024,1,1)</f>
        <v>45292</v>
      </c>
      <c r="F3" s="7" t="n">
        <f aca="false">C3*D3</f>
        <v>5</v>
      </c>
      <c r="G3" s="7" t="n">
        <f aca="false">ROUND(F3*0.2,2)</f>
        <v>1</v>
      </c>
      <c r="H3" s="4" t="str">
        <f aca="false">IF(F3&gt;500,"Yüksek",IF(F3&gt;100,"Orta","Düşük"))</f>
        <v>Düşük</v>
      </c>
    </row>
    <row r="4" customFormat="false" ht="12.8" hidden="false" customHeight="false" outlineLevel="0" collapsed="false">
      <c r="A4" s="4" t="s">
        <v>12</v>
      </c>
      <c r="B4" s="4" t="s">
        <v>13</v>
      </c>
      <c r="C4" s="4" t="n">
        <v>8</v>
      </c>
      <c r="D4" s="5" t="n">
        <v>7.75</v>
      </c>
      <c r="E4" s="6" t="n">
        <f aca="false">DATE(2024,2,2)</f>
        <v>45324</v>
      </c>
      <c r="F4" s="7" t="n">
        <f aca="false">C4*D4</f>
        <v>62</v>
      </c>
      <c r="G4" s="7" t="n">
        <f aca="false">ROUND(F4*0.2,2)</f>
        <v>12.4</v>
      </c>
      <c r="H4" s="4" t="str">
        <f aca="false">IF(F4&gt;500,"Yüksek",IF(F4&gt;100,"Orta","Düşük"))</f>
        <v>Düşük</v>
      </c>
    </row>
    <row r="5" customFormat="false" ht="12.8" hidden="false" customHeight="false" outlineLevel="0" collapsed="false">
      <c r="A5" s="4" t="s">
        <v>14</v>
      </c>
      <c r="B5" s="4" t="s">
        <v>15</v>
      </c>
      <c r="C5" s="4" t="n">
        <v>15</v>
      </c>
      <c r="D5" s="5" t="n">
        <v>10.5</v>
      </c>
      <c r="E5" s="6" t="n">
        <f aca="false">DATE(2024,3,3)</f>
        <v>45354</v>
      </c>
      <c r="F5" s="7" t="n">
        <f aca="false">C5*D5</f>
        <v>157.5</v>
      </c>
      <c r="G5" s="7" t="n">
        <f aca="false">ROUND(F5*0.2,2)</f>
        <v>31.5</v>
      </c>
      <c r="H5" s="4" t="str">
        <f aca="false">IF(F5&gt;500,"Yüksek",IF(F5&gt;100,"Orta","Düşük"))</f>
        <v>Orta</v>
      </c>
    </row>
    <row r="6" customFormat="false" ht="12.8" hidden="false" customHeight="false" outlineLevel="0" collapsed="false">
      <c r="A6" s="4" t="s">
        <v>16</v>
      </c>
      <c r="B6" s="4" t="s">
        <v>17</v>
      </c>
      <c r="C6" s="4" t="n">
        <v>22</v>
      </c>
      <c r="D6" s="5" t="n">
        <v>13.25</v>
      </c>
      <c r="E6" s="6" t="n">
        <f aca="false">DATE(2024,4,4)</f>
        <v>45386</v>
      </c>
      <c r="F6" s="7" t="n">
        <f aca="false">C6*D6</f>
        <v>291.5</v>
      </c>
      <c r="G6" s="7" t="n">
        <f aca="false">ROUND(F6*0.2,2)</f>
        <v>58.3</v>
      </c>
      <c r="H6" s="4" t="str">
        <f aca="false">IF(F6&gt;500,"Yüksek",IF(F6&gt;100,"Orta","Düşük"))</f>
        <v>Orta</v>
      </c>
    </row>
    <row r="7" customFormat="false" ht="12.8" hidden="false" customHeight="false" outlineLevel="0" collapsed="false">
      <c r="A7" s="4" t="s">
        <v>18</v>
      </c>
      <c r="B7" s="4" t="s">
        <v>19</v>
      </c>
      <c r="C7" s="4" t="n">
        <v>29</v>
      </c>
      <c r="D7" s="5" t="n">
        <v>16</v>
      </c>
      <c r="E7" s="6" t="n">
        <f aca="false">DATE(2024,5,5)</f>
        <v>45417</v>
      </c>
      <c r="F7" s="7" t="n">
        <f aca="false">C7*D7</f>
        <v>464</v>
      </c>
      <c r="G7" s="7" t="n">
        <f aca="false">ROUND(F7*0.2,2)</f>
        <v>92.8</v>
      </c>
      <c r="H7" s="4" t="str">
        <f aca="false">IF(F7&gt;500,"Yüksek",IF(F7&gt;100,"Orta","Düşük"))</f>
        <v>Orta</v>
      </c>
    </row>
    <row r="8" customFormat="false" ht="12.8" hidden="false" customHeight="false" outlineLevel="0" collapsed="false">
      <c r="A8" s="4" t="s">
        <v>20</v>
      </c>
      <c r="B8" s="4" t="s">
        <v>11</v>
      </c>
      <c r="C8" s="4" t="n">
        <v>36</v>
      </c>
      <c r="D8" s="5" t="n">
        <v>18.75</v>
      </c>
      <c r="E8" s="6" t="n">
        <f aca="false">DATE(2024,6,6)</f>
        <v>45449</v>
      </c>
      <c r="F8" s="7" t="n">
        <f aca="false">C8*D8</f>
        <v>675</v>
      </c>
      <c r="G8" s="7" t="n">
        <f aca="false">ROUND(F8*0.2,2)</f>
        <v>135</v>
      </c>
      <c r="H8" s="4" t="str">
        <f aca="false">IF(F8&gt;500,"Yüksek",IF(F8&gt;100,"Orta","Düşük"))</f>
        <v>Yüksek</v>
      </c>
    </row>
    <row r="9" customFormat="false" ht="12.8" hidden="false" customHeight="false" outlineLevel="0" collapsed="false">
      <c r="A9" s="4" t="s">
        <v>21</v>
      </c>
      <c r="B9" s="4" t="s">
        <v>13</v>
      </c>
      <c r="C9" s="4" t="n">
        <v>43</v>
      </c>
      <c r="D9" s="5" t="n">
        <v>21.5</v>
      </c>
      <c r="E9" s="6" t="n">
        <f aca="false">DATE(2024,7,7)</f>
        <v>45480</v>
      </c>
      <c r="F9" s="7" t="n">
        <f aca="false">C9*D9</f>
        <v>924.5</v>
      </c>
      <c r="G9" s="7" t="n">
        <f aca="false">ROUND(F9*0.2,2)</f>
        <v>184.9</v>
      </c>
      <c r="H9" s="4" t="str">
        <f aca="false">IF(F9&gt;500,"Yüksek",IF(F9&gt;100,"Orta","Düşük"))</f>
        <v>Yüksek</v>
      </c>
    </row>
    <row r="10" customFormat="false" ht="12.8" hidden="false" customHeight="false" outlineLevel="0" collapsed="false">
      <c r="A10" s="4" t="s">
        <v>22</v>
      </c>
      <c r="B10" s="4" t="s">
        <v>15</v>
      </c>
      <c r="C10" s="4" t="n">
        <v>50</v>
      </c>
      <c r="D10" s="5" t="n">
        <v>24.25</v>
      </c>
      <c r="E10" s="6" t="n">
        <f aca="false">DATE(2024,8,8)</f>
        <v>45512</v>
      </c>
      <c r="F10" s="7" t="n">
        <f aca="false">C10*D10</f>
        <v>1212.5</v>
      </c>
      <c r="G10" s="7" t="n">
        <f aca="false">ROUND(F10*0.2,2)</f>
        <v>242.5</v>
      </c>
      <c r="H10" s="4" t="str">
        <f aca="false">IF(F10&gt;500,"Yüksek",IF(F10&gt;100,"Orta","Düşük"))</f>
        <v>Yüksek</v>
      </c>
    </row>
    <row r="11" customFormat="false" ht="12.8" hidden="false" customHeight="false" outlineLevel="0" collapsed="false">
      <c r="A11" s="4" t="s">
        <v>23</v>
      </c>
      <c r="B11" s="4" t="s">
        <v>17</v>
      </c>
      <c r="C11" s="4" t="n">
        <v>7</v>
      </c>
      <c r="D11" s="5" t="n">
        <v>27</v>
      </c>
      <c r="E11" s="6" t="n">
        <f aca="false">DATE(2024,9,9)</f>
        <v>45544</v>
      </c>
      <c r="F11" s="7" t="n">
        <f aca="false">C11*D11</f>
        <v>189</v>
      </c>
      <c r="G11" s="7" t="n">
        <f aca="false">ROUND(F11*0.2,2)</f>
        <v>37.8</v>
      </c>
      <c r="H11" s="4" t="str">
        <f aca="false">IF(F11&gt;500,"Yüksek",IF(F11&gt;100,"Orta","Düşük"))</f>
        <v>Orta</v>
      </c>
    </row>
    <row r="12" customFormat="false" ht="12.8" hidden="false" customHeight="false" outlineLevel="0" collapsed="false">
      <c r="A12" s="4" t="s">
        <v>24</v>
      </c>
      <c r="B12" s="4" t="s">
        <v>19</v>
      </c>
      <c r="C12" s="4" t="n">
        <v>14</v>
      </c>
      <c r="D12" s="5" t="n">
        <v>29.75</v>
      </c>
      <c r="E12" s="6" t="n">
        <f aca="false">DATE(2024,10,10)</f>
        <v>45575</v>
      </c>
      <c r="F12" s="7" t="n">
        <f aca="false">C12*D12</f>
        <v>416.5</v>
      </c>
      <c r="G12" s="7" t="n">
        <f aca="false">ROUND(F12*0.2,2)</f>
        <v>83.3</v>
      </c>
      <c r="H12" s="4" t="str">
        <f aca="false">IF(F12&gt;500,"Yüksek",IF(F12&gt;100,"Orta","Düşük"))</f>
        <v>Orta</v>
      </c>
    </row>
    <row r="13" customFormat="false" ht="12.8" hidden="false" customHeight="false" outlineLevel="0" collapsed="false">
      <c r="A13" s="4" t="s">
        <v>10</v>
      </c>
      <c r="B13" s="4" t="s">
        <v>11</v>
      </c>
      <c r="C13" s="4" t="n">
        <v>21</v>
      </c>
      <c r="D13" s="5" t="n">
        <v>32.5</v>
      </c>
      <c r="E13" s="6" t="n">
        <f aca="false">DATE(2024,11,11)</f>
        <v>45607</v>
      </c>
      <c r="F13" s="7" t="n">
        <f aca="false">C13*D13</f>
        <v>682.5</v>
      </c>
      <c r="G13" s="7" t="n">
        <f aca="false">ROUND(F13*0.2,2)</f>
        <v>136.5</v>
      </c>
      <c r="H13" s="4" t="str">
        <f aca="false">IF(F13&gt;500,"Yüksek",IF(F13&gt;100,"Orta","Düşük"))</f>
        <v>Yüksek</v>
      </c>
    </row>
    <row r="14" customFormat="false" ht="12.8" hidden="false" customHeight="false" outlineLevel="0" collapsed="false">
      <c r="A14" s="4" t="s">
        <v>12</v>
      </c>
      <c r="B14" s="4" t="s">
        <v>13</v>
      </c>
      <c r="C14" s="4" t="n">
        <v>28</v>
      </c>
      <c r="D14" s="5" t="n">
        <v>35.25</v>
      </c>
      <c r="E14" s="6" t="n">
        <f aca="false">DATE(2024,12,12)</f>
        <v>45638</v>
      </c>
      <c r="F14" s="7" t="n">
        <f aca="false">C14*D14</f>
        <v>987</v>
      </c>
      <c r="G14" s="7" t="n">
        <f aca="false">ROUND(F14*0.2,2)</f>
        <v>197.4</v>
      </c>
      <c r="H14" s="4" t="str">
        <f aca="false">IF(F14&gt;500,"Yüksek",IF(F14&gt;100,"Orta","Düşük"))</f>
        <v>Yüksek</v>
      </c>
    </row>
    <row r="15" customFormat="false" ht="12.8" hidden="false" customHeight="false" outlineLevel="0" collapsed="false">
      <c r="A15" s="4" t="s">
        <v>14</v>
      </c>
      <c r="B15" s="4" t="s">
        <v>15</v>
      </c>
      <c r="C15" s="4" t="n">
        <v>35</v>
      </c>
      <c r="D15" s="5" t="n">
        <v>38</v>
      </c>
      <c r="E15" s="6" t="n">
        <f aca="false">DATE(2024,1,13)</f>
        <v>45304</v>
      </c>
      <c r="F15" s="7" t="n">
        <f aca="false">C15*D15</f>
        <v>1330</v>
      </c>
      <c r="G15" s="7" t="n">
        <f aca="false">ROUND(F15*0.2,2)</f>
        <v>266</v>
      </c>
      <c r="H15" s="4" t="str">
        <f aca="false">IF(F15&gt;500,"Yüksek",IF(F15&gt;100,"Orta","Düşük"))</f>
        <v>Yüksek</v>
      </c>
    </row>
    <row r="16" customFormat="false" ht="12.8" hidden="false" customHeight="false" outlineLevel="0" collapsed="false">
      <c r="A16" s="4" t="s">
        <v>16</v>
      </c>
      <c r="B16" s="4" t="s">
        <v>17</v>
      </c>
      <c r="C16" s="4" t="n">
        <v>42</v>
      </c>
      <c r="D16" s="5" t="n">
        <v>5</v>
      </c>
      <c r="E16" s="6" t="n">
        <f aca="false">DATE(2024,2,14)</f>
        <v>45336</v>
      </c>
      <c r="F16" s="7" t="n">
        <f aca="false">C16*D16</f>
        <v>210</v>
      </c>
      <c r="G16" s="7" t="n">
        <f aca="false">ROUND(F16*0.2,2)</f>
        <v>42</v>
      </c>
      <c r="H16" s="4" t="str">
        <f aca="false">IF(F16&gt;500,"Yüksek",IF(F16&gt;100,"Orta","Düşük"))</f>
        <v>Orta</v>
      </c>
    </row>
    <row r="17" customFormat="false" ht="12.8" hidden="false" customHeight="false" outlineLevel="0" collapsed="false">
      <c r="A17" s="4" t="s">
        <v>18</v>
      </c>
      <c r="B17" s="4" t="s">
        <v>19</v>
      </c>
      <c r="C17" s="4" t="n">
        <v>49</v>
      </c>
      <c r="D17" s="5" t="n">
        <v>7.75</v>
      </c>
      <c r="E17" s="6" t="n">
        <f aca="false">DATE(2024,3,15)</f>
        <v>45366</v>
      </c>
      <c r="F17" s="7" t="n">
        <f aca="false">C17*D17</f>
        <v>379.75</v>
      </c>
      <c r="G17" s="7" t="n">
        <f aca="false">ROUND(F17*0.2,2)</f>
        <v>75.95</v>
      </c>
      <c r="H17" s="4" t="str">
        <f aca="false">IF(F17&gt;500,"Yüksek",IF(F17&gt;100,"Orta","Düşük"))</f>
        <v>Orta</v>
      </c>
    </row>
    <row r="18" customFormat="false" ht="12.8" hidden="false" customHeight="false" outlineLevel="0" collapsed="false">
      <c r="A18" s="4" t="s">
        <v>20</v>
      </c>
      <c r="B18" s="4" t="s">
        <v>11</v>
      </c>
      <c r="C18" s="4" t="n">
        <v>6</v>
      </c>
      <c r="D18" s="5" t="n">
        <v>10.5</v>
      </c>
      <c r="E18" s="6" t="n">
        <f aca="false">DATE(2024,4,16)</f>
        <v>45398</v>
      </c>
      <c r="F18" s="7" t="n">
        <f aca="false">C18*D18</f>
        <v>63</v>
      </c>
      <c r="G18" s="7" t="n">
        <f aca="false">ROUND(F18*0.2,2)</f>
        <v>12.6</v>
      </c>
      <c r="H18" s="4" t="str">
        <f aca="false">IF(F18&gt;500,"Yüksek",IF(F18&gt;100,"Orta","Düşük"))</f>
        <v>Düşük</v>
      </c>
    </row>
    <row r="19" customFormat="false" ht="12.8" hidden="false" customHeight="false" outlineLevel="0" collapsed="false">
      <c r="A19" s="4" t="s">
        <v>21</v>
      </c>
      <c r="B19" s="4" t="s">
        <v>13</v>
      </c>
      <c r="C19" s="4" t="n">
        <v>13</v>
      </c>
      <c r="D19" s="5" t="n">
        <v>13.25</v>
      </c>
      <c r="E19" s="6" t="n">
        <f aca="false">DATE(2024,5,17)</f>
        <v>45429</v>
      </c>
      <c r="F19" s="7" t="n">
        <f aca="false">C19*D19</f>
        <v>172.25</v>
      </c>
      <c r="G19" s="7" t="n">
        <f aca="false">ROUND(F19*0.2,2)</f>
        <v>34.45</v>
      </c>
      <c r="H19" s="4" t="str">
        <f aca="false">IF(F19&gt;500,"Yüksek",IF(F19&gt;100,"Orta","Düşük"))</f>
        <v>Orta</v>
      </c>
    </row>
    <row r="20" customFormat="false" ht="12.8" hidden="false" customHeight="false" outlineLevel="0" collapsed="false">
      <c r="A20" s="4" t="s">
        <v>22</v>
      </c>
      <c r="B20" s="4" t="s">
        <v>15</v>
      </c>
      <c r="C20" s="4" t="n">
        <v>20</v>
      </c>
      <c r="D20" s="5" t="n">
        <v>16</v>
      </c>
      <c r="E20" s="6" t="n">
        <f aca="false">DATE(2024,6,18)</f>
        <v>45461</v>
      </c>
      <c r="F20" s="7" t="n">
        <f aca="false">C20*D20</f>
        <v>320</v>
      </c>
      <c r="G20" s="7" t="n">
        <f aca="false">ROUND(F20*0.2,2)</f>
        <v>64</v>
      </c>
      <c r="H20" s="4" t="str">
        <f aca="false">IF(F20&gt;500,"Yüksek",IF(F20&gt;100,"Orta","Düşük"))</f>
        <v>Orta</v>
      </c>
    </row>
    <row r="21" customFormat="false" ht="12.8" hidden="false" customHeight="false" outlineLevel="0" collapsed="false">
      <c r="A21" s="4" t="s">
        <v>23</v>
      </c>
      <c r="B21" s="4" t="s">
        <v>17</v>
      </c>
      <c r="C21" s="4" t="n">
        <v>27</v>
      </c>
      <c r="D21" s="5" t="n">
        <v>18.75</v>
      </c>
      <c r="E21" s="6" t="n">
        <f aca="false">DATE(2024,7,19)</f>
        <v>45492</v>
      </c>
      <c r="F21" s="7" t="n">
        <f aca="false">C21*D21</f>
        <v>506.25</v>
      </c>
      <c r="G21" s="7" t="n">
        <f aca="false">ROUND(F21*0.2,2)</f>
        <v>101.25</v>
      </c>
      <c r="H21" s="4" t="str">
        <f aca="false">IF(F21&gt;500,"Yüksek",IF(F21&gt;100,"Orta","Düşük"))</f>
        <v>Yüksek</v>
      </c>
    </row>
    <row r="22" customFormat="false" ht="12.8" hidden="false" customHeight="false" outlineLevel="0" collapsed="false">
      <c r="A22" s="4" t="s">
        <v>24</v>
      </c>
      <c r="B22" s="4" t="s">
        <v>19</v>
      </c>
      <c r="C22" s="4" t="n">
        <v>34</v>
      </c>
      <c r="D22" s="5" t="n">
        <v>21.5</v>
      </c>
      <c r="E22" s="6" t="n">
        <f aca="false">DATE(2024,8,20)</f>
        <v>45524</v>
      </c>
      <c r="F22" s="7" t="n">
        <f aca="false">C22*D22</f>
        <v>731</v>
      </c>
      <c r="G22" s="7" t="n">
        <f aca="false">ROUND(F22*0.2,2)</f>
        <v>146.2</v>
      </c>
      <c r="H22" s="4" t="str">
        <f aca="false">IF(F22&gt;500,"Yüksek",IF(F22&gt;100,"Orta","Düşük"))</f>
        <v>Yüksek</v>
      </c>
    </row>
    <row r="23" customFormat="false" ht="12.8" hidden="false" customHeight="false" outlineLevel="0" collapsed="false">
      <c r="A23" s="4" t="s">
        <v>10</v>
      </c>
      <c r="B23" s="4" t="s">
        <v>11</v>
      </c>
      <c r="C23" s="4" t="n">
        <v>41</v>
      </c>
      <c r="D23" s="5" t="n">
        <v>24.25</v>
      </c>
      <c r="E23" s="6" t="n">
        <f aca="false">DATE(2024,9,21)</f>
        <v>45556</v>
      </c>
      <c r="F23" s="7" t="n">
        <f aca="false">C23*D23</f>
        <v>994.25</v>
      </c>
      <c r="G23" s="7" t="n">
        <f aca="false">ROUND(F23*0.2,2)</f>
        <v>198.85</v>
      </c>
      <c r="H23" s="4" t="str">
        <f aca="false">IF(F23&gt;500,"Yüksek",IF(F23&gt;100,"Orta","Düşük"))</f>
        <v>Yüksek</v>
      </c>
    </row>
    <row r="24" customFormat="false" ht="12.8" hidden="false" customHeight="false" outlineLevel="0" collapsed="false">
      <c r="A24" s="4" t="s">
        <v>12</v>
      </c>
      <c r="B24" s="4" t="s">
        <v>13</v>
      </c>
      <c r="C24" s="4" t="n">
        <v>48</v>
      </c>
      <c r="D24" s="5" t="n">
        <v>27</v>
      </c>
      <c r="E24" s="6" t="n">
        <f aca="false">DATE(2024,10,22)</f>
        <v>45587</v>
      </c>
      <c r="F24" s="7" t="n">
        <f aca="false">C24*D24</f>
        <v>1296</v>
      </c>
      <c r="G24" s="7" t="n">
        <f aca="false">ROUND(F24*0.2,2)</f>
        <v>259.2</v>
      </c>
      <c r="H24" s="4" t="str">
        <f aca="false">IF(F24&gt;500,"Yüksek",IF(F24&gt;100,"Orta","Düşük"))</f>
        <v>Yüksek</v>
      </c>
    </row>
    <row r="25" customFormat="false" ht="12.8" hidden="false" customHeight="false" outlineLevel="0" collapsed="false">
      <c r="A25" s="4" t="s">
        <v>14</v>
      </c>
      <c r="B25" s="4" t="s">
        <v>15</v>
      </c>
      <c r="C25" s="4" t="n">
        <v>5</v>
      </c>
      <c r="D25" s="5" t="n">
        <v>29.75</v>
      </c>
      <c r="E25" s="6" t="n">
        <f aca="false">DATE(2024,11,23)</f>
        <v>45619</v>
      </c>
      <c r="F25" s="7" t="n">
        <f aca="false">C25*D25</f>
        <v>148.75</v>
      </c>
      <c r="G25" s="7" t="n">
        <f aca="false">ROUND(F25*0.2,2)</f>
        <v>29.75</v>
      </c>
      <c r="H25" s="4" t="str">
        <f aca="false">IF(F25&gt;500,"Yüksek",IF(F25&gt;100,"Orta","Düşük"))</f>
        <v>Orta</v>
      </c>
    </row>
    <row r="26" customFormat="false" ht="12.8" hidden="false" customHeight="false" outlineLevel="0" collapsed="false">
      <c r="A26" s="4" t="s">
        <v>16</v>
      </c>
      <c r="B26" s="4" t="s">
        <v>17</v>
      </c>
      <c r="C26" s="4" t="n">
        <v>12</v>
      </c>
      <c r="D26" s="5" t="n">
        <v>32.5</v>
      </c>
      <c r="E26" s="6" t="n">
        <f aca="false">DATE(2024,12,24)</f>
        <v>45650</v>
      </c>
      <c r="F26" s="7" t="n">
        <f aca="false">C26*D26</f>
        <v>390</v>
      </c>
      <c r="G26" s="7" t="n">
        <f aca="false">ROUND(F26*0.2,2)</f>
        <v>78</v>
      </c>
      <c r="H26" s="4" t="str">
        <f aca="false">IF(F26&gt;500,"Yüksek",IF(F26&gt;100,"Orta","Düşük"))</f>
        <v>Orta</v>
      </c>
    </row>
    <row r="27" customFormat="false" ht="12.8" hidden="false" customHeight="false" outlineLevel="0" collapsed="false">
      <c r="A27" s="4" t="s">
        <v>18</v>
      </c>
      <c r="B27" s="4" t="s">
        <v>19</v>
      </c>
      <c r="C27" s="4" t="n">
        <v>19</v>
      </c>
      <c r="D27" s="5" t="n">
        <v>35.25</v>
      </c>
      <c r="E27" s="6" t="n">
        <f aca="false">DATE(2024,1,25)</f>
        <v>45316</v>
      </c>
      <c r="F27" s="7" t="n">
        <f aca="false">C27*D27</f>
        <v>669.75</v>
      </c>
      <c r="G27" s="7" t="n">
        <f aca="false">ROUND(F27*0.2,2)</f>
        <v>133.95</v>
      </c>
      <c r="H27" s="4" t="str">
        <f aca="false">IF(F27&gt;500,"Yüksek",IF(F27&gt;100,"Orta","Düşük"))</f>
        <v>Yüksek</v>
      </c>
    </row>
    <row r="28" customFormat="false" ht="12.8" hidden="false" customHeight="false" outlineLevel="0" collapsed="false">
      <c r="A28" s="4" t="s">
        <v>20</v>
      </c>
      <c r="B28" s="4" t="s">
        <v>11</v>
      </c>
      <c r="C28" s="4" t="n">
        <v>26</v>
      </c>
      <c r="D28" s="5" t="n">
        <v>38</v>
      </c>
      <c r="E28" s="6" t="n">
        <f aca="false">DATE(2024,2,26)</f>
        <v>45348</v>
      </c>
      <c r="F28" s="7" t="n">
        <f aca="false">C28*D28</f>
        <v>988</v>
      </c>
      <c r="G28" s="7" t="n">
        <f aca="false">ROUND(F28*0.2,2)</f>
        <v>197.6</v>
      </c>
      <c r="H28" s="4" t="str">
        <f aca="false">IF(F28&gt;500,"Yüksek",IF(F28&gt;100,"Orta","Düşük"))</f>
        <v>Yüksek</v>
      </c>
    </row>
    <row r="29" customFormat="false" ht="12.8" hidden="false" customHeight="false" outlineLevel="0" collapsed="false">
      <c r="A29" s="4" t="s">
        <v>21</v>
      </c>
      <c r="B29" s="4" t="s">
        <v>13</v>
      </c>
      <c r="C29" s="4" t="n">
        <v>33</v>
      </c>
      <c r="D29" s="5" t="n">
        <v>5</v>
      </c>
      <c r="E29" s="6" t="n">
        <f aca="false">DATE(2024,3,27)</f>
        <v>45378</v>
      </c>
      <c r="F29" s="7" t="n">
        <f aca="false">C29*D29</f>
        <v>165</v>
      </c>
      <c r="G29" s="7" t="n">
        <f aca="false">ROUND(F29*0.2,2)</f>
        <v>33</v>
      </c>
      <c r="H29" s="4" t="str">
        <f aca="false">IF(F29&gt;500,"Yüksek",IF(F29&gt;100,"Orta","Düşük"))</f>
        <v>Orta</v>
      </c>
    </row>
    <row r="30" customFormat="false" ht="12.8" hidden="false" customHeight="false" outlineLevel="0" collapsed="false">
      <c r="A30" s="4" t="s">
        <v>22</v>
      </c>
      <c r="B30" s="4" t="s">
        <v>15</v>
      </c>
      <c r="C30" s="4" t="n">
        <v>40</v>
      </c>
      <c r="D30" s="5" t="n">
        <v>7.75</v>
      </c>
      <c r="E30" s="6" t="n">
        <f aca="false">DATE(2024,4,28)</f>
        <v>45410</v>
      </c>
      <c r="F30" s="7" t="n">
        <f aca="false">C30*D30</f>
        <v>310</v>
      </c>
      <c r="G30" s="7" t="n">
        <f aca="false">ROUND(F30*0.2,2)</f>
        <v>62</v>
      </c>
      <c r="H30" s="4" t="str">
        <f aca="false">IF(F30&gt;500,"Yüksek",IF(F30&gt;100,"Orta","Düşük"))</f>
        <v>Orta</v>
      </c>
    </row>
    <row r="31" customFormat="false" ht="12.8" hidden="false" customHeight="false" outlineLevel="0" collapsed="false">
      <c r="A31" s="4" t="s">
        <v>23</v>
      </c>
      <c r="B31" s="4" t="s">
        <v>17</v>
      </c>
      <c r="C31" s="4" t="n">
        <v>47</v>
      </c>
      <c r="D31" s="5" t="n">
        <v>10.5</v>
      </c>
      <c r="E31" s="6" t="n">
        <f aca="false">DATE(2024,5,1)</f>
        <v>45413</v>
      </c>
      <c r="F31" s="7" t="n">
        <f aca="false">C31*D31</f>
        <v>493.5</v>
      </c>
      <c r="G31" s="7" t="n">
        <f aca="false">ROUND(F31*0.2,2)</f>
        <v>98.7</v>
      </c>
      <c r="H31" s="4" t="str">
        <f aca="false">IF(F31&gt;500,"Yüksek",IF(F31&gt;100,"Orta","Düşük"))</f>
        <v>Orta</v>
      </c>
    </row>
    <row r="32" customFormat="false" ht="12.8" hidden="false" customHeight="false" outlineLevel="0" collapsed="false">
      <c r="A32" s="4" t="s">
        <v>24</v>
      </c>
      <c r="B32" s="4" t="s">
        <v>19</v>
      </c>
      <c r="C32" s="4" t="n">
        <v>4</v>
      </c>
      <c r="D32" s="5" t="n">
        <v>13.25</v>
      </c>
      <c r="E32" s="6" t="n">
        <f aca="false">DATE(2024,6,2)</f>
        <v>45445</v>
      </c>
      <c r="F32" s="7" t="n">
        <f aca="false">C32*D32</f>
        <v>53</v>
      </c>
      <c r="G32" s="7" t="n">
        <f aca="false">ROUND(F32*0.2,2)</f>
        <v>10.6</v>
      </c>
      <c r="H32" s="4" t="str">
        <f aca="false">IF(F32&gt;500,"Yüksek",IF(F32&gt;100,"Orta","Düşük"))</f>
        <v>Düşük</v>
      </c>
    </row>
    <row r="33" customFormat="false" ht="12.8" hidden="false" customHeight="false" outlineLevel="0" collapsed="false">
      <c r="A33" s="4" t="s">
        <v>10</v>
      </c>
      <c r="B33" s="4" t="s">
        <v>11</v>
      </c>
      <c r="C33" s="4" t="n">
        <v>11</v>
      </c>
      <c r="D33" s="5" t="n">
        <v>16</v>
      </c>
      <c r="E33" s="6" t="n">
        <f aca="false">DATE(2024,7,3)</f>
        <v>45476</v>
      </c>
      <c r="F33" s="7" t="n">
        <f aca="false">C33*D33</f>
        <v>176</v>
      </c>
      <c r="G33" s="7" t="n">
        <f aca="false">ROUND(F33*0.2,2)</f>
        <v>35.2</v>
      </c>
      <c r="H33" s="4" t="str">
        <f aca="false">IF(F33&gt;500,"Yüksek",IF(F33&gt;100,"Orta","Düşük"))</f>
        <v>Orta</v>
      </c>
    </row>
    <row r="34" customFormat="false" ht="12.8" hidden="false" customHeight="false" outlineLevel="0" collapsed="false">
      <c r="A34" s="4" t="s">
        <v>12</v>
      </c>
      <c r="B34" s="4" t="s">
        <v>13</v>
      </c>
      <c r="C34" s="4" t="n">
        <v>18</v>
      </c>
      <c r="D34" s="5" t="n">
        <v>18.75</v>
      </c>
      <c r="E34" s="6" t="n">
        <f aca="false">DATE(2024,8,4)</f>
        <v>45508</v>
      </c>
      <c r="F34" s="7" t="n">
        <f aca="false">C34*D34</f>
        <v>337.5</v>
      </c>
      <c r="G34" s="7" t="n">
        <f aca="false">ROUND(F34*0.2,2)</f>
        <v>67.5</v>
      </c>
      <c r="H34" s="4" t="str">
        <f aca="false">IF(F34&gt;500,"Yüksek",IF(F34&gt;100,"Orta","Düşük"))</f>
        <v>Orta</v>
      </c>
    </row>
    <row r="35" customFormat="false" ht="12.8" hidden="false" customHeight="false" outlineLevel="0" collapsed="false">
      <c r="A35" s="4" t="s">
        <v>14</v>
      </c>
      <c r="B35" s="4" t="s">
        <v>15</v>
      </c>
      <c r="C35" s="4" t="n">
        <v>25</v>
      </c>
      <c r="D35" s="5" t="n">
        <v>21.5</v>
      </c>
      <c r="E35" s="6" t="n">
        <f aca="false">DATE(2024,9,5)</f>
        <v>45540</v>
      </c>
      <c r="F35" s="7" t="n">
        <f aca="false">C35*D35</f>
        <v>537.5</v>
      </c>
      <c r="G35" s="7" t="n">
        <f aca="false">ROUND(F35*0.2,2)</f>
        <v>107.5</v>
      </c>
      <c r="H35" s="4" t="str">
        <f aca="false">IF(F35&gt;500,"Yüksek",IF(F35&gt;100,"Orta","Düşük"))</f>
        <v>Yüksek</v>
      </c>
    </row>
    <row r="36" customFormat="false" ht="12.8" hidden="false" customHeight="false" outlineLevel="0" collapsed="false">
      <c r="A36" s="4" t="s">
        <v>16</v>
      </c>
      <c r="B36" s="4" t="s">
        <v>17</v>
      </c>
      <c r="C36" s="4" t="n">
        <v>32</v>
      </c>
      <c r="D36" s="5" t="n">
        <v>24.25</v>
      </c>
      <c r="E36" s="6" t="n">
        <f aca="false">DATE(2024,10,6)</f>
        <v>45571</v>
      </c>
      <c r="F36" s="7" t="n">
        <f aca="false">C36*D36</f>
        <v>776</v>
      </c>
      <c r="G36" s="7" t="n">
        <f aca="false">ROUND(F36*0.2,2)</f>
        <v>155.2</v>
      </c>
      <c r="H36" s="4" t="str">
        <f aca="false">IF(F36&gt;500,"Yüksek",IF(F36&gt;100,"Orta","Düşük"))</f>
        <v>Yüksek</v>
      </c>
    </row>
    <row r="37" customFormat="false" ht="12.8" hidden="false" customHeight="false" outlineLevel="0" collapsed="false">
      <c r="A37" s="4" t="s">
        <v>18</v>
      </c>
      <c r="B37" s="4" t="s">
        <v>19</v>
      </c>
      <c r="C37" s="4" t="n">
        <v>39</v>
      </c>
      <c r="D37" s="5" t="n">
        <v>27</v>
      </c>
      <c r="E37" s="6" t="n">
        <f aca="false">DATE(2024,11,7)</f>
        <v>45603</v>
      </c>
      <c r="F37" s="7" t="n">
        <f aca="false">C37*D37</f>
        <v>1053</v>
      </c>
      <c r="G37" s="7" t="n">
        <f aca="false">ROUND(F37*0.2,2)</f>
        <v>210.6</v>
      </c>
      <c r="H37" s="4" t="str">
        <f aca="false">IF(F37&gt;500,"Yüksek",IF(F37&gt;100,"Orta","Düşük"))</f>
        <v>Yüksek</v>
      </c>
    </row>
    <row r="38" customFormat="false" ht="12.8" hidden="false" customHeight="false" outlineLevel="0" collapsed="false">
      <c r="A38" s="4" t="s">
        <v>20</v>
      </c>
      <c r="B38" s="4" t="s">
        <v>11</v>
      </c>
      <c r="C38" s="4" t="n">
        <v>46</v>
      </c>
      <c r="D38" s="5" t="n">
        <v>29.75</v>
      </c>
      <c r="E38" s="6" t="n">
        <f aca="false">DATE(2024,12,8)</f>
        <v>45634</v>
      </c>
      <c r="F38" s="7" t="n">
        <f aca="false">C38*D38</f>
        <v>1368.5</v>
      </c>
      <c r="G38" s="7" t="n">
        <f aca="false">ROUND(F38*0.2,2)</f>
        <v>273.7</v>
      </c>
      <c r="H38" s="4" t="str">
        <f aca="false">IF(F38&gt;500,"Yüksek",IF(F38&gt;100,"Orta","Düşük"))</f>
        <v>Yüksek</v>
      </c>
    </row>
    <row r="39" customFormat="false" ht="12.8" hidden="false" customHeight="false" outlineLevel="0" collapsed="false">
      <c r="A39" s="4" t="s">
        <v>21</v>
      </c>
      <c r="B39" s="4" t="s">
        <v>13</v>
      </c>
      <c r="C39" s="4" t="n">
        <v>3</v>
      </c>
      <c r="D39" s="5" t="n">
        <v>32.5</v>
      </c>
      <c r="E39" s="6" t="n">
        <f aca="false">DATE(2024,1,9)</f>
        <v>45300</v>
      </c>
      <c r="F39" s="7" t="n">
        <f aca="false">C39*D39</f>
        <v>97.5</v>
      </c>
      <c r="G39" s="7" t="n">
        <f aca="false">ROUND(F39*0.2,2)</f>
        <v>19.5</v>
      </c>
      <c r="H39" s="4" t="str">
        <f aca="false">IF(F39&gt;500,"Yüksek",IF(F39&gt;100,"Orta","Düşük"))</f>
        <v>Düşük</v>
      </c>
    </row>
    <row r="40" customFormat="false" ht="12.8" hidden="false" customHeight="false" outlineLevel="0" collapsed="false">
      <c r="A40" s="4" t="s">
        <v>22</v>
      </c>
      <c r="B40" s="4" t="s">
        <v>15</v>
      </c>
      <c r="C40" s="4" t="n">
        <v>10</v>
      </c>
      <c r="D40" s="5" t="n">
        <v>35.25</v>
      </c>
      <c r="E40" s="6" t="n">
        <f aca="false">DATE(2024,2,10)</f>
        <v>45332</v>
      </c>
      <c r="F40" s="7" t="n">
        <f aca="false">C40*D40</f>
        <v>352.5</v>
      </c>
      <c r="G40" s="7" t="n">
        <f aca="false">ROUND(F40*0.2,2)</f>
        <v>70.5</v>
      </c>
      <c r="H40" s="4" t="str">
        <f aca="false">IF(F40&gt;500,"Yüksek",IF(F40&gt;100,"Orta","Düşük"))</f>
        <v>Orta</v>
      </c>
    </row>
    <row r="41" customFormat="false" ht="12.8" hidden="false" customHeight="false" outlineLevel="0" collapsed="false">
      <c r="A41" s="4" t="s">
        <v>23</v>
      </c>
      <c r="B41" s="4" t="s">
        <v>17</v>
      </c>
      <c r="C41" s="4" t="n">
        <v>17</v>
      </c>
      <c r="D41" s="5" t="n">
        <v>38</v>
      </c>
      <c r="E41" s="6" t="n">
        <f aca="false">DATE(2024,3,11)</f>
        <v>45362</v>
      </c>
      <c r="F41" s="7" t="n">
        <f aca="false">C41*D41</f>
        <v>646</v>
      </c>
      <c r="G41" s="7" t="n">
        <f aca="false">ROUND(F41*0.2,2)</f>
        <v>129.2</v>
      </c>
      <c r="H41" s="4" t="str">
        <f aca="false">IF(F41&gt;500,"Yüksek",IF(F41&gt;100,"Orta","Düşük"))</f>
        <v>Yüksek</v>
      </c>
    </row>
    <row r="42" customFormat="false" ht="12.8" hidden="false" customHeight="false" outlineLevel="0" collapsed="false">
      <c r="A42" s="4" t="s">
        <v>24</v>
      </c>
      <c r="B42" s="4" t="s">
        <v>19</v>
      </c>
      <c r="C42" s="4" t="n">
        <v>24</v>
      </c>
      <c r="D42" s="5" t="n">
        <v>5</v>
      </c>
      <c r="E42" s="6" t="n">
        <f aca="false">DATE(2024,4,12)</f>
        <v>45394</v>
      </c>
      <c r="F42" s="7" t="n">
        <f aca="false">C42*D42</f>
        <v>120</v>
      </c>
      <c r="G42" s="7" t="n">
        <f aca="false">ROUND(F42*0.2,2)</f>
        <v>24</v>
      </c>
      <c r="H42" s="4" t="str">
        <f aca="false">IF(F42&gt;500,"Yüksek",IF(F42&gt;100,"Orta","Düşük"))</f>
        <v>Orta</v>
      </c>
    </row>
    <row r="43" customFormat="false" ht="12.8" hidden="false" customHeight="false" outlineLevel="0" collapsed="false">
      <c r="A43" s="4" t="s">
        <v>10</v>
      </c>
      <c r="B43" s="4" t="s">
        <v>11</v>
      </c>
      <c r="C43" s="4" t="n">
        <v>31</v>
      </c>
      <c r="D43" s="5" t="n">
        <v>7.75</v>
      </c>
      <c r="E43" s="6" t="n">
        <f aca="false">DATE(2024,5,13)</f>
        <v>45425</v>
      </c>
      <c r="F43" s="7" t="n">
        <f aca="false">C43*D43</f>
        <v>240.25</v>
      </c>
      <c r="G43" s="7" t="n">
        <f aca="false">ROUND(F43*0.2,2)</f>
        <v>48.05</v>
      </c>
      <c r="H43" s="4" t="str">
        <f aca="false">IF(F43&gt;500,"Yüksek",IF(F43&gt;100,"Orta","Düşük"))</f>
        <v>Orta</v>
      </c>
    </row>
    <row r="44" customFormat="false" ht="12.8" hidden="false" customHeight="false" outlineLevel="0" collapsed="false">
      <c r="A44" s="4" t="s">
        <v>12</v>
      </c>
      <c r="B44" s="4" t="s">
        <v>13</v>
      </c>
      <c r="C44" s="4" t="n">
        <v>38</v>
      </c>
      <c r="D44" s="5" t="n">
        <v>10.5</v>
      </c>
      <c r="E44" s="6" t="n">
        <f aca="false">DATE(2024,6,14)</f>
        <v>45457</v>
      </c>
      <c r="F44" s="7" t="n">
        <f aca="false">C44*D44</f>
        <v>399</v>
      </c>
      <c r="G44" s="7" t="n">
        <f aca="false">ROUND(F44*0.2,2)</f>
        <v>79.8</v>
      </c>
      <c r="H44" s="4" t="str">
        <f aca="false">IF(F44&gt;500,"Yüksek",IF(F44&gt;100,"Orta","Düşük"))</f>
        <v>Orta</v>
      </c>
    </row>
    <row r="45" customFormat="false" ht="12.8" hidden="false" customHeight="false" outlineLevel="0" collapsed="false">
      <c r="A45" s="4" t="s">
        <v>14</v>
      </c>
      <c r="B45" s="4" t="s">
        <v>15</v>
      </c>
      <c r="C45" s="4" t="n">
        <v>45</v>
      </c>
      <c r="D45" s="5" t="n">
        <v>13.25</v>
      </c>
      <c r="E45" s="6" t="n">
        <f aca="false">DATE(2024,7,15)</f>
        <v>45488</v>
      </c>
      <c r="F45" s="7" t="n">
        <f aca="false">C45*D45</f>
        <v>596.25</v>
      </c>
      <c r="G45" s="7" t="n">
        <f aca="false">ROUND(F45*0.2,2)</f>
        <v>119.25</v>
      </c>
      <c r="H45" s="4" t="str">
        <f aca="false">IF(F45&gt;500,"Yüksek",IF(F45&gt;100,"Orta","Düşük"))</f>
        <v>Yüksek</v>
      </c>
    </row>
    <row r="46" customFormat="false" ht="12.8" hidden="false" customHeight="false" outlineLevel="0" collapsed="false">
      <c r="A46" s="4" t="s">
        <v>16</v>
      </c>
      <c r="B46" s="4" t="s">
        <v>17</v>
      </c>
      <c r="C46" s="4" t="n">
        <v>2</v>
      </c>
      <c r="D46" s="5" t="n">
        <v>16</v>
      </c>
      <c r="E46" s="6" t="n">
        <f aca="false">DATE(2024,8,16)</f>
        <v>45520</v>
      </c>
      <c r="F46" s="7" t="n">
        <f aca="false">C46*D46</f>
        <v>32</v>
      </c>
      <c r="G46" s="7" t="n">
        <f aca="false">ROUND(F46*0.2,2)</f>
        <v>6.4</v>
      </c>
      <c r="H46" s="4" t="str">
        <f aca="false">IF(F46&gt;500,"Yüksek",IF(F46&gt;100,"Orta","Düşük"))</f>
        <v>Düşük</v>
      </c>
    </row>
    <row r="47" customFormat="false" ht="12.8" hidden="false" customHeight="false" outlineLevel="0" collapsed="false">
      <c r="A47" s="4" t="s">
        <v>18</v>
      </c>
      <c r="B47" s="4" t="s">
        <v>19</v>
      </c>
      <c r="C47" s="4" t="n">
        <v>9</v>
      </c>
      <c r="D47" s="5" t="n">
        <v>18.75</v>
      </c>
      <c r="E47" s="6" t="n">
        <f aca="false">DATE(2024,9,17)</f>
        <v>45552</v>
      </c>
      <c r="F47" s="7" t="n">
        <f aca="false">C47*D47</f>
        <v>168.75</v>
      </c>
      <c r="G47" s="7" t="n">
        <f aca="false">ROUND(F47*0.2,2)</f>
        <v>33.75</v>
      </c>
      <c r="H47" s="4" t="str">
        <f aca="false">IF(F47&gt;500,"Yüksek",IF(F47&gt;100,"Orta","Düşük"))</f>
        <v>Orta</v>
      </c>
    </row>
    <row r="48" customFormat="false" ht="12.8" hidden="false" customHeight="false" outlineLevel="0" collapsed="false">
      <c r="A48" s="4" t="s">
        <v>20</v>
      </c>
      <c r="B48" s="4" t="s">
        <v>11</v>
      </c>
      <c r="C48" s="4" t="n">
        <v>16</v>
      </c>
      <c r="D48" s="5" t="n">
        <v>21.5</v>
      </c>
      <c r="E48" s="6" t="n">
        <f aca="false">DATE(2024,10,18)</f>
        <v>45583</v>
      </c>
      <c r="F48" s="7" t="n">
        <f aca="false">C48*D48</f>
        <v>344</v>
      </c>
      <c r="G48" s="7" t="n">
        <f aca="false">ROUND(F48*0.2,2)</f>
        <v>68.8</v>
      </c>
      <c r="H48" s="4" t="str">
        <f aca="false">IF(F48&gt;500,"Yüksek",IF(F48&gt;100,"Orta","Düşük"))</f>
        <v>Orta</v>
      </c>
    </row>
    <row r="49" customFormat="false" ht="12.8" hidden="false" customHeight="false" outlineLevel="0" collapsed="false">
      <c r="A49" s="4" t="s">
        <v>21</v>
      </c>
      <c r="B49" s="4" t="s">
        <v>13</v>
      </c>
      <c r="C49" s="4" t="n">
        <v>23</v>
      </c>
      <c r="D49" s="5" t="n">
        <v>24.25</v>
      </c>
      <c r="E49" s="6" t="n">
        <f aca="false">DATE(2024,11,19)</f>
        <v>45615</v>
      </c>
      <c r="F49" s="7" t="n">
        <f aca="false">C49*D49</f>
        <v>557.75</v>
      </c>
      <c r="G49" s="7" t="n">
        <f aca="false">ROUND(F49*0.2,2)</f>
        <v>111.55</v>
      </c>
      <c r="H49" s="4" t="str">
        <f aca="false">IF(F49&gt;500,"Yüksek",IF(F49&gt;100,"Orta","Düşük"))</f>
        <v>Yüksek</v>
      </c>
    </row>
    <row r="50" customFormat="false" ht="12.8" hidden="false" customHeight="false" outlineLevel="0" collapsed="false">
      <c r="A50" s="4" t="s">
        <v>22</v>
      </c>
      <c r="B50" s="4" t="s">
        <v>15</v>
      </c>
      <c r="C50" s="4" t="n">
        <v>30</v>
      </c>
      <c r="D50" s="5" t="n">
        <v>27</v>
      </c>
      <c r="E50" s="6" t="n">
        <f aca="false">DATE(2024,12,20)</f>
        <v>45646</v>
      </c>
      <c r="F50" s="7" t="n">
        <f aca="false">C50*D50</f>
        <v>810</v>
      </c>
      <c r="G50" s="7" t="n">
        <f aca="false">ROUND(F50*0.2,2)</f>
        <v>162</v>
      </c>
      <c r="H50" s="4" t="str">
        <f aca="false">IF(F50&gt;500,"Yüksek",IF(F50&gt;100,"Orta","Düşük"))</f>
        <v>Yüksek</v>
      </c>
    </row>
    <row r="51" customFormat="false" ht="12.8" hidden="false" customHeight="false" outlineLevel="0" collapsed="false">
      <c r="A51" s="4" t="s">
        <v>23</v>
      </c>
      <c r="B51" s="4" t="s">
        <v>17</v>
      </c>
      <c r="C51" s="4" t="n">
        <v>37</v>
      </c>
      <c r="D51" s="5" t="n">
        <v>29.75</v>
      </c>
      <c r="E51" s="6" t="n">
        <f aca="false">DATE(2024,1,21)</f>
        <v>45312</v>
      </c>
      <c r="F51" s="7" t="n">
        <f aca="false">C51*D51</f>
        <v>1100.75</v>
      </c>
      <c r="G51" s="7" t="n">
        <f aca="false">ROUND(F51*0.2,2)</f>
        <v>220.15</v>
      </c>
      <c r="H51" s="4" t="str">
        <f aca="false">IF(F51&gt;500,"Yüksek",IF(F51&gt;100,"Orta","Düşük"))</f>
        <v>Yüksek</v>
      </c>
    </row>
    <row r="52" customFormat="false" ht="12.8" hidden="false" customHeight="false" outlineLevel="0" collapsed="false">
      <c r="A52" s="4" t="s">
        <v>24</v>
      </c>
      <c r="B52" s="4" t="s">
        <v>19</v>
      </c>
      <c r="C52" s="4" t="n">
        <v>44</v>
      </c>
      <c r="D52" s="5" t="n">
        <v>32.5</v>
      </c>
      <c r="E52" s="6" t="n">
        <f aca="false">DATE(2024,2,22)</f>
        <v>45344</v>
      </c>
      <c r="F52" s="7" t="n">
        <f aca="false">C52*D52</f>
        <v>1430</v>
      </c>
      <c r="G52" s="7" t="n">
        <f aca="false">ROUND(F52*0.2,2)</f>
        <v>286</v>
      </c>
      <c r="H52" s="4" t="str">
        <f aca="false">IF(F52&gt;500,"Yüksek",IF(F52&gt;100,"Orta","Düşük"))</f>
        <v>Yüksek</v>
      </c>
    </row>
    <row r="53" customFormat="false" ht="12.8" hidden="false" customHeight="false" outlineLevel="0" collapsed="false">
      <c r="A53" s="4" t="s">
        <v>10</v>
      </c>
      <c r="B53" s="4" t="s">
        <v>11</v>
      </c>
      <c r="C53" s="4" t="n">
        <v>1</v>
      </c>
      <c r="D53" s="5" t="n">
        <v>35.25</v>
      </c>
      <c r="E53" s="6" t="n">
        <f aca="false">DATE(2024,3,23)</f>
        <v>45374</v>
      </c>
      <c r="F53" s="7" t="n">
        <f aca="false">C53*D53</f>
        <v>35.25</v>
      </c>
      <c r="G53" s="7" t="n">
        <f aca="false">ROUND(F53*0.2,2)</f>
        <v>7.05</v>
      </c>
      <c r="H53" s="4" t="str">
        <f aca="false">IF(F53&gt;500,"Yüksek",IF(F53&gt;100,"Orta","Düşük"))</f>
        <v>Düşük</v>
      </c>
    </row>
    <row r="54" customFormat="false" ht="12.8" hidden="false" customHeight="false" outlineLevel="0" collapsed="false">
      <c r="A54" s="4" t="s">
        <v>12</v>
      </c>
      <c r="B54" s="4" t="s">
        <v>13</v>
      </c>
      <c r="C54" s="4" t="n">
        <v>8</v>
      </c>
      <c r="D54" s="5" t="n">
        <v>38</v>
      </c>
      <c r="E54" s="6" t="n">
        <f aca="false">DATE(2024,4,24)</f>
        <v>45406</v>
      </c>
      <c r="F54" s="7" t="n">
        <f aca="false">C54*D54</f>
        <v>304</v>
      </c>
      <c r="G54" s="7" t="n">
        <f aca="false">ROUND(F54*0.2,2)</f>
        <v>60.8</v>
      </c>
      <c r="H54" s="4" t="str">
        <f aca="false">IF(F54&gt;500,"Yüksek",IF(F54&gt;100,"Orta","Düşük"))</f>
        <v>Orta</v>
      </c>
    </row>
    <row r="55" customFormat="false" ht="12.8" hidden="false" customHeight="false" outlineLevel="0" collapsed="false">
      <c r="A55" s="4" t="s">
        <v>14</v>
      </c>
      <c r="B55" s="4" t="s">
        <v>15</v>
      </c>
      <c r="C55" s="4" t="n">
        <v>15</v>
      </c>
      <c r="D55" s="5" t="n">
        <v>5</v>
      </c>
      <c r="E55" s="6" t="n">
        <f aca="false">DATE(2024,5,25)</f>
        <v>45437</v>
      </c>
      <c r="F55" s="7" t="n">
        <f aca="false">C55*D55</f>
        <v>75</v>
      </c>
      <c r="G55" s="7" t="n">
        <f aca="false">ROUND(F55*0.2,2)</f>
        <v>15</v>
      </c>
      <c r="H55" s="4" t="str">
        <f aca="false">IF(F55&gt;500,"Yüksek",IF(F55&gt;100,"Orta","Düşük"))</f>
        <v>Düşük</v>
      </c>
    </row>
    <row r="56" customFormat="false" ht="12.8" hidden="false" customHeight="false" outlineLevel="0" collapsed="false">
      <c r="A56" s="4" t="s">
        <v>16</v>
      </c>
      <c r="B56" s="4" t="s">
        <v>17</v>
      </c>
      <c r="C56" s="4" t="n">
        <v>22</v>
      </c>
      <c r="D56" s="5" t="n">
        <v>7.75</v>
      </c>
      <c r="E56" s="6" t="n">
        <f aca="false">DATE(2024,6,26)</f>
        <v>45469</v>
      </c>
      <c r="F56" s="7" t="n">
        <f aca="false">C56*D56</f>
        <v>170.5</v>
      </c>
      <c r="G56" s="7" t="n">
        <f aca="false">ROUND(F56*0.2,2)</f>
        <v>34.1</v>
      </c>
      <c r="H56" s="4" t="str">
        <f aca="false">IF(F56&gt;500,"Yüksek",IF(F56&gt;100,"Orta","Düşük"))</f>
        <v>Orta</v>
      </c>
    </row>
    <row r="57" customFormat="false" ht="12.8" hidden="false" customHeight="false" outlineLevel="0" collapsed="false">
      <c r="A57" s="4" t="s">
        <v>18</v>
      </c>
      <c r="B57" s="4" t="s">
        <v>19</v>
      </c>
      <c r="C57" s="4" t="n">
        <v>29</v>
      </c>
      <c r="D57" s="5" t="n">
        <v>10.5</v>
      </c>
      <c r="E57" s="6" t="n">
        <f aca="false">DATE(2024,7,27)</f>
        <v>45500</v>
      </c>
      <c r="F57" s="7" t="n">
        <f aca="false">C57*D57</f>
        <v>304.5</v>
      </c>
      <c r="G57" s="7" t="n">
        <f aca="false">ROUND(F57*0.2,2)</f>
        <v>60.9</v>
      </c>
      <c r="H57" s="4" t="str">
        <f aca="false">IF(F57&gt;500,"Yüksek",IF(F57&gt;100,"Orta","Düşük"))</f>
        <v>Orta</v>
      </c>
    </row>
    <row r="58" customFormat="false" ht="12.8" hidden="false" customHeight="false" outlineLevel="0" collapsed="false">
      <c r="A58" s="4" t="s">
        <v>20</v>
      </c>
      <c r="B58" s="4" t="s">
        <v>11</v>
      </c>
      <c r="C58" s="4" t="n">
        <v>36</v>
      </c>
      <c r="D58" s="5" t="n">
        <v>13.25</v>
      </c>
      <c r="E58" s="6" t="n">
        <f aca="false">DATE(2024,8,28)</f>
        <v>45532</v>
      </c>
      <c r="F58" s="7" t="n">
        <f aca="false">C58*D58</f>
        <v>477</v>
      </c>
      <c r="G58" s="7" t="n">
        <f aca="false">ROUND(F58*0.2,2)</f>
        <v>95.4</v>
      </c>
      <c r="H58" s="4" t="str">
        <f aca="false">IF(F58&gt;500,"Yüksek",IF(F58&gt;100,"Orta","Düşük"))</f>
        <v>Orta</v>
      </c>
    </row>
    <row r="59" customFormat="false" ht="12.8" hidden="false" customHeight="false" outlineLevel="0" collapsed="false">
      <c r="A59" s="4" t="s">
        <v>21</v>
      </c>
      <c r="B59" s="4" t="s">
        <v>13</v>
      </c>
      <c r="C59" s="4" t="n">
        <v>43</v>
      </c>
      <c r="D59" s="5" t="n">
        <v>16</v>
      </c>
      <c r="E59" s="6" t="n">
        <f aca="false">DATE(2024,9,1)</f>
        <v>45536</v>
      </c>
      <c r="F59" s="7" t="n">
        <f aca="false">C59*D59</f>
        <v>688</v>
      </c>
      <c r="G59" s="7" t="n">
        <f aca="false">ROUND(F59*0.2,2)</f>
        <v>137.6</v>
      </c>
      <c r="H59" s="4" t="str">
        <f aca="false">IF(F59&gt;500,"Yüksek",IF(F59&gt;100,"Orta","Düşük"))</f>
        <v>Yüksek</v>
      </c>
    </row>
    <row r="60" customFormat="false" ht="12.8" hidden="false" customHeight="false" outlineLevel="0" collapsed="false">
      <c r="A60" s="4" t="s">
        <v>22</v>
      </c>
      <c r="B60" s="4" t="s">
        <v>15</v>
      </c>
      <c r="C60" s="4" t="n">
        <v>50</v>
      </c>
      <c r="D60" s="5" t="n">
        <v>18.75</v>
      </c>
      <c r="E60" s="6" t="n">
        <f aca="false">DATE(2024,10,2)</f>
        <v>45567</v>
      </c>
      <c r="F60" s="7" t="n">
        <f aca="false">C60*D60</f>
        <v>937.5</v>
      </c>
      <c r="G60" s="7" t="n">
        <f aca="false">ROUND(F60*0.2,2)</f>
        <v>187.5</v>
      </c>
      <c r="H60" s="4" t="str">
        <f aca="false">IF(F60&gt;500,"Yüksek",IF(F60&gt;100,"Orta","Düşük"))</f>
        <v>Yüksek</v>
      </c>
    </row>
    <row r="61" customFormat="false" ht="12.8" hidden="false" customHeight="false" outlineLevel="0" collapsed="false">
      <c r="A61" s="4" t="s">
        <v>23</v>
      </c>
      <c r="B61" s="4" t="s">
        <v>17</v>
      </c>
      <c r="C61" s="4" t="n">
        <v>7</v>
      </c>
      <c r="D61" s="5" t="n">
        <v>21.5</v>
      </c>
      <c r="E61" s="6" t="n">
        <f aca="false">DATE(2024,11,3)</f>
        <v>45599</v>
      </c>
      <c r="F61" s="7" t="n">
        <f aca="false">C61*D61</f>
        <v>150.5</v>
      </c>
      <c r="G61" s="7" t="n">
        <f aca="false">ROUND(F61*0.2,2)</f>
        <v>30.1</v>
      </c>
      <c r="H61" s="4" t="str">
        <f aca="false">IF(F61&gt;500,"Yüksek",IF(F61&gt;100,"Orta","Düşük"))</f>
        <v>Orta</v>
      </c>
    </row>
    <row r="62" customFormat="false" ht="12.8" hidden="false" customHeight="false" outlineLevel="0" collapsed="false">
      <c r="A62" s="4" t="s">
        <v>24</v>
      </c>
      <c r="B62" s="4" t="s">
        <v>19</v>
      </c>
      <c r="C62" s="4" t="n">
        <v>14</v>
      </c>
      <c r="D62" s="5" t="n">
        <v>24.25</v>
      </c>
      <c r="E62" s="6" t="n">
        <f aca="false">DATE(2024,12,4)</f>
        <v>45630</v>
      </c>
      <c r="F62" s="7" t="n">
        <f aca="false">C62*D62</f>
        <v>339.5</v>
      </c>
      <c r="G62" s="7" t="n">
        <f aca="false">ROUND(F62*0.2,2)</f>
        <v>67.9</v>
      </c>
      <c r="H62" s="4" t="str">
        <f aca="false">IF(F62&gt;500,"Yüksek",IF(F62&gt;100,"Orta","Düşük"))</f>
        <v>Orta</v>
      </c>
    </row>
    <row r="63" customFormat="false" ht="12.8" hidden="false" customHeight="false" outlineLevel="0" collapsed="false">
      <c r="A63" s="4" t="s">
        <v>10</v>
      </c>
      <c r="B63" s="4" t="s">
        <v>11</v>
      </c>
      <c r="C63" s="4" t="n">
        <v>21</v>
      </c>
      <c r="D63" s="5" t="n">
        <v>27</v>
      </c>
      <c r="E63" s="6" t="n">
        <f aca="false">DATE(2024,1,5)</f>
        <v>45296</v>
      </c>
      <c r="F63" s="7" t="n">
        <f aca="false">C63*D63</f>
        <v>567</v>
      </c>
      <c r="G63" s="7" t="n">
        <f aca="false">ROUND(F63*0.2,2)</f>
        <v>113.4</v>
      </c>
      <c r="H63" s="4" t="str">
        <f aca="false">IF(F63&gt;500,"Yüksek",IF(F63&gt;100,"Orta","Düşük"))</f>
        <v>Yüksek</v>
      </c>
    </row>
    <row r="64" customFormat="false" ht="12.8" hidden="false" customHeight="false" outlineLevel="0" collapsed="false">
      <c r="A64" s="4" t="s">
        <v>12</v>
      </c>
      <c r="B64" s="4" t="s">
        <v>13</v>
      </c>
      <c r="C64" s="4" t="n">
        <v>28</v>
      </c>
      <c r="D64" s="5" t="n">
        <v>29.75</v>
      </c>
      <c r="E64" s="6" t="n">
        <f aca="false">DATE(2024,2,6)</f>
        <v>45328</v>
      </c>
      <c r="F64" s="7" t="n">
        <f aca="false">C64*D64</f>
        <v>833</v>
      </c>
      <c r="G64" s="7" t="n">
        <f aca="false">ROUND(F64*0.2,2)</f>
        <v>166.6</v>
      </c>
      <c r="H64" s="4" t="str">
        <f aca="false">IF(F64&gt;500,"Yüksek",IF(F64&gt;100,"Orta","Düşük"))</f>
        <v>Yüksek</v>
      </c>
    </row>
    <row r="65" customFormat="false" ht="12.8" hidden="false" customHeight="false" outlineLevel="0" collapsed="false">
      <c r="A65" s="4" t="s">
        <v>14</v>
      </c>
      <c r="B65" s="4" t="s">
        <v>15</v>
      </c>
      <c r="C65" s="4" t="n">
        <v>35</v>
      </c>
      <c r="D65" s="5" t="n">
        <v>32.5</v>
      </c>
      <c r="E65" s="6" t="n">
        <f aca="false">DATE(2024,3,7)</f>
        <v>45358</v>
      </c>
      <c r="F65" s="7" t="n">
        <f aca="false">C65*D65</f>
        <v>1137.5</v>
      </c>
      <c r="G65" s="7" t="n">
        <f aca="false">ROUND(F65*0.2,2)</f>
        <v>227.5</v>
      </c>
      <c r="H65" s="4" t="str">
        <f aca="false">IF(F65&gt;500,"Yüksek",IF(F65&gt;100,"Orta","Düşük"))</f>
        <v>Yüksek</v>
      </c>
    </row>
    <row r="66" customFormat="false" ht="12.8" hidden="false" customHeight="false" outlineLevel="0" collapsed="false">
      <c r="A66" s="4" t="s">
        <v>16</v>
      </c>
      <c r="B66" s="4" t="s">
        <v>17</v>
      </c>
      <c r="C66" s="4" t="n">
        <v>42</v>
      </c>
      <c r="D66" s="5" t="n">
        <v>35.25</v>
      </c>
      <c r="E66" s="6" t="n">
        <f aca="false">DATE(2024,4,8)</f>
        <v>45390</v>
      </c>
      <c r="F66" s="7" t="n">
        <f aca="false">C66*D66</f>
        <v>1480.5</v>
      </c>
      <c r="G66" s="7" t="n">
        <f aca="false">ROUND(F66*0.2,2)</f>
        <v>296.1</v>
      </c>
      <c r="H66" s="4" t="str">
        <f aca="false">IF(F66&gt;500,"Yüksek",IF(F66&gt;100,"Orta","Düşük"))</f>
        <v>Yüksek</v>
      </c>
    </row>
    <row r="67" customFormat="false" ht="12.8" hidden="false" customHeight="false" outlineLevel="0" collapsed="false">
      <c r="A67" s="4" t="s">
        <v>18</v>
      </c>
      <c r="B67" s="4" t="s">
        <v>19</v>
      </c>
      <c r="C67" s="4" t="n">
        <v>49</v>
      </c>
      <c r="D67" s="5" t="n">
        <v>38</v>
      </c>
      <c r="E67" s="6" t="n">
        <f aca="false">DATE(2024,5,9)</f>
        <v>45421</v>
      </c>
      <c r="F67" s="7" t="n">
        <f aca="false">C67*D67</f>
        <v>1862</v>
      </c>
      <c r="G67" s="7" t="n">
        <f aca="false">ROUND(F67*0.2,2)</f>
        <v>372.4</v>
      </c>
      <c r="H67" s="4" t="str">
        <f aca="false">IF(F67&gt;500,"Yüksek",IF(F67&gt;100,"Orta","Düşük"))</f>
        <v>Yüksek</v>
      </c>
    </row>
    <row r="68" customFormat="false" ht="12.8" hidden="false" customHeight="false" outlineLevel="0" collapsed="false">
      <c r="A68" s="4" t="s">
        <v>20</v>
      </c>
      <c r="B68" s="4" t="s">
        <v>11</v>
      </c>
      <c r="C68" s="4" t="n">
        <v>6</v>
      </c>
      <c r="D68" s="5" t="n">
        <v>5</v>
      </c>
      <c r="E68" s="6" t="n">
        <f aca="false">DATE(2024,6,10)</f>
        <v>45453</v>
      </c>
      <c r="F68" s="7" t="n">
        <f aca="false">C68*D68</f>
        <v>30</v>
      </c>
      <c r="G68" s="7" t="n">
        <f aca="false">ROUND(F68*0.2,2)</f>
        <v>6</v>
      </c>
      <c r="H68" s="4" t="str">
        <f aca="false">IF(F68&gt;500,"Yüksek",IF(F68&gt;100,"Orta","Düşük"))</f>
        <v>Düşük</v>
      </c>
    </row>
    <row r="69" customFormat="false" ht="12.8" hidden="false" customHeight="false" outlineLevel="0" collapsed="false">
      <c r="A69" s="4" t="s">
        <v>21</v>
      </c>
      <c r="B69" s="4" t="s">
        <v>13</v>
      </c>
      <c r="C69" s="4" t="n">
        <v>13</v>
      </c>
      <c r="D69" s="5" t="n">
        <v>7.75</v>
      </c>
      <c r="E69" s="6" t="n">
        <f aca="false">DATE(2024,7,11)</f>
        <v>45484</v>
      </c>
      <c r="F69" s="7" t="n">
        <f aca="false">C69*D69</f>
        <v>100.75</v>
      </c>
      <c r="G69" s="7" t="n">
        <f aca="false">ROUND(F69*0.2,2)</f>
        <v>20.15</v>
      </c>
      <c r="H69" s="4" t="str">
        <f aca="false">IF(F69&gt;500,"Yüksek",IF(F69&gt;100,"Orta","Düşük"))</f>
        <v>Orta</v>
      </c>
    </row>
    <row r="70" customFormat="false" ht="12.8" hidden="false" customHeight="false" outlineLevel="0" collapsed="false">
      <c r="A70" s="4" t="s">
        <v>22</v>
      </c>
      <c r="B70" s="4" t="s">
        <v>15</v>
      </c>
      <c r="C70" s="4" t="n">
        <v>20</v>
      </c>
      <c r="D70" s="5" t="n">
        <v>10.5</v>
      </c>
      <c r="E70" s="6" t="n">
        <f aca="false">DATE(2024,8,12)</f>
        <v>45516</v>
      </c>
      <c r="F70" s="7" t="n">
        <f aca="false">C70*D70</f>
        <v>210</v>
      </c>
      <c r="G70" s="7" t="n">
        <f aca="false">ROUND(F70*0.2,2)</f>
        <v>42</v>
      </c>
      <c r="H70" s="4" t="str">
        <f aca="false">IF(F70&gt;500,"Yüksek",IF(F70&gt;100,"Orta","Düşük"))</f>
        <v>Orta</v>
      </c>
    </row>
    <row r="71" customFormat="false" ht="12.8" hidden="false" customHeight="false" outlineLevel="0" collapsed="false">
      <c r="A71" s="4" t="s">
        <v>23</v>
      </c>
      <c r="B71" s="4" t="s">
        <v>17</v>
      </c>
      <c r="C71" s="4" t="n">
        <v>27</v>
      </c>
      <c r="D71" s="5" t="n">
        <v>13.25</v>
      </c>
      <c r="E71" s="6" t="n">
        <f aca="false">DATE(2024,9,13)</f>
        <v>45548</v>
      </c>
      <c r="F71" s="7" t="n">
        <f aca="false">C71*D71</f>
        <v>357.75</v>
      </c>
      <c r="G71" s="7" t="n">
        <f aca="false">ROUND(F71*0.2,2)</f>
        <v>71.55</v>
      </c>
      <c r="H71" s="4" t="str">
        <f aca="false">IF(F71&gt;500,"Yüksek",IF(F71&gt;100,"Orta","Düşük"))</f>
        <v>Orta</v>
      </c>
    </row>
    <row r="72" customFormat="false" ht="12.8" hidden="false" customHeight="false" outlineLevel="0" collapsed="false">
      <c r="A72" s="4" t="s">
        <v>24</v>
      </c>
      <c r="B72" s="4" t="s">
        <v>19</v>
      </c>
      <c r="C72" s="4" t="n">
        <v>34</v>
      </c>
      <c r="D72" s="5" t="n">
        <v>16</v>
      </c>
      <c r="E72" s="6" t="n">
        <f aca="false">DATE(2024,10,14)</f>
        <v>45579</v>
      </c>
      <c r="F72" s="7" t="n">
        <f aca="false">C72*D72</f>
        <v>544</v>
      </c>
      <c r="G72" s="7" t="n">
        <f aca="false">ROUND(F72*0.2,2)</f>
        <v>108.8</v>
      </c>
      <c r="H72" s="4" t="str">
        <f aca="false">IF(F72&gt;500,"Yüksek",IF(F72&gt;100,"Orta","Düşük"))</f>
        <v>Yüksek</v>
      </c>
    </row>
    <row r="73" customFormat="false" ht="12.8" hidden="false" customHeight="false" outlineLevel="0" collapsed="false">
      <c r="A73" s="4" t="s">
        <v>10</v>
      </c>
      <c r="B73" s="4" t="s">
        <v>11</v>
      </c>
      <c r="C73" s="4" t="n">
        <v>41</v>
      </c>
      <c r="D73" s="5" t="n">
        <v>18.75</v>
      </c>
      <c r="E73" s="6" t="n">
        <f aca="false">DATE(2024,11,15)</f>
        <v>45611</v>
      </c>
      <c r="F73" s="7" t="n">
        <f aca="false">C73*D73</f>
        <v>768.75</v>
      </c>
      <c r="G73" s="7" t="n">
        <f aca="false">ROUND(F73*0.2,2)</f>
        <v>153.75</v>
      </c>
      <c r="H73" s="4" t="str">
        <f aca="false">IF(F73&gt;500,"Yüksek",IF(F73&gt;100,"Orta","Düşük"))</f>
        <v>Yüksek</v>
      </c>
    </row>
    <row r="74" customFormat="false" ht="12.8" hidden="false" customHeight="false" outlineLevel="0" collapsed="false">
      <c r="A74" s="4" t="s">
        <v>12</v>
      </c>
      <c r="B74" s="4" t="s">
        <v>13</v>
      </c>
      <c r="C74" s="4" t="n">
        <v>48</v>
      </c>
      <c r="D74" s="5" t="n">
        <v>21.5</v>
      </c>
      <c r="E74" s="6" t="n">
        <f aca="false">DATE(2024,12,16)</f>
        <v>45642</v>
      </c>
      <c r="F74" s="7" t="n">
        <f aca="false">C74*D74</f>
        <v>1032</v>
      </c>
      <c r="G74" s="7" t="n">
        <f aca="false">ROUND(F74*0.2,2)</f>
        <v>206.4</v>
      </c>
      <c r="H74" s="4" t="str">
        <f aca="false">IF(F74&gt;500,"Yüksek",IF(F74&gt;100,"Orta","Düşük"))</f>
        <v>Yüksek</v>
      </c>
    </row>
    <row r="75" customFormat="false" ht="12.8" hidden="false" customHeight="false" outlineLevel="0" collapsed="false">
      <c r="A75" s="4" t="s">
        <v>14</v>
      </c>
      <c r="B75" s="4" t="s">
        <v>15</v>
      </c>
      <c r="C75" s="4" t="n">
        <v>5</v>
      </c>
      <c r="D75" s="5" t="n">
        <v>24.25</v>
      </c>
      <c r="E75" s="6" t="n">
        <f aca="false">DATE(2024,1,17)</f>
        <v>45308</v>
      </c>
      <c r="F75" s="7" t="n">
        <f aca="false">C75*D75</f>
        <v>121.25</v>
      </c>
      <c r="G75" s="7" t="n">
        <f aca="false">ROUND(F75*0.2,2)</f>
        <v>24.25</v>
      </c>
      <c r="H75" s="4" t="str">
        <f aca="false">IF(F75&gt;500,"Yüksek",IF(F75&gt;100,"Orta","Düşük"))</f>
        <v>Orta</v>
      </c>
    </row>
    <row r="76" customFormat="false" ht="12.8" hidden="false" customHeight="false" outlineLevel="0" collapsed="false">
      <c r="A76" s="4" t="s">
        <v>16</v>
      </c>
      <c r="B76" s="4" t="s">
        <v>17</v>
      </c>
      <c r="C76" s="4" t="n">
        <v>12</v>
      </c>
      <c r="D76" s="5" t="n">
        <v>27</v>
      </c>
      <c r="E76" s="6" t="n">
        <f aca="false">DATE(2024,2,18)</f>
        <v>45340</v>
      </c>
      <c r="F76" s="7" t="n">
        <f aca="false">C76*D76</f>
        <v>324</v>
      </c>
      <c r="G76" s="7" t="n">
        <f aca="false">ROUND(F76*0.2,2)</f>
        <v>64.8</v>
      </c>
      <c r="H76" s="4" t="str">
        <f aca="false">IF(F76&gt;500,"Yüksek",IF(F76&gt;100,"Orta","Düşük"))</f>
        <v>Orta</v>
      </c>
    </row>
    <row r="77" customFormat="false" ht="12.8" hidden="false" customHeight="false" outlineLevel="0" collapsed="false">
      <c r="A77" s="4" t="s">
        <v>18</v>
      </c>
      <c r="B77" s="4" t="s">
        <v>19</v>
      </c>
      <c r="C77" s="4" t="n">
        <v>19</v>
      </c>
      <c r="D77" s="5" t="n">
        <v>29.75</v>
      </c>
      <c r="E77" s="6" t="n">
        <f aca="false">DATE(2024,3,19)</f>
        <v>45370</v>
      </c>
      <c r="F77" s="7" t="n">
        <f aca="false">C77*D77</f>
        <v>565.25</v>
      </c>
      <c r="G77" s="7" t="n">
        <f aca="false">ROUND(F77*0.2,2)</f>
        <v>113.05</v>
      </c>
      <c r="H77" s="4" t="str">
        <f aca="false">IF(F77&gt;500,"Yüksek",IF(F77&gt;100,"Orta","Düşük"))</f>
        <v>Yüksek</v>
      </c>
    </row>
    <row r="78" customFormat="false" ht="12.8" hidden="false" customHeight="false" outlineLevel="0" collapsed="false">
      <c r="A78" s="4" t="s">
        <v>20</v>
      </c>
      <c r="B78" s="4" t="s">
        <v>11</v>
      </c>
      <c r="C78" s="4" t="n">
        <v>26</v>
      </c>
      <c r="D78" s="5" t="n">
        <v>32.5</v>
      </c>
      <c r="E78" s="6" t="n">
        <f aca="false">DATE(2024,4,20)</f>
        <v>45402</v>
      </c>
      <c r="F78" s="7" t="n">
        <f aca="false">C78*D78</f>
        <v>845</v>
      </c>
      <c r="G78" s="7" t="n">
        <f aca="false">ROUND(F78*0.2,2)</f>
        <v>169</v>
      </c>
      <c r="H78" s="4" t="str">
        <f aca="false">IF(F78&gt;500,"Yüksek",IF(F78&gt;100,"Orta","Düşük"))</f>
        <v>Yüksek</v>
      </c>
    </row>
    <row r="79" customFormat="false" ht="12.8" hidden="false" customHeight="false" outlineLevel="0" collapsed="false">
      <c r="A79" s="4" t="s">
        <v>21</v>
      </c>
      <c r="B79" s="4" t="s">
        <v>13</v>
      </c>
      <c r="C79" s="4" t="n">
        <v>33</v>
      </c>
      <c r="D79" s="5" t="n">
        <v>35.25</v>
      </c>
      <c r="E79" s="6" t="n">
        <f aca="false">DATE(2024,5,21)</f>
        <v>45433</v>
      </c>
      <c r="F79" s="7" t="n">
        <f aca="false">C79*D79</f>
        <v>1163.25</v>
      </c>
      <c r="G79" s="7" t="n">
        <f aca="false">ROUND(F79*0.2,2)</f>
        <v>232.65</v>
      </c>
      <c r="H79" s="4" t="str">
        <f aca="false">IF(F79&gt;500,"Yüksek",IF(F79&gt;100,"Orta","Düşük"))</f>
        <v>Yüksek</v>
      </c>
    </row>
    <row r="80" customFormat="false" ht="12.8" hidden="false" customHeight="false" outlineLevel="0" collapsed="false">
      <c r="A80" s="4" t="s">
        <v>22</v>
      </c>
      <c r="B80" s="4" t="s">
        <v>15</v>
      </c>
      <c r="C80" s="4" t="n">
        <v>40</v>
      </c>
      <c r="D80" s="5" t="n">
        <v>38</v>
      </c>
      <c r="E80" s="6" t="n">
        <f aca="false">DATE(2024,6,22)</f>
        <v>45465</v>
      </c>
      <c r="F80" s="7" t="n">
        <f aca="false">C80*D80</f>
        <v>1520</v>
      </c>
      <c r="G80" s="7" t="n">
        <f aca="false">ROUND(F80*0.2,2)</f>
        <v>304</v>
      </c>
      <c r="H80" s="4" t="str">
        <f aca="false">IF(F80&gt;500,"Yüksek",IF(F80&gt;100,"Orta","Düşük"))</f>
        <v>Yüksek</v>
      </c>
    </row>
    <row r="81" customFormat="false" ht="12.8" hidden="false" customHeight="false" outlineLevel="0" collapsed="false">
      <c r="A81" s="4" t="s">
        <v>23</v>
      </c>
      <c r="B81" s="4" t="s">
        <v>17</v>
      </c>
      <c r="C81" s="4" t="n">
        <v>47</v>
      </c>
      <c r="D81" s="5" t="n">
        <v>5</v>
      </c>
      <c r="E81" s="6" t="n">
        <f aca="false">DATE(2024,7,23)</f>
        <v>45496</v>
      </c>
      <c r="F81" s="7" t="n">
        <f aca="false">C81*D81</f>
        <v>235</v>
      </c>
      <c r="G81" s="7" t="n">
        <f aca="false">ROUND(F81*0.2,2)</f>
        <v>47</v>
      </c>
      <c r="H81" s="4" t="str">
        <f aca="false">IF(F81&gt;500,"Yüksek",IF(F81&gt;100,"Orta","Düşük"))</f>
        <v>Orta</v>
      </c>
    </row>
    <row r="82" customFormat="false" ht="12.8" hidden="false" customHeight="false" outlineLevel="0" collapsed="false">
      <c r="A82" s="4" t="s">
        <v>24</v>
      </c>
      <c r="B82" s="4" t="s">
        <v>19</v>
      </c>
      <c r="C82" s="4" t="n">
        <v>4</v>
      </c>
      <c r="D82" s="5" t="n">
        <v>7.75</v>
      </c>
      <c r="E82" s="6" t="n">
        <f aca="false">DATE(2024,8,24)</f>
        <v>45528</v>
      </c>
      <c r="F82" s="7" t="n">
        <f aca="false">C82*D82</f>
        <v>31</v>
      </c>
      <c r="G82" s="7" t="n">
        <f aca="false">ROUND(F82*0.2,2)</f>
        <v>6.2</v>
      </c>
      <c r="H82" s="4" t="str">
        <f aca="false">IF(F82&gt;500,"Yüksek",IF(F82&gt;100,"Orta","Düşük"))</f>
        <v>Düşük</v>
      </c>
    </row>
    <row r="83" customFormat="false" ht="12.8" hidden="false" customHeight="false" outlineLevel="0" collapsed="false">
      <c r="A83" s="4" t="s">
        <v>10</v>
      </c>
      <c r="B83" s="4" t="s">
        <v>11</v>
      </c>
      <c r="C83" s="4" t="n">
        <v>11</v>
      </c>
      <c r="D83" s="5" t="n">
        <v>10.5</v>
      </c>
      <c r="E83" s="6" t="n">
        <f aca="false">DATE(2024,9,25)</f>
        <v>45560</v>
      </c>
      <c r="F83" s="7" t="n">
        <f aca="false">C83*D83</f>
        <v>115.5</v>
      </c>
      <c r="G83" s="7" t="n">
        <f aca="false">ROUND(F83*0.2,2)</f>
        <v>23.1</v>
      </c>
      <c r="H83" s="4" t="str">
        <f aca="false">IF(F83&gt;500,"Yüksek",IF(F83&gt;100,"Orta","Düşük"))</f>
        <v>Orta</v>
      </c>
    </row>
    <row r="84" customFormat="false" ht="12.8" hidden="false" customHeight="false" outlineLevel="0" collapsed="false">
      <c r="A84" s="4" t="s">
        <v>12</v>
      </c>
      <c r="B84" s="4" t="s">
        <v>13</v>
      </c>
      <c r="C84" s="4" t="n">
        <v>18</v>
      </c>
      <c r="D84" s="5" t="n">
        <v>13.25</v>
      </c>
      <c r="E84" s="6" t="n">
        <f aca="false">DATE(2024,10,26)</f>
        <v>45591</v>
      </c>
      <c r="F84" s="7" t="n">
        <f aca="false">C84*D84</f>
        <v>238.5</v>
      </c>
      <c r="G84" s="7" t="n">
        <f aca="false">ROUND(F84*0.2,2)</f>
        <v>47.7</v>
      </c>
      <c r="H84" s="4" t="str">
        <f aca="false">IF(F84&gt;500,"Yüksek",IF(F84&gt;100,"Orta","Düşük"))</f>
        <v>Orta</v>
      </c>
    </row>
    <row r="85" customFormat="false" ht="12.8" hidden="false" customHeight="false" outlineLevel="0" collapsed="false">
      <c r="A85" s="4" t="s">
        <v>14</v>
      </c>
      <c r="B85" s="4" t="s">
        <v>15</v>
      </c>
      <c r="C85" s="4" t="n">
        <v>25</v>
      </c>
      <c r="D85" s="5" t="n">
        <v>16</v>
      </c>
      <c r="E85" s="6" t="n">
        <f aca="false">DATE(2024,11,27)</f>
        <v>45623</v>
      </c>
      <c r="F85" s="7" t="n">
        <f aca="false">C85*D85</f>
        <v>400</v>
      </c>
      <c r="G85" s="7" t="n">
        <f aca="false">ROUND(F85*0.2,2)</f>
        <v>80</v>
      </c>
      <c r="H85" s="4" t="str">
        <f aca="false">IF(F85&gt;500,"Yüksek",IF(F85&gt;100,"Orta","Düşük"))</f>
        <v>Orta</v>
      </c>
    </row>
    <row r="86" customFormat="false" ht="12.8" hidden="false" customHeight="false" outlineLevel="0" collapsed="false">
      <c r="A86" s="4" t="s">
        <v>16</v>
      </c>
      <c r="B86" s="4" t="s">
        <v>17</v>
      </c>
      <c r="C86" s="4" t="n">
        <v>32</v>
      </c>
      <c r="D86" s="5" t="n">
        <v>18.75</v>
      </c>
      <c r="E86" s="6" t="n">
        <f aca="false">DATE(2024,12,28)</f>
        <v>45654</v>
      </c>
      <c r="F86" s="7" t="n">
        <f aca="false">C86*D86</f>
        <v>600</v>
      </c>
      <c r="G86" s="7" t="n">
        <f aca="false">ROUND(F86*0.2,2)</f>
        <v>120</v>
      </c>
      <c r="H86" s="4" t="str">
        <f aca="false">IF(F86&gt;500,"Yüksek",IF(F86&gt;100,"Orta","Düşük"))</f>
        <v>Yüksek</v>
      </c>
    </row>
    <row r="87" customFormat="false" ht="12.8" hidden="false" customHeight="false" outlineLevel="0" collapsed="false">
      <c r="A87" s="4" t="s">
        <v>18</v>
      </c>
      <c r="B87" s="4" t="s">
        <v>19</v>
      </c>
      <c r="C87" s="4" t="n">
        <v>39</v>
      </c>
      <c r="D87" s="5" t="n">
        <v>21.5</v>
      </c>
      <c r="E87" s="6" t="n">
        <f aca="false">DATE(2024,1,1)</f>
        <v>45292</v>
      </c>
      <c r="F87" s="7" t="n">
        <f aca="false">C87*D87</f>
        <v>838.5</v>
      </c>
      <c r="G87" s="7" t="n">
        <f aca="false">ROUND(F87*0.2,2)</f>
        <v>167.7</v>
      </c>
      <c r="H87" s="4" t="str">
        <f aca="false">IF(F87&gt;500,"Yüksek",IF(F87&gt;100,"Orta","Düşük"))</f>
        <v>Yüksek</v>
      </c>
    </row>
    <row r="88" customFormat="false" ht="12.8" hidden="false" customHeight="false" outlineLevel="0" collapsed="false">
      <c r="A88" s="4" t="s">
        <v>20</v>
      </c>
      <c r="B88" s="4" t="s">
        <v>11</v>
      </c>
      <c r="C88" s="4" t="n">
        <v>46</v>
      </c>
      <c r="D88" s="5" t="n">
        <v>24.25</v>
      </c>
      <c r="E88" s="6" t="n">
        <f aca="false">DATE(2024,2,2)</f>
        <v>45324</v>
      </c>
      <c r="F88" s="7" t="n">
        <f aca="false">C88*D88</f>
        <v>1115.5</v>
      </c>
      <c r="G88" s="7" t="n">
        <f aca="false">ROUND(F88*0.2,2)</f>
        <v>223.1</v>
      </c>
      <c r="H88" s="4" t="str">
        <f aca="false">IF(F88&gt;500,"Yüksek",IF(F88&gt;100,"Orta","Düşük"))</f>
        <v>Yüksek</v>
      </c>
    </row>
    <row r="89" customFormat="false" ht="12.8" hidden="false" customHeight="false" outlineLevel="0" collapsed="false">
      <c r="A89" s="4" t="s">
        <v>21</v>
      </c>
      <c r="B89" s="4" t="s">
        <v>13</v>
      </c>
      <c r="C89" s="4" t="n">
        <v>3</v>
      </c>
      <c r="D89" s="5" t="n">
        <v>27</v>
      </c>
      <c r="E89" s="6" t="n">
        <f aca="false">DATE(2024,3,3)</f>
        <v>45354</v>
      </c>
      <c r="F89" s="7" t="n">
        <f aca="false">C89*D89</f>
        <v>81</v>
      </c>
      <c r="G89" s="7" t="n">
        <f aca="false">ROUND(F89*0.2,2)</f>
        <v>16.2</v>
      </c>
      <c r="H89" s="4" t="str">
        <f aca="false">IF(F89&gt;500,"Yüksek",IF(F89&gt;100,"Orta","Düşük"))</f>
        <v>Düşük</v>
      </c>
    </row>
    <row r="90" customFormat="false" ht="12.8" hidden="false" customHeight="false" outlineLevel="0" collapsed="false">
      <c r="A90" s="4" t="s">
        <v>22</v>
      </c>
      <c r="B90" s="4" t="s">
        <v>15</v>
      </c>
      <c r="C90" s="4" t="n">
        <v>10</v>
      </c>
      <c r="D90" s="5" t="n">
        <v>29.75</v>
      </c>
      <c r="E90" s="6" t="n">
        <f aca="false">DATE(2024,4,4)</f>
        <v>45386</v>
      </c>
      <c r="F90" s="7" t="n">
        <f aca="false">C90*D90</f>
        <v>297.5</v>
      </c>
      <c r="G90" s="7" t="n">
        <f aca="false">ROUND(F90*0.2,2)</f>
        <v>59.5</v>
      </c>
      <c r="H90" s="4" t="str">
        <f aca="false">IF(F90&gt;500,"Yüksek",IF(F90&gt;100,"Orta","Düşük"))</f>
        <v>Orta</v>
      </c>
    </row>
    <row r="91" customFormat="false" ht="12.8" hidden="false" customHeight="false" outlineLevel="0" collapsed="false">
      <c r="A91" s="4" t="s">
        <v>23</v>
      </c>
      <c r="B91" s="4" t="s">
        <v>17</v>
      </c>
      <c r="C91" s="4" t="n">
        <v>17</v>
      </c>
      <c r="D91" s="5" t="n">
        <v>32.5</v>
      </c>
      <c r="E91" s="6" t="n">
        <f aca="false">DATE(2024,5,5)</f>
        <v>45417</v>
      </c>
      <c r="F91" s="7" t="n">
        <f aca="false">C91*D91</f>
        <v>552.5</v>
      </c>
      <c r="G91" s="7" t="n">
        <f aca="false">ROUND(F91*0.2,2)</f>
        <v>110.5</v>
      </c>
      <c r="H91" s="4" t="str">
        <f aca="false">IF(F91&gt;500,"Yüksek",IF(F91&gt;100,"Orta","Düşük"))</f>
        <v>Yüksek</v>
      </c>
    </row>
    <row r="92" customFormat="false" ht="12.8" hidden="false" customHeight="false" outlineLevel="0" collapsed="false">
      <c r="A92" s="4" t="s">
        <v>24</v>
      </c>
      <c r="B92" s="4" t="s">
        <v>19</v>
      </c>
      <c r="C92" s="4" t="n">
        <v>24</v>
      </c>
      <c r="D92" s="5" t="n">
        <v>35.25</v>
      </c>
      <c r="E92" s="6" t="n">
        <f aca="false">DATE(2024,6,6)</f>
        <v>45449</v>
      </c>
      <c r="F92" s="7" t="n">
        <f aca="false">C92*D92</f>
        <v>846</v>
      </c>
      <c r="G92" s="7" t="n">
        <f aca="false">ROUND(F92*0.2,2)</f>
        <v>169.2</v>
      </c>
      <c r="H92" s="4" t="str">
        <f aca="false">IF(F92&gt;500,"Yüksek",IF(F92&gt;100,"Orta","Düşük"))</f>
        <v>Yüksek</v>
      </c>
    </row>
    <row r="93" customFormat="false" ht="12.8" hidden="false" customHeight="false" outlineLevel="0" collapsed="false">
      <c r="A93" s="4" t="s">
        <v>10</v>
      </c>
      <c r="B93" s="4" t="s">
        <v>11</v>
      </c>
      <c r="C93" s="4" t="n">
        <v>31</v>
      </c>
      <c r="D93" s="5" t="n">
        <v>38</v>
      </c>
      <c r="E93" s="6" t="n">
        <f aca="false">DATE(2024,7,7)</f>
        <v>45480</v>
      </c>
      <c r="F93" s="7" t="n">
        <f aca="false">C93*D93</f>
        <v>1178</v>
      </c>
      <c r="G93" s="7" t="n">
        <f aca="false">ROUND(F93*0.2,2)</f>
        <v>235.6</v>
      </c>
      <c r="H93" s="4" t="str">
        <f aca="false">IF(F93&gt;500,"Yüksek",IF(F93&gt;100,"Orta","Düşük"))</f>
        <v>Yüksek</v>
      </c>
    </row>
    <row r="94" customFormat="false" ht="12.8" hidden="false" customHeight="false" outlineLevel="0" collapsed="false">
      <c r="A94" s="4" t="s">
        <v>12</v>
      </c>
      <c r="B94" s="4" t="s">
        <v>13</v>
      </c>
      <c r="C94" s="4" t="n">
        <v>38</v>
      </c>
      <c r="D94" s="5" t="n">
        <v>5</v>
      </c>
      <c r="E94" s="6" t="n">
        <f aca="false">DATE(2024,8,8)</f>
        <v>45512</v>
      </c>
      <c r="F94" s="7" t="n">
        <f aca="false">C94*D94</f>
        <v>190</v>
      </c>
      <c r="G94" s="7" t="n">
        <f aca="false">ROUND(F94*0.2,2)</f>
        <v>38</v>
      </c>
      <c r="H94" s="4" t="str">
        <f aca="false">IF(F94&gt;500,"Yüksek",IF(F94&gt;100,"Orta","Düşük"))</f>
        <v>Orta</v>
      </c>
    </row>
    <row r="95" customFormat="false" ht="12.8" hidden="false" customHeight="false" outlineLevel="0" collapsed="false">
      <c r="A95" s="4" t="s">
        <v>14</v>
      </c>
      <c r="B95" s="4" t="s">
        <v>15</v>
      </c>
      <c r="C95" s="4" t="n">
        <v>45</v>
      </c>
      <c r="D95" s="5" t="n">
        <v>7.75</v>
      </c>
      <c r="E95" s="6" t="n">
        <f aca="false">DATE(2024,9,9)</f>
        <v>45544</v>
      </c>
      <c r="F95" s="7" t="n">
        <f aca="false">C95*D95</f>
        <v>348.75</v>
      </c>
      <c r="G95" s="7" t="n">
        <f aca="false">ROUND(F95*0.2,2)</f>
        <v>69.75</v>
      </c>
      <c r="H95" s="4" t="str">
        <f aca="false">IF(F95&gt;500,"Yüksek",IF(F95&gt;100,"Orta","Düşük"))</f>
        <v>Orta</v>
      </c>
    </row>
    <row r="96" customFormat="false" ht="12.8" hidden="false" customHeight="false" outlineLevel="0" collapsed="false">
      <c r="A96" s="4" t="s">
        <v>16</v>
      </c>
      <c r="B96" s="4" t="s">
        <v>17</v>
      </c>
      <c r="C96" s="4" t="n">
        <v>2</v>
      </c>
      <c r="D96" s="5" t="n">
        <v>10.5</v>
      </c>
      <c r="E96" s="6" t="n">
        <f aca="false">DATE(2024,10,10)</f>
        <v>45575</v>
      </c>
      <c r="F96" s="7" t="n">
        <f aca="false">C96*D96</f>
        <v>21</v>
      </c>
      <c r="G96" s="7" t="n">
        <f aca="false">ROUND(F96*0.2,2)</f>
        <v>4.2</v>
      </c>
      <c r="H96" s="4" t="str">
        <f aca="false">IF(F96&gt;500,"Yüksek",IF(F96&gt;100,"Orta","Düşük"))</f>
        <v>Düşük</v>
      </c>
    </row>
    <row r="97" customFormat="false" ht="12.8" hidden="false" customHeight="false" outlineLevel="0" collapsed="false">
      <c r="A97" s="4" t="s">
        <v>18</v>
      </c>
      <c r="B97" s="4" t="s">
        <v>19</v>
      </c>
      <c r="C97" s="4" t="n">
        <v>9</v>
      </c>
      <c r="D97" s="5" t="n">
        <v>13.25</v>
      </c>
      <c r="E97" s="6" t="n">
        <f aca="false">DATE(2024,11,11)</f>
        <v>45607</v>
      </c>
      <c r="F97" s="7" t="n">
        <f aca="false">C97*D97</f>
        <v>119.25</v>
      </c>
      <c r="G97" s="7" t="n">
        <f aca="false">ROUND(F97*0.2,2)</f>
        <v>23.85</v>
      </c>
      <c r="H97" s="4" t="str">
        <f aca="false">IF(F97&gt;500,"Yüksek",IF(F97&gt;100,"Orta","Düşük"))</f>
        <v>Orta</v>
      </c>
    </row>
    <row r="98" customFormat="false" ht="12.8" hidden="false" customHeight="false" outlineLevel="0" collapsed="false">
      <c r="A98" s="4" t="s">
        <v>20</v>
      </c>
      <c r="B98" s="4" t="s">
        <v>11</v>
      </c>
      <c r="C98" s="4" t="n">
        <v>16</v>
      </c>
      <c r="D98" s="5" t="n">
        <v>16</v>
      </c>
      <c r="E98" s="6" t="n">
        <f aca="false">DATE(2024,12,12)</f>
        <v>45638</v>
      </c>
      <c r="F98" s="7" t="n">
        <f aca="false">C98*D98</f>
        <v>256</v>
      </c>
      <c r="G98" s="7" t="n">
        <f aca="false">ROUND(F98*0.2,2)</f>
        <v>51.2</v>
      </c>
      <c r="H98" s="4" t="str">
        <f aca="false">IF(F98&gt;500,"Yüksek",IF(F98&gt;100,"Orta","Düşük"))</f>
        <v>Orta</v>
      </c>
    </row>
    <row r="99" customFormat="false" ht="12.8" hidden="false" customHeight="false" outlineLevel="0" collapsed="false">
      <c r="A99" s="4" t="s">
        <v>21</v>
      </c>
      <c r="B99" s="4" t="s">
        <v>13</v>
      </c>
      <c r="C99" s="4" t="n">
        <v>23</v>
      </c>
      <c r="D99" s="5" t="n">
        <v>18.75</v>
      </c>
      <c r="E99" s="6" t="n">
        <f aca="false">DATE(2024,1,13)</f>
        <v>45304</v>
      </c>
      <c r="F99" s="7" t="n">
        <f aca="false">C99*D99</f>
        <v>431.25</v>
      </c>
      <c r="G99" s="7" t="n">
        <f aca="false">ROUND(F99*0.2,2)</f>
        <v>86.25</v>
      </c>
      <c r="H99" s="4" t="str">
        <f aca="false">IF(F99&gt;500,"Yüksek",IF(F99&gt;100,"Orta","Düşük"))</f>
        <v>Orta</v>
      </c>
    </row>
    <row r="100" customFormat="false" ht="12.8" hidden="false" customHeight="false" outlineLevel="0" collapsed="false">
      <c r="A100" s="4" t="s">
        <v>22</v>
      </c>
      <c r="B100" s="4" t="s">
        <v>15</v>
      </c>
      <c r="C100" s="4" t="n">
        <v>30</v>
      </c>
      <c r="D100" s="5" t="n">
        <v>21.5</v>
      </c>
      <c r="E100" s="6" t="n">
        <f aca="false">DATE(2024,2,14)</f>
        <v>45336</v>
      </c>
      <c r="F100" s="7" t="n">
        <f aca="false">C100*D100</f>
        <v>645</v>
      </c>
      <c r="G100" s="7" t="n">
        <f aca="false">ROUND(F100*0.2,2)</f>
        <v>129</v>
      </c>
      <c r="H100" s="4" t="str">
        <f aca="false">IF(F100&gt;500,"Yüksek",IF(F100&gt;100,"Orta","Düşük"))</f>
        <v>Yüksek</v>
      </c>
    </row>
    <row r="101" customFormat="false" ht="12.8" hidden="false" customHeight="false" outlineLevel="0" collapsed="false">
      <c r="A101" s="4" t="s">
        <v>23</v>
      </c>
      <c r="B101" s="4" t="s">
        <v>17</v>
      </c>
      <c r="C101" s="4" t="n">
        <v>37</v>
      </c>
      <c r="D101" s="5" t="n">
        <v>24.25</v>
      </c>
      <c r="E101" s="6" t="n">
        <f aca="false">DATE(2024,3,15)</f>
        <v>45366</v>
      </c>
      <c r="F101" s="7" t="n">
        <f aca="false">C101*D101</f>
        <v>897.25</v>
      </c>
      <c r="G101" s="7" t="n">
        <f aca="false">ROUND(F101*0.2,2)</f>
        <v>179.45</v>
      </c>
      <c r="H101" s="4" t="str">
        <f aca="false">IF(F101&gt;500,"Yüksek",IF(F101&gt;100,"Orta","Düşük"))</f>
        <v>Yüksek</v>
      </c>
    </row>
    <row r="102" customFormat="false" ht="12.8" hidden="false" customHeight="false" outlineLevel="0" collapsed="false">
      <c r="A102" s="4" t="s">
        <v>24</v>
      </c>
      <c r="B102" s="4" t="s">
        <v>19</v>
      </c>
      <c r="C102" s="4" t="n">
        <v>44</v>
      </c>
      <c r="D102" s="5" t="n">
        <v>27</v>
      </c>
      <c r="E102" s="6" t="n">
        <f aca="false">DATE(2024,4,16)</f>
        <v>45398</v>
      </c>
      <c r="F102" s="7" t="n">
        <f aca="false">C102*D102</f>
        <v>1188</v>
      </c>
      <c r="G102" s="7" t="n">
        <f aca="false">ROUND(F102*0.2,2)</f>
        <v>237.6</v>
      </c>
      <c r="H102" s="4" t="str">
        <f aca="false">IF(F102&gt;500,"Yüksek",IF(F102&gt;100,"Orta","Düşük"))</f>
        <v>Yüksek</v>
      </c>
    </row>
    <row r="103" customFormat="false" ht="12.8" hidden="false" customHeight="false" outlineLevel="0" collapsed="false">
      <c r="A103" s="4" t="s">
        <v>10</v>
      </c>
      <c r="B103" s="4" t="s">
        <v>11</v>
      </c>
      <c r="C103" s="4" t="n">
        <v>1</v>
      </c>
      <c r="D103" s="5" t="n">
        <v>29.75</v>
      </c>
      <c r="E103" s="6" t="n">
        <f aca="false">DATE(2024,5,17)</f>
        <v>45429</v>
      </c>
      <c r="F103" s="7" t="n">
        <f aca="false">C103*D103</f>
        <v>29.75</v>
      </c>
      <c r="G103" s="7" t="n">
        <f aca="false">ROUND(F103*0.2,2)</f>
        <v>5.95</v>
      </c>
      <c r="H103" s="4" t="str">
        <f aca="false">IF(F103&gt;500,"Yüksek",IF(F103&gt;100,"Orta","Düşük"))</f>
        <v>Düşük</v>
      </c>
    </row>
    <row r="104" customFormat="false" ht="12.8" hidden="false" customHeight="false" outlineLevel="0" collapsed="false">
      <c r="A104" s="4" t="s">
        <v>12</v>
      </c>
      <c r="B104" s="4" t="s">
        <v>13</v>
      </c>
      <c r="C104" s="4" t="n">
        <v>8</v>
      </c>
      <c r="D104" s="5" t="n">
        <v>32.5</v>
      </c>
      <c r="E104" s="6" t="n">
        <f aca="false">DATE(2024,6,18)</f>
        <v>45461</v>
      </c>
      <c r="F104" s="7" t="n">
        <f aca="false">C104*D104</f>
        <v>260</v>
      </c>
      <c r="G104" s="7" t="n">
        <f aca="false">ROUND(F104*0.2,2)</f>
        <v>52</v>
      </c>
      <c r="H104" s="4" t="str">
        <f aca="false">IF(F104&gt;500,"Yüksek",IF(F104&gt;100,"Orta","Düşük"))</f>
        <v>Orta</v>
      </c>
    </row>
    <row r="105" customFormat="false" ht="12.8" hidden="false" customHeight="false" outlineLevel="0" collapsed="false">
      <c r="A105" s="4" t="s">
        <v>14</v>
      </c>
      <c r="B105" s="4" t="s">
        <v>15</v>
      </c>
      <c r="C105" s="4" t="n">
        <v>15</v>
      </c>
      <c r="D105" s="5" t="n">
        <v>35.25</v>
      </c>
      <c r="E105" s="6" t="n">
        <f aca="false">DATE(2024,7,19)</f>
        <v>45492</v>
      </c>
      <c r="F105" s="7" t="n">
        <f aca="false">C105*D105</f>
        <v>528.75</v>
      </c>
      <c r="G105" s="7" t="n">
        <f aca="false">ROUND(F105*0.2,2)</f>
        <v>105.75</v>
      </c>
      <c r="H105" s="4" t="str">
        <f aca="false">IF(F105&gt;500,"Yüksek",IF(F105&gt;100,"Orta","Düşük"))</f>
        <v>Yüksek</v>
      </c>
    </row>
    <row r="106" customFormat="false" ht="12.8" hidden="false" customHeight="false" outlineLevel="0" collapsed="false">
      <c r="A106" s="4" t="s">
        <v>16</v>
      </c>
      <c r="B106" s="4" t="s">
        <v>17</v>
      </c>
      <c r="C106" s="4" t="n">
        <v>22</v>
      </c>
      <c r="D106" s="5" t="n">
        <v>38</v>
      </c>
      <c r="E106" s="6" t="n">
        <f aca="false">DATE(2024,8,20)</f>
        <v>45524</v>
      </c>
      <c r="F106" s="7" t="n">
        <f aca="false">C106*D106</f>
        <v>836</v>
      </c>
      <c r="G106" s="7" t="n">
        <f aca="false">ROUND(F106*0.2,2)</f>
        <v>167.2</v>
      </c>
      <c r="H106" s="4" t="str">
        <f aca="false">IF(F106&gt;500,"Yüksek",IF(F106&gt;100,"Orta","Düşük"))</f>
        <v>Yüksek</v>
      </c>
    </row>
    <row r="107" customFormat="false" ht="12.8" hidden="false" customHeight="false" outlineLevel="0" collapsed="false">
      <c r="A107" s="4" t="s">
        <v>18</v>
      </c>
      <c r="B107" s="4" t="s">
        <v>19</v>
      </c>
      <c r="C107" s="4" t="n">
        <v>29</v>
      </c>
      <c r="D107" s="5" t="n">
        <v>5</v>
      </c>
      <c r="E107" s="6" t="n">
        <f aca="false">DATE(2024,9,21)</f>
        <v>45556</v>
      </c>
      <c r="F107" s="7" t="n">
        <f aca="false">C107*D107</f>
        <v>145</v>
      </c>
      <c r="G107" s="7" t="n">
        <f aca="false">ROUND(F107*0.2,2)</f>
        <v>29</v>
      </c>
      <c r="H107" s="4" t="str">
        <f aca="false">IF(F107&gt;500,"Yüksek",IF(F107&gt;100,"Orta","Düşük"))</f>
        <v>Orta</v>
      </c>
    </row>
    <row r="108" customFormat="false" ht="12.8" hidden="false" customHeight="false" outlineLevel="0" collapsed="false">
      <c r="A108" s="4" t="s">
        <v>20</v>
      </c>
      <c r="B108" s="4" t="s">
        <v>11</v>
      </c>
      <c r="C108" s="4" t="n">
        <v>36</v>
      </c>
      <c r="D108" s="5" t="n">
        <v>7.75</v>
      </c>
      <c r="E108" s="6" t="n">
        <f aca="false">DATE(2024,10,22)</f>
        <v>45587</v>
      </c>
      <c r="F108" s="7" t="n">
        <f aca="false">C108*D108</f>
        <v>279</v>
      </c>
      <c r="G108" s="7" t="n">
        <f aca="false">ROUND(F108*0.2,2)</f>
        <v>55.8</v>
      </c>
      <c r="H108" s="4" t="str">
        <f aca="false">IF(F108&gt;500,"Yüksek",IF(F108&gt;100,"Orta","Düşük"))</f>
        <v>Orta</v>
      </c>
    </row>
    <row r="109" customFormat="false" ht="12.8" hidden="false" customHeight="false" outlineLevel="0" collapsed="false">
      <c r="A109" s="4" t="s">
        <v>21</v>
      </c>
      <c r="B109" s="4" t="s">
        <v>13</v>
      </c>
      <c r="C109" s="4" t="n">
        <v>43</v>
      </c>
      <c r="D109" s="5" t="n">
        <v>10.5</v>
      </c>
      <c r="E109" s="6" t="n">
        <f aca="false">DATE(2024,11,23)</f>
        <v>45619</v>
      </c>
      <c r="F109" s="7" t="n">
        <f aca="false">C109*D109</f>
        <v>451.5</v>
      </c>
      <c r="G109" s="7" t="n">
        <f aca="false">ROUND(F109*0.2,2)</f>
        <v>90.3</v>
      </c>
      <c r="H109" s="4" t="str">
        <f aca="false">IF(F109&gt;500,"Yüksek",IF(F109&gt;100,"Orta","Düşük"))</f>
        <v>Orta</v>
      </c>
    </row>
    <row r="110" customFormat="false" ht="12.8" hidden="false" customHeight="false" outlineLevel="0" collapsed="false">
      <c r="A110" s="4" t="s">
        <v>22</v>
      </c>
      <c r="B110" s="4" t="s">
        <v>15</v>
      </c>
      <c r="C110" s="4" t="n">
        <v>50</v>
      </c>
      <c r="D110" s="5" t="n">
        <v>13.25</v>
      </c>
      <c r="E110" s="6" t="n">
        <f aca="false">DATE(2024,12,24)</f>
        <v>45650</v>
      </c>
      <c r="F110" s="7" t="n">
        <f aca="false">C110*D110</f>
        <v>662.5</v>
      </c>
      <c r="G110" s="7" t="n">
        <f aca="false">ROUND(F110*0.2,2)</f>
        <v>132.5</v>
      </c>
      <c r="H110" s="4" t="str">
        <f aca="false">IF(F110&gt;500,"Yüksek",IF(F110&gt;100,"Orta","Düşük"))</f>
        <v>Yüksek</v>
      </c>
    </row>
    <row r="111" customFormat="false" ht="12.8" hidden="false" customHeight="false" outlineLevel="0" collapsed="false">
      <c r="A111" s="4" t="s">
        <v>23</v>
      </c>
      <c r="B111" s="4" t="s">
        <v>17</v>
      </c>
      <c r="C111" s="4" t="n">
        <v>7</v>
      </c>
      <c r="D111" s="5" t="n">
        <v>16</v>
      </c>
      <c r="E111" s="6" t="n">
        <f aca="false">DATE(2024,1,25)</f>
        <v>45316</v>
      </c>
      <c r="F111" s="7" t="n">
        <f aca="false">C111*D111</f>
        <v>112</v>
      </c>
      <c r="G111" s="7" t="n">
        <f aca="false">ROUND(F111*0.2,2)</f>
        <v>22.4</v>
      </c>
      <c r="H111" s="4" t="str">
        <f aca="false">IF(F111&gt;500,"Yüksek",IF(F111&gt;100,"Orta","Düşük"))</f>
        <v>Orta</v>
      </c>
    </row>
    <row r="112" customFormat="false" ht="12.8" hidden="false" customHeight="false" outlineLevel="0" collapsed="false">
      <c r="A112" s="4" t="s">
        <v>24</v>
      </c>
      <c r="B112" s="4" t="s">
        <v>19</v>
      </c>
      <c r="C112" s="4" t="n">
        <v>14</v>
      </c>
      <c r="D112" s="5" t="n">
        <v>18.75</v>
      </c>
      <c r="E112" s="6" t="n">
        <f aca="false">DATE(2024,2,26)</f>
        <v>45348</v>
      </c>
      <c r="F112" s="7" t="n">
        <f aca="false">C112*D112</f>
        <v>262.5</v>
      </c>
      <c r="G112" s="7" t="n">
        <f aca="false">ROUND(F112*0.2,2)</f>
        <v>52.5</v>
      </c>
      <c r="H112" s="4" t="str">
        <f aca="false">IF(F112&gt;500,"Yüksek",IF(F112&gt;100,"Orta","Düşük"))</f>
        <v>Orta</v>
      </c>
    </row>
    <row r="113" customFormat="false" ht="12.8" hidden="false" customHeight="false" outlineLevel="0" collapsed="false">
      <c r="A113" s="4" t="s">
        <v>10</v>
      </c>
      <c r="B113" s="4" t="s">
        <v>11</v>
      </c>
      <c r="C113" s="4" t="n">
        <v>21</v>
      </c>
      <c r="D113" s="5" t="n">
        <v>21.5</v>
      </c>
      <c r="E113" s="6" t="n">
        <f aca="false">DATE(2024,3,27)</f>
        <v>45378</v>
      </c>
      <c r="F113" s="7" t="n">
        <f aca="false">C113*D113</f>
        <v>451.5</v>
      </c>
      <c r="G113" s="7" t="n">
        <f aca="false">ROUND(F113*0.2,2)</f>
        <v>90.3</v>
      </c>
      <c r="H113" s="4" t="str">
        <f aca="false">IF(F113&gt;500,"Yüksek",IF(F113&gt;100,"Orta","Düşük"))</f>
        <v>Orta</v>
      </c>
    </row>
    <row r="114" customFormat="false" ht="12.8" hidden="false" customHeight="false" outlineLevel="0" collapsed="false">
      <c r="A114" s="4" t="s">
        <v>12</v>
      </c>
      <c r="B114" s="4" t="s">
        <v>13</v>
      </c>
      <c r="C114" s="4" t="n">
        <v>28</v>
      </c>
      <c r="D114" s="5" t="n">
        <v>24.25</v>
      </c>
      <c r="E114" s="6" t="n">
        <f aca="false">DATE(2024,4,28)</f>
        <v>45410</v>
      </c>
      <c r="F114" s="7" t="n">
        <f aca="false">C114*D114</f>
        <v>679</v>
      </c>
      <c r="G114" s="7" t="n">
        <f aca="false">ROUND(F114*0.2,2)</f>
        <v>135.8</v>
      </c>
      <c r="H114" s="4" t="str">
        <f aca="false">IF(F114&gt;500,"Yüksek",IF(F114&gt;100,"Orta","Düşük"))</f>
        <v>Yüksek</v>
      </c>
    </row>
    <row r="115" customFormat="false" ht="12.8" hidden="false" customHeight="false" outlineLevel="0" collapsed="false">
      <c r="A115" s="4" t="s">
        <v>14</v>
      </c>
      <c r="B115" s="4" t="s">
        <v>15</v>
      </c>
      <c r="C115" s="4" t="n">
        <v>35</v>
      </c>
      <c r="D115" s="5" t="n">
        <v>27</v>
      </c>
      <c r="E115" s="6" t="n">
        <f aca="false">DATE(2024,5,1)</f>
        <v>45413</v>
      </c>
      <c r="F115" s="7" t="n">
        <f aca="false">C115*D115</f>
        <v>945</v>
      </c>
      <c r="G115" s="7" t="n">
        <f aca="false">ROUND(F115*0.2,2)</f>
        <v>189</v>
      </c>
      <c r="H115" s="4" t="str">
        <f aca="false">IF(F115&gt;500,"Yüksek",IF(F115&gt;100,"Orta","Düşük"))</f>
        <v>Yüksek</v>
      </c>
    </row>
    <row r="116" customFormat="false" ht="12.8" hidden="false" customHeight="false" outlineLevel="0" collapsed="false">
      <c r="A116" s="4" t="s">
        <v>16</v>
      </c>
      <c r="B116" s="4" t="s">
        <v>17</v>
      </c>
      <c r="C116" s="4" t="n">
        <v>42</v>
      </c>
      <c r="D116" s="5" t="n">
        <v>29.75</v>
      </c>
      <c r="E116" s="6" t="n">
        <f aca="false">DATE(2024,6,2)</f>
        <v>45445</v>
      </c>
      <c r="F116" s="7" t="n">
        <f aca="false">C116*D116</f>
        <v>1249.5</v>
      </c>
      <c r="G116" s="7" t="n">
        <f aca="false">ROUND(F116*0.2,2)</f>
        <v>249.9</v>
      </c>
      <c r="H116" s="4" t="str">
        <f aca="false">IF(F116&gt;500,"Yüksek",IF(F116&gt;100,"Orta","Düşük"))</f>
        <v>Yüksek</v>
      </c>
    </row>
    <row r="117" customFormat="false" ht="12.8" hidden="false" customHeight="false" outlineLevel="0" collapsed="false">
      <c r="A117" s="4" t="s">
        <v>18</v>
      </c>
      <c r="B117" s="4" t="s">
        <v>19</v>
      </c>
      <c r="C117" s="4" t="n">
        <v>49</v>
      </c>
      <c r="D117" s="5" t="n">
        <v>32.5</v>
      </c>
      <c r="E117" s="6" t="n">
        <f aca="false">DATE(2024,7,3)</f>
        <v>45476</v>
      </c>
      <c r="F117" s="7" t="n">
        <f aca="false">C117*D117</f>
        <v>1592.5</v>
      </c>
      <c r="G117" s="7" t="n">
        <f aca="false">ROUND(F117*0.2,2)</f>
        <v>318.5</v>
      </c>
      <c r="H117" s="4" t="str">
        <f aca="false">IF(F117&gt;500,"Yüksek",IF(F117&gt;100,"Orta","Düşük"))</f>
        <v>Yüksek</v>
      </c>
    </row>
    <row r="118" customFormat="false" ht="12.8" hidden="false" customHeight="false" outlineLevel="0" collapsed="false">
      <c r="A118" s="4" t="s">
        <v>20</v>
      </c>
      <c r="B118" s="4" t="s">
        <v>11</v>
      </c>
      <c r="C118" s="4" t="n">
        <v>6</v>
      </c>
      <c r="D118" s="5" t="n">
        <v>35.25</v>
      </c>
      <c r="E118" s="6" t="n">
        <f aca="false">DATE(2024,8,4)</f>
        <v>45508</v>
      </c>
      <c r="F118" s="7" t="n">
        <f aca="false">C118*D118</f>
        <v>211.5</v>
      </c>
      <c r="G118" s="7" t="n">
        <f aca="false">ROUND(F118*0.2,2)</f>
        <v>42.3</v>
      </c>
      <c r="H118" s="4" t="str">
        <f aca="false">IF(F118&gt;500,"Yüksek",IF(F118&gt;100,"Orta","Düşük"))</f>
        <v>Orta</v>
      </c>
    </row>
    <row r="119" customFormat="false" ht="12.8" hidden="false" customHeight="false" outlineLevel="0" collapsed="false">
      <c r="A119" s="4" t="s">
        <v>21</v>
      </c>
      <c r="B119" s="4" t="s">
        <v>13</v>
      </c>
      <c r="C119" s="4" t="n">
        <v>13</v>
      </c>
      <c r="D119" s="5" t="n">
        <v>38</v>
      </c>
      <c r="E119" s="6" t="n">
        <f aca="false">DATE(2024,9,5)</f>
        <v>45540</v>
      </c>
      <c r="F119" s="7" t="n">
        <f aca="false">C119*D119</f>
        <v>494</v>
      </c>
      <c r="G119" s="7" t="n">
        <f aca="false">ROUND(F119*0.2,2)</f>
        <v>98.8</v>
      </c>
      <c r="H119" s="4" t="str">
        <f aca="false">IF(F119&gt;500,"Yüksek",IF(F119&gt;100,"Orta","Düşük"))</f>
        <v>Orta</v>
      </c>
    </row>
    <row r="120" customFormat="false" ht="12.8" hidden="false" customHeight="false" outlineLevel="0" collapsed="false">
      <c r="A120" s="4" t="s">
        <v>22</v>
      </c>
      <c r="B120" s="4" t="s">
        <v>15</v>
      </c>
      <c r="C120" s="4" t="n">
        <v>20</v>
      </c>
      <c r="D120" s="5" t="n">
        <v>5</v>
      </c>
      <c r="E120" s="6" t="n">
        <f aca="false">DATE(2024,10,6)</f>
        <v>45571</v>
      </c>
      <c r="F120" s="7" t="n">
        <f aca="false">C120*D120</f>
        <v>100</v>
      </c>
      <c r="G120" s="7" t="n">
        <f aca="false">ROUND(F120*0.2,2)</f>
        <v>20</v>
      </c>
      <c r="H120" s="4" t="str">
        <f aca="false">IF(F120&gt;500,"Yüksek",IF(F120&gt;100,"Orta","Düşük"))</f>
        <v>Düşük</v>
      </c>
    </row>
    <row r="121" customFormat="false" ht="12.8" hidden="false" customHeight="false" outlineLevel="0" collapsed="false">
      <c r="A121" s="4" t="s">
        <v>23</v>
      </c>
      <c r="B121" s="4" t="s">
        <v>17</v>
      </c>
      <c r="C121" s="4" t="n">
        <v>27</v>
      </c>
      <c r="D121" s="5" t="n">
        <v>7.75</v>
      </c>
      <c r="E121" s="6" t="n">
        <f aca="false">DATE(2024,11,7)</f>
        <v>45603</v>
      </c>
      <c r="F121" s="7" t="n">
        <f aca="false">C121*D121</f>
        <v>209.25</v>
      </c>
      <c r="G121" s="7" t="n">
        <f aca="false">ROUND(F121*0.2,2)</f>
        <v>41.85</v>
      </c>
      <c r="H121" s="4" t="str">
        <f aca="false">IF(F121&gt;500,"Yüksek",IF(F121&gt;100,"Orta","Düşük"))</f>
        <v>Orta</v>
      </c>
    </row>
    <row r="122" customFormat="false" ht="12.8" hidden="false" customHeight="false" outlineLevel="0" collapsed="false">
      <c r="A122" s="4" t="s">
        <v>24</v>
      </c>
      <c r="B122" s="4" t="s">
        <v>19</v>
      </c>
      <c r="C122" s="4" t="n">
        <v>34</v>
      </c>
      <c r="D122" s="5" t="n">
        <v>10.5</v>
      </c>
      <c r="E122" s="6" t="n">
        <f aca="false">DATE(2024,12,8)</f>
        <v>45634</v>
      </c>
      <c r="F122" s="7" t="n">
        <f aca="false">C122*D122</f>
        <v>357</v>
      </c>
      <c r="G122" s="7" t="n">
        <f aca="false">ROUND(F122*0.2,2)</f>
        <v>71.4</v>
      </c>
      <c r="H122" s="4" t="str">
        <f aca="false">IF(F122&gt;500,"Yüksek",IF(F122&gt;100,"Orta","Düşük"))</f>
        <v>Orta</v>
      </c>
    </row>
    <row r="123" customFormat="false" ht="12.8" hidden="false" customHeight="false" outlineLevel="0" collapsed="false">
      <c r="A123" s="4" t="s">
        <v>10</v>
      </c>
      <c r="B123" s="4" t="s">
        <v>11</v>
      </c>
      <c r="C123" s="4" t="n">
        <v>41</v>
      </c>
      <c r="D123" s="5" t="n">
        <v>13.25</v>
      </c>
      <c r="E123" s="6" t="n">
        <f aca="false">DATE(2024,1,9)</f>
        <v>45300</v>
      </c>
      <c r="F123" s="7" t="n">
        <f aca="false">C123*D123</f>
        <v>543.25</v>
      </c>
      <c r="G123" s="7" t="n">
        <f aca="false">ROUND(F123*0.2,2)</f>
        <v>108.65</v>
      </c>
      <c r="H123" s="4" t="str">
        <f aca="false">IF(F123&gt;500,"Yüksek",IF(F123&gt;100,"Orta","Düşük"))</f>
        <v>Yüksek</v>
      </c>
    </row>
    <row r="124" customFormat="false" ht="12.8" hidden="false" customHeight="false" outlineLevel="0" collapsed="false">
      <c r="A124" s="4" t="s">
        <v>12</v>
      </c>
      <c r="B124" s="4" t="s">
        <v>13</v>
      </c>
      <c r="C124" s="4" t="n">
        <v>48</v>
      </c>
      <c r="D124" s="5" t="n">
        <v>16</v>
      </c>
      <c r="E124" s="6" t="n">
        <f aca="false">DATE(2024,2,10)</f>
        <v>45332</v>
      </c>
      <c r="F124" s="7" t="n">
        <f aca="false">C124*D124</f>
        <v>768</v>
      </c>
      <c r="G124" s="7" t="n">
        <f aca="false">ROUND(F124*0.2,2)</f>
        <v>153.6</v>
      </c>
      <c r="H124" s="4" t="str">
        <f aca="false">IF(F124&gt;500,"Yüksek",IF(F124&gt;100,"Orta","Düşük"))</f>
        <v>Yüksek</v>
      </c>
    </row>
    <row r="125" customFormat="false" ht="12.8" hidden="false" customHeight="false" outlineLevel="0" collapsed="false">
      <c r="A125" s="4" t="s">
        <v>14</v>
      </c>
      <c r="B125" s="4" t="s">
        <v>15</v>
      </c>
      <c r="C125" s="4" t="n">
        <v>5</v>
      </c>
      <c r="D125" s="5" t="n">
        <v>18.75</v>
      </c>
      <c r="E125" s="6" t="n">
        <f aca="false">DATE(2024,3,11)</f>
        <v>45362</v>
      </c>
      <c r="F125" s="7" t="n">
        <f aca="false">C125*D125</f>
        <v>93.75</v>
      </c>
      <c r="G125" s="7" t="n">
        <f aca="false">ROUND(F125*0.2,2)</f>
        <v>18.75</v>
      </c>
      <c r="H125" s="4" t="str">
        <f aca="false">IF(F125&gt;500,"Yüksek",IF(F125&gt;100,"Orta","Düşük"))</f>
        <v>Düşük</v>
      </c>
    </row>
    <row r="126" customFormat="false" ht="12.8" hidden="false" customHeight="false" outlineLevel="0" collapsed="false">
      <c r="A126" s="4" t="s">
        <v>16</v>
      </c>
      <c r="B126" s="4" t="s">
        <v>17</v>
      </c>
      <c r="C126" s="4" t="n">
        <v>12</v>
      </c>
      <c r="D126" s="5" t="n">
        <v>21.5</v>
      </c>
      <c r="E126" s="6" t="n">
        <f aca="false">DATE(2024,4,12)</f>
        <v>45394</v>
      </c>
      <c r="F126" s="7" t="n">
        <f aca="false">C126*D126</f>
        <v>258</v>
      </c>
      <c r="G126" s="7" t="n">
        <f aca="false">ROUND(F126*0.2,2)</f>
        <v>51.6</v>
      </c>
      <c r="H126" s="4" t="str">
        <f aca="false">IF(F126&gt;500,"Yüksek",IF(F126&gt;100,"Orta","Düşük"))</f>
        <v>Orta</v>
      </c>
    </row>
    <row r="127" customFormat="false" ht="12.8" hidden="false" customHeight="false" outlineLevel="0" collapsed="false">
      <c r="A127" s="4" t="s">
        <v>18</v>
      </c>
      <c r="B127" s="4" t="s">
        <v>19</v>
      </c>
      <c r="C127" s="4" t="n">
        <v>19</v>
      </c>
      <c r="D127" s="5" t="n">
        <v>24.25</v>
      </c>
      <c r="E127" s="6" t="n">
        <f aca="false">DATE(2024,5,13)</f>
        <v>45425</v>
      </c>
      <c r="F127" s="7" t="n">
        <f aca="false">C127*D127</f>
        <v>460.75</v>
      </c>
      <c r="G127" s="7" t="n">
        <f aca="false">ROUND(F127*0.2,2)</f>
        <v>92.15</v>
      </c>
      <c r="H127" s="4" t="str">
        <f aca="false">IF(F127&gt;500,"Yüksek",IF(F127&gt;100,"Orta","Düşük"))</f>
        <v>Orta</v>
      </c>
    </row>
    <row r="128" customFormat="false" ht="12.8" hidden="false" customHeight="false" outlineLevel="0" collapsed="false">
      <c r="A128" s="4" t="s">
        <v>20</v>
      </c>
      <c r="B128" s="4" t="s">
        <v>11</v>
      </c>
      <c r="C128" s="4" t="n">
        <v>26</v>
      </c>
      <c r="D128" s="5" t="n">
        <v>27</v>
      </c>
      <c r="E128" s="6" t="n">
        <f aca="false">DATE(2024,6,14)</f>
        <v>45457</v>
      </c>
      <c r="F128" s="7" t="n">
        <f aca="false">C128*D128</f>
        <v>702</v>
      </c>
      <c r="G128" s="7" t="n">
        <f aca="false">ROUND(F128*0.2,2)</f>
        <v>140.4</v>
      </c>
      <c r="H128" s="4" t="str">
        <f aca="false">IF(F128&gt;500,"Yüksek",IF(F128&gt;100,"Orta","Düşük"))</f>
        <v>Yüksek</v>
      </c>
    </row>
    <row r="129" customFormat="false" ht="12.8" hidden="false" customHeight="false" outlineLevel="0" collapsed="false">
      <c r="A129" s="4" t="s">
        <v>21</v>
      </c>
      <c r="B129" s="4" t="s">
        <v>13</v>
      </c>
      <c r="C129" s="4" t="n">
        <v>33</v>
      </c>
      <c r="D129" s="5" t="n">
        <v>29.75</v>
      </c>
      <c r="E129" s="6" t="n">
        <f aca="false">DATE(2024,7,15)</f>
        <v>45488</v>
      </c>
      <c r="F129" s="7" t="n">
        <f aca="false">C129*D129</f>
        <v>981.75</v>
      </c>
      <c r="G129" s="7" t="n">
        <f aca="false">ROUND(F129*0.2,2)</f>
        <v>196.35</v>
      </c>
      <c r="H129" s="4" t="str">
        <f aca="false">IF(F129&gt;500,"Yüksek",IF(F129&gt;100,"Orta","Düşük"))</f>
        <v>Yüksek</v>
      </c>
    </row>
    <row r="130" customFormat="false" ht="12.8" hidden="false" customHeight="false" outlineLevel="0" collapsed="false">
      <c r="A130" s="4" t="s">
        <v>22</v>
      </c>
      <c r="B130" s="4" t="s">
        <v>15</v>
      </c>
      <c r="C130" s="4" t="n">
        <v>40</v>
      </c>
      <c r="D130" s="5" t="n">
        <v>32.5</v>
      </c>
      <c r="E130" s="6" t="n">
        <f aca="false">DATE(2024,8,16)</f>
        <v>45520</v>
      </c>
      <c r="F130" s="7" t="n">
        <f aca="false">C130*D130</f>
        <v>1300</v>
      </c>
      <c r="G130" s="7" t="n">
        <f aca="false">ROUND(F130*0.2,2)</f>
        <v>260</v>
      </c>
      <c r="H130" s="4" t="str">
        <f aca="false">IF(F130&gt;500,"Yüksek",IF(F130&gt;100,"Orta","Düşük"))</f>
        <v>Yüksek</v>
      </c>
    </row>
    <row r="131" customFormat="false" ht="12.8" hidden="false" customHeight="false" outlineLevel="0" collapsed="false">
      <c r="A131" s="4" t="s">
        <v>23</v>
      </c>
      <c r="B131" s="4" t="s">
        <v>17</v>
      </c>
      <c r="C131" s="4" t="n">
        <v>47</v>
      </c>
      <c r="D131" s="5" t="n">
        <v>35.25</v>
      </c>
      <c r="E131" s="6" t="n">
        <f aca="false">DATE(2024,9,17)</f>
        <v>45552</v>
      </c>
      <c r="F131" s="7" t="n">
        <f aca="false">C131*D131</f>
        <v>1656.75</v>
      </c>
      <c r="G131" s="7" t="n">
        <f aca="false">ROUND(F131*0.2,2)</f>
        <v>331.35</v>
      </c>
      <c r="H131" s="4" t="str">
        <f aca="false">IF(F131&gt;500,"Yüksek",IF(F131&gt;100,"Orta","Düşük"))</f>
        <v>Yüksek</v>
      </c>
    </row>
    <row r="132" customFormat="false" ht="12.8" hidden="false" customHeight="false" outlineLevel="0" collapsed="false">
      <c r="A132" s="4" t="s">
        <v>24</v>
      </c>
      <c r="B132" s="4" t="s">
        <v>19</v>
      </c>
      <c r="C132" s="4" t="n">
        <v>4</v>
      </c>
      <c r="D132" s="5" t="n">
        <v>38</v>
      </c>
      <c r="E132" s="6" t="n">
        <f aca="false">DATE(2024,10,18)</f>
        <v>45583</v>
      </c>
      <c r="F132" s="7" t="n">
        <f aca="false">C132*D132</f>
        <v>152</v>
      </c>
      <c r="G132" s="7" t="n">
        <f aca="false">ROUND(F132*0.2,2)</f>
        <v>30.4</v>
      </c>
      <c r="H132" s="4" t="str">
        <f aca="false">IF(F132&gt;500,"Yüksek",IF(F132&gt;100,"Orta","Düşük"))</f>
        <v>Orta</v>
      </c>
    </row>
    <row r="133" customFormat="false" ht="12.8" hidden="false" customHeight="false" outlineLevel="0" collapsed="false">
      <c r="A133" s="4" t="s">
        <v>10</v>
      </c>
      <c r="B133" s="4" t="s">
        <v>11</v>
      </c>
      <c r="C133" s="4" t="n">
        <v>11</v>
      </c>
      <c r="D133" s="5" t="n">
        <v>5</v>
      </c>
      <c r="E133" s="6" t="n">
        <f aca="false">DATE(2024,11,19)</f>
        <v>45615</v>
      </c>
      <c r="F133" s="7" t="n">
        <f aca="false">C133*D133</f>
        <v>55</v>
      </c>
      <c r="G133" s="7" t="n">
        <f aca="false">ROUND(F133*0.2,2)</f>
        <v>11</v>
      </c>
      <c r="H133" s="4" t="str">
        <f aca="false">IF(F133&gt;500,"Yüksek",IF(F133&gt;100,"Orta","Düşük"))</f>
        <v>Düşük</v>
      </c>
    </row>
    <row r="134" customFormat="false" ht="12.8" hidden="false" customHeight="false" outlineLevel="0" collapsed="false">
      <c r="A134" s="4" t="s">
        <v>12</v>
      </c>
      <c r="B134" s="4" t="s">
        <v>13</v>
      </c>
      <c r="C134" s="4" t="n">
        <v>18</v>
      </c>
      <c r="D134" s="5" t="n">
        <v>7.75</v>
      </c>
      <c r="E134" s="6" t="n">
        <f aca="false">DATE(2024,12,20)</f>
        <v>45646</v>
      </c>
      <c r="F134" s="7" t="n">
        <f aca="false">C134*D134</f>
        <v>139.5</v>
      </c>
      <c r="G134" s="7" t="n">
        <f aca="false">ROUND(F134*0.2,2)</f>
        <v>27.9</v>
      </c>
      <c r="H134" s="4" t="str">
        <f aca="false">IF(F134&gt;500,"Yüksek",IF(F134&gt;100,"Orta","Düşük"))</f>
        <v>Orta</v>
      </c>
    </row>
    <row r="135" customFormat="false" ht="12.8" hidden="false" customHeight="false" outlineLevel="0" collapsed="false">
      <c r="A135" s="4" t="s">
        <v>14</v>
      </c>
      <c r="B135" s="4" t="s">
        <v>15</v>
      </c>
      <c r="C135" s="4" t="n">
        <v>25</v>
      </c>
      <c r="D135" s="5" t="n">
        <v>10.5</v>
      </c>
      <c r="E135" s="6" t="n">
        <f aca="false">DATE(2024,1,21)</f>
        <v>45312</v>
      </c>
      <c r="F135" s="7" t="n">
        <f aca="false">C135*D135</f>
        <v>262.5</v>
      </c>
      <c r="G135" s="7" t="n">
        <f aca="false">ROUND(F135*0.2,2)</f>
        <v>52.5</v>
      </c>
      <c r="H135" s="4" t="str">
        <f aca="false">IF(F135&gt;500,"Yüksek",IF(F135&gt;100,"Orta","Düşük"))</f>
        <v>Orta</v>
      </c>
    </row>
    <row r="136" customFormat="false" ht="12.8" hidden="false" customHeight="false" outlineLevel="0" collapsed="false">
      <c r="A136" s="4" t="s">
        <v>16</v>
      </c>
      <c r="B136" s="4" t="s">
        <v>17</v>
      </c>
      <c r="C136" s="4" t="n">
        <v>32</v>
      </c>
      <c r="D136" s="5" t="n">
        <v>13.25</v>
      </c>
      <c r="E136" s="6" t="n">
        <f aca="false">DATE(2024,2,22)</f>
        <v>45344</v>
      </c>
      <c r="F136" s="7" t="n">
        <f aca="false">C136*D136</f>
        <v>424</v>
      </c>
      <c r="G136" s="7" t="n">
        <f aca="false">ROUND(F136*0.2,2)</f>
        <v>84.8</v>
      </c>
      <c r="H136" s="4" t="str">
        <f aca="false">IF(F136&gt;500,"Yüksek",IF(F136&gt;100,"Orta","Düşük"))</f>
        <v>Orta</v>
      </c>
    </row>
    <row r="137" customFormat="false" ht="12.8" hidden="false" customHeight="false" outlineLevel="0" collapsed="false">
      <c r="A137" s="4" t="s">
        <v>18</v>
      </c>
      <c r="B137" s="4" t="s">
        <v>19</v>
      </c>
      <c r="C137" s="4" t="n">
        <v>39</v>
      </c>
      <c r="D137" s="5" t="n">
        <v>16</v>
      </c>
      <c r="E137" s="6" t="n">
        <f aca="false">DATE(2024,3,23)</f>
        <v>45374</v>
      </c>
      <c r="F137" s="7" t="n">
        <f aca="false">C137*D137</f>
        <v>624</v>
      </c>
      <c r="G137" s="7" t="n">
        <f aca="false">ROUND(F137*0.2,2)</f>
        <v>124.8</v>
      </c>
      <c r="H137" s="4" t="str">
        <f aca="false">IF(F137&gt;500,"Yüksek",IF(F137&gt;100,"Orta","Düşük"))</f>
        <v>Yüksek</v>
      </c>
    </row>
    <row r="138" customFormat="false" ht="12.8" hidden="false" customHeight="false" outlineLevel="0" collapsed="false">
      <c r="A138" s="4" t="s">
        <v>20</v>
      </c>
      <c r="B138" s="4" t="s">
        <v>11</v>
      </c>
      <c r="C138" s="4" t="n">
        <v>46</v>
      </c>
      <c r="D138" s="5" t="n">
        <v>18.75</v>
      </c>
      <c r="E138" s="6" t="n">
        <f aca="false">DATE(2024,4,24)</f>
        <v>45406</v>
      </c>
      <c r="F138" s="7" t="n">
        <f aca="false">C138*D138</f>
        <v>862.5</v>
      </c>
      <c r="G138" s="7" t="n">
        <f aca="false">ROUND(F138*0.2,2)</f>
        <v>172.5</v>
      </c>
      <c r="H138" s="4" t="str">
        <f aca="false">IF(F138&gt;500,"Yüksek",IF(F138&gt;100,"Orta","Düşük"))</f>
        <v>Yüksek</v>
      </c>
    </row>
    <row r="139" customFormat="false" ht="12.8" hidden="false" customHeight="false" outlineLevel="0" collapsed="false">
      <c r="A139" s="4" t="s">
        <v>21</v>
      </c>
      <c r="B139" s="4" t="s">
        <v>13</v>
      </c>
      <c r="C139" s="4" t="n">
        <v>3</v>
      </c>
      <c r="D139" s="5" t="n">
        <v>21.5</v>
      </c>
      <c r="E139" s="6" t="n">
        <f aca="false">DATE(2024,5,25)</f>
        <v>45437</v>
      </c>
      <c r="F139" s="7" t="n">
        <f aca="false">C139*D139</f>
        <v>64.5</v>
      </c>
      <c r="G139" s="7" t="n">
        <f aca="false">ROUND(F139*0.2,2)</f>
        <v>12.9</v>
      </c>
      <c r="H139" s="4" t="str">
        <f aca="false">IF(F139&gt;500,"Yüksek",IF(F139&gt;100,"Orta","Düşük"))</f>
        <v>Düşük</v>
      </c>
    </row>
    <row r="140" customFormat="false" ht="12.8" hidden="false" customHeight="false" outlineLevel="0" collapsed="false">
      <c r="A140" s="4" t="s">
        <v>22</v>
      </c>
      <c r="B140" s="4" t="s">
        <v>15</v>
      </c>
      <c r="C140" s="4" t="n">
        <v>10</v>
      </c>
      <c r="D140" s="5" t="n">
        <v>24.25</v>
      </c>
      <c r="E140" s="6" t="n">
        <f aca="false">DATE(2024,6,26)</f>
        <v>45469</v>
      </c>
      <c r="F140" s="7" t="n">
        <f aca="false">C140*D140</f>
        <v>242.5</v>
      </c>
      <c r="G140" s="7" t="n">
        <f aca="false">ROUND(F140*0.2,2)</f>
        <v>48.5</v>
      </c>
      <c r="H140" s="4" t="str">
        <f aca="false">IF(F140&gt;500,"Yüksek",IF(F140&gt;100,"Orta","Düşük"))</f>
        <v>Orta</v>
      </c>
    </row>
    <row r="141" customFormat="false" ht="12.8" hidden="false" customHeight="false" outlineLevel="0" collapsed="false">
      <c r="A141" s="4" t="s">
        <v>23</v>
      </c>
      <c r="B141" s="4" t="s">
        <v>17</v>
      </c>
      <c r="C141" s="4" t="n">
        <v>17</v>
      </c>
      <c r="D141" s="5" t="n">
        <v>27</v>
      </c>
      <c r="E141" s="6" t="n">
        <f aca="false">DATE(2024,7,27)</f>
        <v>45500</v>
      </c>
      <c r="F141" s="7" t="n">
        <f aca="false">C141*D141</f>
        <v>459</v>
      </c>
      <c r="G141" s="7" t="n">
        <f aca="false">ROUND(F141*0.2,2)</f>
        <v>91.8</v>
      </c>
      <c r="H141" s="4" t="str">
        <f aca="false">IF(F141&gt;500,"Yüksek",IF(F141&gt;100,"Orta","Düşük"))</f>
        <v>Orta</v>
      </c>
    </row>
    <row r="142" customFormat="false" ht="12.8" hidden="false" customHeight="false" outlineLevel="0" collapsed="false">
      <c r="A142" s="4" t="s">
        <v>24</v>
      </c>
      <c r="B142" s="4" t="s">
        <v>19</v>
      </c>
      <c r="C142" s="4" t="n">
        <v>24</v>
      </c>
      <c r="D142" s="5" t="n">
        <v>29.75</v>
      </c>
      <c r="E142" s="6" t="n">
        <f aca="false">DATE(2024,8,28)</f>
        <v>45532</v>
      </c>
      <c r="F142" s="7" t="n">
        <f aca="false">C142*D142</f>
        <v>714</v>
      </c>
      <c r="G142" s="7" t="n">
        <f aca="false">ROUND(F142*0.2,2)</f>
        <v>142.8</v>
      </c>
      <c r="H142" s="4" t="str">
        <f aca="false">IF(F142&gt;500,"Yüksek",IF(F142&gt;100,"Orta","Düşük"))</f>
        <v>Yüksek</v>
      </c>
    </row>
    <row r="143" customFormat="false" ht="12.8" hidden="false" customHeight="false" outlineLevel="0" collapsed="false">
      <c r="A143" s="4" t="s">
        <v>10</v>
      </c>
      <c r="B143" s="4" t="s">
        <v>11</v>
      </c>
      <c r="C143" s="4" t="n">
        <v>31</v>
      </c>
      <c r="D143" s="5" t="n">
        <v>32.5</v>
      </c>
      <c r="E143" s="6" t="n">
        <f aca="false">DATE(2024,9,1)</f>
        <v>45536</v>
      </c>
      <c r="F143" s="7" t="n">
        <f aca="false">C143*D143</f>
        <v>1007.5</v>
      </c>
      <c r="G143" s="7" t="n">
        <f aca="false">ROUND(F143*0.2,2)</f>
        <v>201.5</v>
      </c>
      <c r="H143" s="4" t="str">
        <f aca="false">IF(F143&gt;500,"Yüksek",IF(F143&gt;100,"Orta","Düşük"))</f>
        <v>Yüksek</v>
      </c>
    </row>
    <row r="144" customFormat="false" ht="12.8" hidden="false" customHeight="false" outlineLevel="0" collapsed="false">
      <c r="A144" s="4" t="s">
        <v>12</v>
      </c>
      <c r="B144" s="4" t="s">
        <v>13</v>
      </c>
      <c r="C144" s="4" t="n">
        <v>38</v>
      </c>
      <c r="D144" s="5" t="n">
        <v>35.25</v>
      </c>
      <c r="E144" s="6" t="n">
        <f aca="false">DATE(2024,10,2)</f>
        <v>45567</v>
      </c>
      <c r="F144" s="7" t="n">
        <f aca="false">C144*D144</f>
        <v>1339.5</v>
      </c>
      <c r="G144" s="7" t="n">
        <f aca="false">ROUND(F144*0.2,2)</f>
        <v>267.9</v>
      </c>
      <c r="H144" s="4" t="str">
        <f aca="false">IF(F144&gt;500,"Yüksek",IF(F144&gt;100,"Orta","Düşük"))</f>
        <v>Yüksek</v>
      </c>
    </row>
    <row r="145" customFormat="false" ht="12.8" hidden="false" customHeight="false" outlineLevel="0" collapsed="false">
      <c r="A145" s="4" t="s">
        <v>14</v>
      </c>
      <c r="B145" s="4" t="s">
        <v>15</v>
      </c>
      <c r="C145" s="4" t="n">
        <v>45</v>
      </c>
      <c r="D145" s="5" t="n">
        <v>38</v>
      </c>
      <c r="E145" s="6" t="n">
        <f aca="false">DATE(2024,11,3)</f>
        <v>45599</v>
      </c>
      <c r="F145" s="7" t="n">
        <f aca="false">C145*D145</f>
        <v>1710</v>
      </c>
      <c r="G145" s="7" t="n">
        <f aca="false">ROUND(F145*0.2,2)</f>
        <v>342</v>
      </c>
      <c r="H145" s="4" t="str">
        <f aca="false">IF(F145&gt;500,"Yüksek",IF(F145&gt;100,"Orta","Düşük"))</f>
        <v>Yüksek</v>
      </c>
    </row>
    <row r="146" customFormat="false" ht="12.8" hidden="false" customHeight="false" outlineLevel="0" collapsed="false">
      <c r="A146" s="4" t="s">
        <v>16</v>
      </c>
      <c r="B146" s="4" t="s">
        <v>17</v>
      </c>
      <c r="C146" s="4" t="n">
        <v>2</v>
      </c>
      <c r="D146" s="5" t="n">
        <v>5</v>
      </c>
      <c r="E146" s="6" t="n">
        <f aca="false">DATE(2024,12,4)</f>
        <v>45630</v>
      </c>
      <c r="F146" s="7" t="n">
        <f aca="false">C146*D146</f>
        <v>10</v>
      </c>
      <c r="G146" s="7" t="n">
        <f aca="false">ROUND(F146*0.2,2)</f>
        <v>2</v>
      </c>
      <c r="H146" s="4" t="str">
        <f aca="false">IF(F146&gt;500,"Yüksek",IF(F146&gt;100,"Orta","Düşük"))</f>
        <v>Düşük</v>
      </c>
    </row>
    <row r="147" customFormat="false" ht="12.8" hidden="false" customHeight="false" outlineLevel="0" collapsed="false">
      <c r="A147" s="4" t="s">
        <v>18</v>
      </c>
      <c r="B147" s="4" t="s">
        <v>19</v>
      </c>
      <c r="C147" s="4" t="n">
        <v>9</v>
      </c>
      <c r="D147" s="5" t="n">
        <v>7.75</v>
      </c>
      <c r="E147" s="6" t="n">
        <f aca="false">DATE(2024,1,5)</f>
        <v>45296</v>
      </c>
      <c r="F147" s="7" t="n">
        <f aca="false">C147*D147</f>
        <v>69.75</v>
      </c>
      <c r="G147" s="7" t="n">
        <f aca="false">ROUND(F147*0.2,2)</f>
        <v>13.95</v>
      </c>
      <c r="H147" s="4" t="str">
        <f aca="false">IF(F147&gt;500,"Yüksek",IF(F147&gt;100,"Orta","Düşük"))</f>
        <v>Düşük</v>
      </c>
    </row>
    <row r="148" customFormat="false" ht="12.8" hidden="false" customHeight="false" outlineLevel="0" collapsed="false">
      <c r="A148" s="4" t="s">
        <v>20</v>
      </c>
      <c r="B148" s="4" t="s">
        <v>11</v>
      </c>
      <c r="C148" s="4" t="n">
        <v>16</v>
      </c>
      <c r="D148" s="5" t="n">
        <v>10.5</v>
      </c>
      <c r="E148" s="6" t="n">
        <f aca="false">DATE(2024,2,6)</f>
        <v>45328</v>
      </c>
      <c r="F148" s="7" t="n">
        <f aca="false">C148*D148</f>
        <v>168</v>
      </c>
      <c r="G148" s="7" t="n">
        <f aca="false">ROUND(F148*0.2,2)</f>
        <v>33.6</v>
      </c>
      <c r="H148" s="4" t="str">
        <f aca="false">IF(F148&gt;500,"Yüksek",IF(F148&gt;100,"Orta","Düşük"))</f>
        <v>Orta</v>
      </c>
    </row>
    <row r="149" customFormat="false" ht="12.8" hidden="false" customHeight="false" outlineLevel="0" collapsed="false">
      <c r="A149" s="4" t="s">
        <v>21</v>
      </c>
      <c r="B149" s="4" t="s">
        <v>13</v>
      </c>
      <c r="C149" s="4" t="n">
        <v>23</v>
      </c>
      <c r="D149" s="5" t="n">
        <v>13.25</v>
      </c>
      <c r="E149" s="6" t="n">
        <f aca="false">DATE(2024,3,7)</f>
        <v>45358</v>
      </c>
      <c r="F149" s="7" t="n">
        <f aca="false">C149*D149</f>
        <v>304.75</v>
      </c>
      <c r="G149" s="7" t="n">
        <f aca="false">ROUND(F149*0.2,2)</f>
        <v>60.95</v>
      </c>
      <c r="H149" s="4" t="str">
        <f aca="false">IF(F149&gt;500,"Yüksek",IF(F149&gt;100,"Orta","Düşük"))</f>
        <v>Orta</v>
      </c>
    </row>
    <row r="150" customFormat="false" ht="12.8" hidden="false" customHeight="false" outlineLevel="0" collapsed="false">
      <c r="A150" s="4" t="s">
        <v>22</v>
      </c>
      <c r="B150" s="4" t="s">
        <v>15</v>
      </c>
      <c r="C150" s="4" t="n">
        <v>30</v>
      </c>
      <c r="D150" s="5" t="n">
        <v>16</v>
      </c>
      <c r="E150" s="6" t="n">
        <f aca="false">DATE(2024,4,8)</f>
        <v>45390</v>
      </c>
      <c r="F150" s="7" t="n">
        <f aca="false">C150*D150</f>
        <v>480</v>
      </c>
      <c r="G150" s="7" t="n">
        <f aca="false">ROUND(F150*0.2,2)</f>
        <v>96</v>
      </c>
      <c r="H150" s="4" t="str">
        <f aca="false">IF(F150&gt;500,"Yüksek",IF(F150&gt;100,"Orta","Düşük"))</f>
        <v>Orta</v>
      </c>
    </row>
    <row r="151" customFormat="false" ht="12.8" hidden="false" customHeight="false" outlineLevel="0" collapsed="false">
      <c r="A151" s="4" t="s">
        <v>23</v>
      </c>
      <c r="B151" s="4" t="s">
        <v>17</v>
      </c>
      <c r="C151" s="4" t="n">
        <v>37</v>
      </c>
      <c r="D151" s="5" t="n">
        <v>18.75</v>
      </c>
      <c r="E151" s="6" t="n">
        <f aca="false">DATE(2024,5,9)</f>
        <v>45421</v>
      </c>
      <c r="F151" s="7" t="n">
        <f aca="false">C151*D151</f>
        <v>693.75</v>
      </c>
      <c r="G151" s="7" t="n">
        <f aca="false">ROUND(F151*0.2,2)</f>
        <v>138.75</v>
      </c>
      <c r="H151" s="4" t="str">
        <f aca="false">IF(F151&gt;500,"Yüksek",IF(F151&gt;100,"Orta","Düşük"))</f>
        <v>Yüksek</v>
      </c>
    </row>
    <row r="152" customFormat="false" ht="12.8" hidden="false" customHeight="false" outlineLevel="0" collapsed="false">
      <c r="A152" s="4" t="s">
        <v>24</v>
      </c>
      <c r="B152" s="4" t="s">
        <v>19</v>
      </c>
      <c r="C152" s="4" t="n">
        <v>44</v>
      </c>
      <c r="D152" s="5" t="n">
        <v>21.5</v>
      </c>
      <c r="E152" s="6" t="n">
        <f aca="false">DATE(2024,6,10)</f>
        <v>45453</v>
      </c>
      <c r="F152" s="7" t="n">
        <f aca="false">C152*D152</f>
        <v>946</v>
      </c>
      <c r="G152" s="7" t="n">
        <f aca="false">ROUND(F152*0.2,2)</f>
        <v>189.2</v>
      </c>
      <c r="H152" s="4" t="str">
        <f aca="false">IF(F152&gt;500,"Yüksek",IF(F152&gt;100,"Orta","Düşük"))</f>
        <v>Yüksek</v>
      </c>
    </row>
    <row r="153" customFormat="false" ht="12.8" hidden="false" customHeight="false" outlineLevel="0" collapsed="false">
      <c r="A153" s="4" t="s">
        <v>10</v>
      </c>
      <c r="B153" s="4" t="s">
        <v>11</v>
      </c>
      <c r="C153" s="4" t="n">
        <v>1</v>
      </c>
      <c r="D153" s="5" t="n">
        <v>24.25</v>
      </c>
      <c r="E153" s="6" t="n">
        <f aca="false">DATE(2024,7,11)</f>
        <v>45484</v>
      </c>
      <c r="F153" s="7" t="n">
        <f aca="false">C153*D153</f>
        <v>24.25</v>
      </c>
      <c r="G153" s="7" t="n">
        <f aca="false">ROUND(F153*0.2,2)</f>
        <v>4.85</v>
      </c>
      <c r="H153" s="4" t="str">
        <f aca="false">IF(F153&gt;500,"Yüksek",IF(F153&gt;100,"Orta","Düşük"))</f>
        <v>Düşük</v>
      </c>
    </row>
    <row r="154" customFormat="false" ht="12.8" hidden="false" customHeight="false" outlineLevel="0" collapsed="false">
      <c r="A154" s="4" t="s">
        <v>12</v>
      </c>
      <c r="B154" s="4" t="s">
        <v>13</v>
      </c>
      <c r="C154" s="4" t="n">
        <v>8</v>
      </c>
      <c r="D154" s="5" t="n">
        <v>27</v>
      </c>
      <c r="E154" s="6" t="n">
        <f aca="false">DATE(2024,8,12)</f>
        <v>45516</v>
      </c>
      <c r="F154" s="7" t="n">
        <f aca="false">C154*D154</f>
        <v>216</v>
      </c>
      <c r="G154" s="7" t="n">
        <f aca="false">ROUND(F154*0.2,2)</f>
        <v>43.2</v>
      </c>
      <c r="H154" s="4" t="str">
        <f aca="false">IF(F154&gt;500,"Yüksek",IF(F154&gt;100,"Orta","Düşük"))</f>
        <v>Orta</v>
      </c>
    </row>
    <row r="155" customFormat="false" ht="12.8" hidden="false" customHeight="false" outlineLevel="0" collapsed="false">
      <c r="A155" s="4" t="s">
        <v>14</v>
      </c>
      <c r="B155" s="4" t="s">
        <v>15</v>
      </c>
      <c r="C155" s="4" t="n">
        <v>15</v>
      </c>
      <c r="D155" s="5" t="n">
        <v>29.75</v>
      </c>
      <c r="E155" s="6" t="n">
        <f aca="false">DATE(2024,9,13)</f>
        <v>45548</v>
      </c>
      <c r="F155" s="7" t="n">
        <f aca="false">C155*D155</f>
        <v>446.25</v>
      </c>
      <c r="G155" s="7" t="n">
        <f aca="false">ROUND(F155*0.2,2)</f>
        <v>89.25</v>
      </c>
      <c r="H155" s="4" t="str">
        <f aca="false">IF(F155&gt;500,"Yüksek",IF(F155&gt;100,"Orta","Düşük"))</f>
        <v>Orta</v>
      </c>
    </row>
    <row r="156" customFormat="false" ht="12.8" hidden="false" customHeight="false" outlineLevel="0" collapsed="false">
      <c r="A156" s="4" t="s">
        <v>16</v>
      </c>
      <c r="B156" s="4" t="s">
        <v>17</v>
      </c>
      <c r="C156" s="4" t="n">
        <v>22</v>
      </c>
      <c r="D156" s="5" t="n">
        <v>32.5</v>
      </c>
      <c r="E156" s="6" t="n">
        <f aca="false">DATE(2024,10,14)</f>
        <v>45579</v>
      </c>
      <c r="F156" s="7" t="n">
        <f aca="false">C156*D156</f>
        <v>715</v>
      </c>
      <c r="G156" s="7" t="n">
        <f aca="false">ROUND(F156*0.2,2)</f>
        <v>143</v>
      </c>
      <c r="H156" s="4" t="str">
        <f aca="false">IF(F156&gt;500,"Yüksek",IF(F156&gt;100,"Orta","Düşük"))</f>
        <v>Yüksek</v>
      </c>
    </row>
    <row r="157" customFormat="false" ht="12.8" hidden="false" customHeight="false" outlineLevel="0" collapsed="false">
      <c r="A157" s="4" t="s">
        <v>18</v>
      </c>
      <c r="B157" s="4" t="s">
        <v>19</v>
      </c>
      <c r="C157" s="4" t="n">
        <v>29</v>
      </c>
      <c r="D157" s="5" t="n">
        <v>35.25</v>
      </c>
      <c r="E157" s="6" t="n">
        <f aca="false">DATE(2024,11,15)</f>
        <v>45611</v>
      </c>
      <c r="F157" s="7" t="n">
        <f aca="false">C157*D157</f>
        <v>1022.25</v>
      </c>
      <c r="G157" s="7" t="n">
        <f aca="false">ROUND(F157*0.2,2)</f>
        <v>204.45</v>
      </c>
      <c r="H157" s="4" t="str">
        <f aca="false">IF(F157&gt;500,"Yüksek",IF(F157&gt;100,"Orta","Düşük"))</f>
        <v>Yüksek</v>
      </c>
    </row>
    <row r="158" customFormat="false" ht="12.8" hidden="false" customHeight="false" outlineLevel="0" collapsed="false">
      <c r="A158" s="4" t="s">
        <v>20</v>
      </c>
      <c r="B158" s="4" t="s">
        <v>11</v>
      </c>
      <c r="C158" s="4" t="n">
        <v>36</v>
      </c>
      <c r="D158" s="5" t="n">
        <v>38</v>
      </c>
      <c r="E158" s="6" t="n">
        <f aca="false">DATE(2024,12,16)</f>
        <v>45642</v>
      </c>
      <c r="F158" s="7" t="n">
        <f aca="false">C158*D158</f>
        <v>1368</v>
      </c>
      <c r="G158" s="7" t="n">
        <f aca="false">ROUND(F158*0.2,2)</f>
        <v>273.6</v>
      </c>
      <c r="H158" s="4" t="str">
        <f aca="false">IF(F158&gt;500,"Yüksek",IF(F158&gt;100,"Orta","Düşük"))</f>
        <v>Yüksek</v>
      </c>
    </row>
    <row r="159" customFormat="false" ht="12.8" hidden="false" customHeight="false" outlineLevel="0" collapsed="false">
      <c r="A159" s="4" t="s">
        <v>21</v>
      </c>
      <c r="B159" s="4" t="s">
        <v>13</v>
      </c>
      <c r="C159" s="4" t="n">
        <v>43</v>
      </c>
      <c r="D159" s="5" t="n">
        <v>5</v>
      </c>
      <c r="E159" s="6" t="n">
        <f aca="false">DATE(2024,1,17)</f>
        <v>45308</v>
      </c>
      <c r="F159" s="7" t="n">
        <f aca="false">C159*D159</f>
        <v>215</v>
      </c>
      <c r="G159" s="7" t="n">
        <f aca="false">ROUND(F159*0.2,2)</f>
        <v>43</v>
      </c>
      <c r="H159" s="4" t="str">
        <f aca="false">IF(F159&gt;500,"Yüksek",IF(F159&gt;100,"Orta","Düşük"))</f>
        <v>Orta</v>
      </c>
    </row>
    <row r="160" customFormat="false" ht="12.8" hidden="false" customHeight="false" outlineLevel="0" collapsed="false">
      <c r="A160" s="4" t="s">
        <v>22</v>
      </c>
      <c r="B160" s="4" t="s">
        <v>15</v>
      </c>
      <c r="C160" s="4" t="n">
        <v>50</v>
      </c>
      <c r="D160" s="5" t="n">
        <v>7.75</v>
      </c>
      <c r="E160" s="6" t="n">
        <f aca="false">DATE(2024,2,18)</f>
        <v>45340</v>
      </c>
      <c r="F160" s="7" t="n">
        <f aca="false">C160*D160</f>
        <v>387.5</v>
      </c>
      <c r="G160" s="7" t="n">
        <f aca="false">ROUND(F160*0.2,2)</f>
        <v>77.5</v>
      </c>
      <c r="H160" s="4" t="str">
        <f aca="false">IF(F160&gt;500,"Yüksek",IF(F160&gt;100,"Orta","Düşük"))</f>
        <v>Orta</v>
      </c>
    </row>
    <row r="161" customFormat="false" ht="12.8" hidden="false" customHeight="false" outlineLevel="0" collapsed="false">
      <c r="A161" s="4" t="s">
        <v>23</v>
      </c>
      <c r="B161" s="4" t="s">
        <v>17</v>
      </c>
      <c r="C161" s="4" t="n">
        <v>7</v>
      </c>
      <c r="D161" s="5" t="n">
        <v>10.5</v>
      </c>
      <c r="E161" s="6" t="n">
        <f aca="false">DATE(2024,3,19)</f>
        <v>45370</v>
      </c>
      <c r="F161" s="7" t="n">
        <f aca="false">C161*D161</f>
        <v>73.5</v>
      </c>
      <c r="G161" s="7" t="n">
        <f aca="false">ROUND(F161*0.2,2)</f>
        <v>14.7</v>
      </c>
      <c r="H161" s="4" t="str">
        <f aca="false">IF(F161&gt;500,"Yüksek",IF(F161&gt;100,"Orta","Düşük"))</f>
        <v>Düşük</v>
      </c>
    </row>
    <row r="162" customFormat="false" ht="12.8" hidden="false" customHeight="false" outlineLevel="0" collapsed="false">
      <c r="A162" s="4" t="s">
        <v>24</v>
      </c>
      <c r="B162" s="4" t="s">
        <v>19</v>
      </c>
      <c r="C162" s="4" t="n">
        <v>14</v>
      </c>
      <c r="D162" s="5" t="n">
        <v>13.25</v>
      </c>
      <c r="E162" s="6" t="n">
        <f aca="false">DATE(2024,4,20)</f>
        <v>45402</v>
      </c>
      <c r="F162" s="7" t="n">
        <f aca="false">C162*D162</f>
        <v>185.5</v>
      </c>
      <c r="G162" s="7" t="n">
        <f aca="false">ROUND(F162*0.2,2)</f>
        <v>37.1</v>
      </c>
      <c r="H162" s="4" t="str">
        <f aca="false">IF(F162&gt;500,"Yüksek",IF(F162&gt;100,"Orta","Düşük"))</f>
        <v>Orta</v>
      </c>
    </row>
    <row r="163" customFormat="false" ht="12.8" hidden="false" customHeight="false" outlineLevel="0" collapsed="false">
      <c r="A163" s="4" t="s">
        <v>10</v>
      </c>
      <c r="B163" s="4" t="s">
        <v>11</v>
      </c>
      <c r="C163" s="4" t="n">
        <v>21</v>
      </c>
      <c r="D163" s="5" t="n">
        <v>16</v>
      </c>
      <c r="E163" s="6" t="n">
        <f aca="false">DATE(2024,5,21)</f>
        <v>45433</v>
      </c>
      <c r="F163" s="7" t="n">
        <f aca="false">C163*D163</f>
        <v>336</v>
      </c>
      <c r="G163" s="7" t="n">
        <f aca="false">ROUND(F163*0.2,2)</f>
        <v>67.2</v>
      </c>
      <c r="H163" s="4" t="str">
        <f aca="false">IF(F163&gt;500,"Yüksek",IF(F163&gt;100,"Orta","Düşük"))</f>
        <v>Orta</v>
      </c>
    </row>
    <row r="164" customFormat="false" ht="12.8" hidden="false" customHeight="false" outlineLevel="0" collapsed="false">
      <c r="A164" s="4" t="s">
        <v>12</v>
      </c>
      <c r="B164" s="4" t="s">
        <v>13</v>
      </c>
      <c r="C164" s="4" t="n">
        <v>28</v>
      </c>
      <c r="D164" s="5" t="n">
        <v>18.75</v>
      </c>
      <c r="E164" s="6" t="n">
        <f aca="false">DATE(2024,6,22)</f>
        <v>45465</v>
      </c>
      <c r="F164" s="7" t="n">
        <f aca="false">C164*D164</f>
        <v>525</v>
      </c>
      <c r="G164" s="7" t="n">
        <f aca="false">ROUND(F164*0.2,2)</f>
        <v>105</v>
      </c>
      <c r="H164" s="4" t="str">
        <f aca="false">IF(F164&gt;500,"Yüksek",IF(F164&gt;100,"Orta","Düşük"))</f>
        <v>Yüksek</v>
      </c>
    </row>
    <row r="165" customFormat="false" ht="12.8" hidden="false" customHeight="false" outlineLevel="0" collapsed="false">
      <c r="A165" s="4" t="s">
        <v>14</v>
      </c>
      <c r="B165" s="4" t="s">
        <v>15</v>
      </c>
      <c r="C165" s="4" t="n">
        <v>35</v>
      </c>
      <c r="D165" s="5" t="n">
        <v>21.5</v>
      </c>
      <c r="E165" s="6" t="n">
        <f aca="false">DATE(2024,7,23)</f>
        <v>45496</v>
      </c>
      <c r="F165" s="7" t="n">
        <f aca="false">C165*D165</f>
        <v>752.5</v>
      </c>
      <c r="G165" s="7" t="n">
        <f aca="false">ROUND(F165*0.2,2)</f>
        <v>150.5</v>
      </c>
      <c r="H165" s="4" t="str">
        <f aca="false">IF(F165&gt;500,"Yüksek",IF(F165&gt;100,"Orta","Düşük"))</f>
        <v>Yüksek</v>
      </c>
    </row>
    <row r="166" customFormat="false" ht="12.8" hidden="false" customHeight="false" outlineLevel="0" collapsed="false">
      <c r="A166" s="4" t="s">
        <v>16</v>
      </c>
      <c r="B166" s="4" t="s">
        <v>17</v>
      </c>
      <c r="C166" s="4" t="n">
        <v>42</v>
      </c>
      <c r="D166" s="5" t="n">
        <v>24.25</v>
      </c>
      <c r="E166" s="6" t="n">
        <f aca="false">DATE(2024,8,24)</f>
        <v>45528</v>
      </c>
      <c r="F166" s="7" t="n">
        <f aca="false">C166*D166</f>
        <v>1018.5</v>
      </c>
      <c r="G166" s="7" t="n">
        <f aca="false">ROUND(F166*0.2,2)</f>
        <v>203.7</v>
      </c>
      <c r="H166" s="4" t="str">
        <f aca="false">IF(F166&gt;500,"Yüksek",IF(F166&gt;100,"Orta","Düşük"))</f>
        <v>Yüksek</v>
      </c>
    </row>
    <row r="167" customFormat="false" ht="12.8" hidden="false" customHeight="false" outlineLevel="0" collapsed="false">
      <c r="A167" s="4" t="s">
        <v>18</v>
      </c>
      <c r="B167" s="4" t="s">
        <v>19</v>
      </c>
      <c r="C167" s="4" t="n">
        <v>49</v>
      </c>
      <c r="D167" s="5" t="n">
        <v>27</v>
      </c>
      <c r="E167" s="6" t="n">
        <f aca="false">DATE(2024,9,25)</f>
        <v>45560</v>
      </c>
      <c r="F167" s="7" t="n">
        <f aca="false">C167*D167</f>
        <v>1323</v>
      </c>
      <c r="G167" s="7" t="n">
        <f aca="false">ROUND(F167*0.2,2)</f>
        <v>264.6</v>
      </c>
      <c r="H167" s="4" t="str">
        <f aca="false">IF(F167&gt;500,"Yüksek",IF(F167&gt;100,"Orta","Düşük"))</f>
        <v>Yüksek</v>
      </c>
    </row>
    <row r="168" customFormat="false" ht="12.8" hidden="false" customHeight="false" outlineLevel="0" collapsed="false">
      <c r="A168" s="4" t="s">
        <v>20</v>
      </c>
      <c r="B168" s="4" t="s">
        <v>11</v>
      </c>
      <c r="C168" s="4" t="n">
        <v>6</v>
      </c>
      <c r="D168" s="5" t="n">
        <v>29.75</v>
      </c>
      <c r="E168" s="6" t="n">
        <f aca="false">DATE(2024,10,26)</f>
        <v>45591</v>
      </c>
      <c r="F168" s="7" t="n">
        <f aca="false">C168*D168</f>
        <v>178.5</v>
      </c>
      <c r="G168" s="7" t="n">
        <f aca="false">ROUND(F168*0.2,2)</f>
        <v>35.7</v>
      </c>
      <c r="H168" s="4" t="str">
        <f aca="false">IF(F168&gt;500,"Yüksek",IF(F168&gt;100,"Orta","Düşük"))</f>
        <v>Orta</v>
      </c>
    </row>
    <row r="169" customFormat="false" ht="12.8" hidden="false" customHeight="false" outlineLevel="0" collapsed="false">
      <c r="A169" s="4" t="s">
        <v>21</v>
      </c>
      <c r="B169" s="4" t="s">
        <v>13</v>
      </c>
      <c r="C169" s="4" t="n">
        <v>13</v>
      </c>
      <c r="D169" s="5" t="n">
        <v>32.5</v>
      </c>
      <c r="E169" s="6" t="n">
        <f aca="false">DATE(2024,11,27)</f>
        <v>45623</v>
      </c>
      <c r="F169" s="7" t="n">
        <f aca="false">C169*D169</f>
        <v>422.5</v>
      </c>
      <c r="G169" s="7" t="n">
        <f aca="false">ROUND(F169*0.2,2)</f>
        <v>84.5</v>
      </c>
      <c r="H169" s="4" t="str">
        <f aca="false">IF(F169&gt;500,"Yüksek",IF(F169&gt;100,"Orta","Düşük"))</f>
        <v>Orta</v>
      </c>
    </row>
    <row r="170" customFormat="false" ht="12.8" hidden="false" customHeight="false" outlineLevel="0" collapsed="false">
      <c r="A170" s="4" t="s">
        <v>22</v>
      </c>
      <c r="B170" s="4" t="s">
        <v>15</v>
      </c>
      <c r="C170" s="4" t="n">
        <v>20</v>
      </c>
      <c r="D170" s="5" t="n">
        <v>35.25</v>
      </c>
      <c r="E170" s="6" t="n">
        <f aca="false">DATE(2024,12,28)</f>
        <v>45654</v>
      </c>
      <c r="F170" s="7" t="n">
        <f aca="false">C170*D170</f>
        <v>705</v>
      </c>
      <c r="G170" s="7" t="n">
        <f aca="false">ROUND(F170*0.2,2)</f>
        <v>141</v>
      </c>
      <c r="H170" s="4" t="str">
        <f aca="false">IF(F170&gt;500,"Yüksek",IF(F170&gt;100,"Orta","Düşük"))</f>
        <v>Yüksek</v>
      </c>
    </row>
    <row r="171" customFormat="false" ht="12.8" hidden="false" customHeight="false" outlineLevel="0" collapsed="false">
      <c r="A171" s="4" t="s">
        <v>23</v>
      </c>
      <c r="B171" s="4" t="s">
        <v>17</v>
      </c>
      <c r="C171" s="4" t="n">
        <v>27</v>
      </c>
      <c r="D171" s="5" t="n">
        <v>38</v>
      </c>
      <c r="E171" s="6" t="n">
        <f aca="false">DATE(2024,1,1)</f>
        <v>45292</v>
      </c>
      <c r="F171" s="7" t="n">
        <f aca="false">C171*D171</f>
        <v>1026</v>
      </c>
      <c r="G171" s="7" t="n">
        <f aca="false">ROUND(F171*0.2,2)</f>
        <v>205.2</v>
      </c>
      <c r="H171" s="4" t="str">
        <f aca="false">IF(F171&gt;500,"Yüksek",IF(F171&gt;100,"Orta","Düşük"))</f>
        <v>Yüksek</v>
      </c>
    </row>
    <row r="172" customFormat="false" ht="12.8" hidden="false" customHeight="false" outlineLevel="0" collapsed="false">
      <c r="A172" s="4" t="s">
        <v>24</v>
      </c>
      <c r="B172" s="4" t="s">
        <v>19</v>
      </c>
      <c r="C172" s="4" t="n">
        <v>34</v>
      </c>
      <c r="D172" s="5" t="n">
        <v>5</v>
      </c>
      <c r="E172" s="6" t="n">
        <f aca="false">DATE(2024,2,2)</f>
        <v>45324</v>
      </c>
      <c r="F172" s="7" t="n">
        <f aca="false">C172*D172</f>
        <v>170</v>
      </c>
      <c r="G172" s="7" t="n">
        <f aca="false">ROUND(F172*0.2,2)</f>
        <v>34</v>
      </c>
      <c r="H172" s="4" t="str">
        <f aca="false">IF(F172&gt;500,"Yüksek",IF(F172&gt;100,"Orta","Düşük"))</f>
        <v>Orta</v>
      </c>
    </row>
    <row r="173" customFormat="false" ht="12.8" hidden="false" customHeight="false" outlineLevel="0" collapsed="false">
      <c r="A173" s="4" t="s">
        <v>10</v>
      </c>
      <c r="B173" s="4" t="s">
        <v>11</v>
      </c>
      <c r="C173" s="4" t="n">
        <v>41</v>
      </c>
      <c r="D173" s="5" t="n">
        <v>7.75</v>
      </c>
      <c r="E173" s="6" t="n">
        <f aca="false">DATE(2024,3,3)</f>
        <v>45354</v>
      </c>
      <c r="F173" s="7" t="n">
        <f aca="false">C173*D173</f>
        <v>317.75</v>
      </c>
      <c r="G173" s="7" t="n">
        <f aca="false">ROUND(F173*0.2,2)</f>
        <v>63.55</v>
      </c>
      <c r="H173" s="4" t="str">
        <f aca="false">IF(F173&gt;500,"Yüksek",IF(F173&gt;100,"Orta","Düşük"))</f>
        <v>Orta</v>
      </c>
    </row>
    <row r="174" customFormat="false" ht="12.8" hidden="false" customHeight="false" outlineLevel="0" collapsed="false">
      <c r="A174" s="4" t="s">
        <v>12</v>
      </c>
      <c r="B174" s="4" t="s">
        <v>13</v>
      </c>
      <c r="C174" s="4" t="n">
        <v>48</v>
      </c>
      <c r="D174" s="5" t="n">
        <v>10.5</v>
      </c>
      <c r="E174" s="6" t="n">
        <f aca="false">DATE(2024,4,4)</f>
        <v>45386</v>
      </c>
      <c r="F174" s="7" t="n">
        <f aca="false">C174*D174</f>
        <v>504</v>
      </c>
      <c r="G174" s="7" t="n">
        <f aca="false">ROUND(F174*0.2,2)</f>
        <v>100.8</v>
      </c>
      <c r="H174" s="4" t="str">
        <f aca="false">IF(F174&gt;500,"Yüksek",IF(F174&gt;100,"Orta","Düşük"))</f>
        <v>Yüksek</v>
      </c>
    </row>
    <row r="175" customFormat="false" ht="12.8" hidden="false" customHeight="false" outlineLevel="0" collapsed="false">
      <c r="A175" s="4" t="s">
        <v>14</v>
      </c>
      <c r="B175" s="4" t="s">
        <v>15</v>
      </c>
      <c r="C175" s="4" t="n">
        <v>5</v>
      </c>
      <c r="D175" s="5" t="n">
        <v>13.25</v>
      </c>
      <c r="E175" s="6" t="n">
        <f aca="false">DATE(2024,5,5)</f>
        <v>45417</v>
      </c>
      <c r="F175" s="7" t="n">
        <f aca="false">C175*D175</f>
        <v>66.25</v>
      </c>
      <c r="G175" s="7" t="n">
        <f aca="false">ROUND(F175*0.2,2)</f>
        <v>13.25</v>
      </c>
      <c r="H175" s="4" t="str">
        <f aca="false">IF(F175&gt;500,"Yüksek",IF(F175&gt;100,"Orta","Düşük"))</f>
        <v>Düşük</v>
      </c>
    </row>
    <row r="176" customFormat="false" ht="12.8" hidden="false" customHeight="false" outlineLevel="0" collapsed="false">
      <c r="A176" s="4" t="s">
        <v>16</v>
      </c>
      <c r="B176" s="4" t="s">
        <v>17</v>
      </c>
      <c r="C176" s="4" t="n">
        <v>12</v>
      </c>
      <c r="D176" s="5" t="n">
        <v>16</v>
      </c>
      <c r="E176" s="6" t="n">
        <f aca="false">DATE(2024,6,6)</f>
        <v>45449</v>
      </c>
      <c r="F176" s="7" t="n">
        <f aca="false">C176*D176</f>
        <v>192</v>
      </c>
      <c r="G176" s="7" t="n">
        <f aca="false">ROUND(F176*0.2,2)</f>
        <v>38.4</v>
      </c>
      <c r="H176" s="4" t="str">
        <f aca="false">IF(F176&gt;500,"Yüksek",IF(F176&gt;100,"Orta","Düşük"))</f>
        <v>Orta</v>
      </c>
    </row>
    <row r="177" customFormat="false" ht="12.8" hidden="false" customHeight="false" outlineLevel="0" collapsed="false">
      <c r="A177" s="4" t="s">
        <v>18</v>
      </c>
      <c r="B177" s="4" t="s">
        <v>19</v>
      </c>
      <c r="C177" s="4" t="n">
        <v>19</v>
      </c>
      <c r="D177" s="5" t="n">
        <v>18.75</v>
      </c>
      <c r="E177" s="6" t="n">
        <f aca="false">DATE(2024,7,7)</f>
        <v>45480</v>
      </c>
      <c r="F177" s="7" t="n">
        <f aca="false">C177*D177</f>
        <v>356.25</v>
      </c>
      <c r="G177" s="7" t="n">
        <f aca="false">ROUND(F177*0.2,2)</f>
        <v>71.25</v>
      </c>
      <c r="H177" s="4" t="str">
        <f aca="false">IF(F177&gt;500,"Yüksek",IF(F177&gt;100,"Orta","Düşük"))</f>
        <v>Orta</v>
      </c>
    </row>
    <row r="178" customFormat="false" ht="12.8" hidden="false" customHeight="false" outlineLevel="0" collapsed="false">
      <c r="A178" s="4" t="s">
        <v>20</v>
      </c>
      <c r="B178" s="4" t="s">
        <v>11</v>
      </c>
      <c r="C178" s="4" t="n">
        <v>26</v>
      </c>
      <c r="D178" s="5" t="n">
        <v>21.5</v>
      </c>
      <c r="E178" s="6" t="n">
        <f aca="false">DATE(2024,8,8)</f>
        <v>45512</v>
      </c>
      <c r="F178" s="7" t="n">
        <f aca="false">C178*D178</f>
        <v>559</v>
      </c>
      <c r="G178" s="7" t="n">
        <f aca="false">ROUND(F178*0.2,2)</f>
        <v>111.8</v>
      </c>
      <c r="H178" s="4" t="str">
        <f aca="false">IF(F178&gt;500,"Yüksek",IF(F178&gt;100,"Orta","Düşük"))</f>
        <v>Yüksek</v>
      </c>
    </row>
    <row r="179" customFormat="false" ht="12.8" hidden="false" customHeight="false" outlineLevel="0" collapsed="false">
      <c r="A179" s="4" t="s">
        <v>21</v>
      </c>
      <c r="B179" s="4" t="s">
        <v>13</v>
      </c>
      <c r="C179" s="4" t="n">
        <v>33</v>
      </c>
      <c r="D179" s="5" t="n">
        <v>24.25</v>
      </c>
      <c r="E179" s="6" t="n">
        <f aca="false">DATE(2024,9,9)</f>
        <v>45544</v>
      </c>
      <c r="F179" s="7" t="n">
        <f aca="false">C179*D179</f>
        <v>800.25</v>
      </c>
      <c r="G179" s="7" t="n">
        <f aca="false">ROUND(F179*0.2,2)</f>
        <v>160.05</v>
      </c>
      <c r="H179" s="4" t="str">
        <f aca="false">IF(F179&gt;500,"Yüksek",IF(F179&gt;100,"Orta","Düşük"))</f>
        <v>Yüksek</v>
      </c>
    </row>
    <row r="180" customFormat="false" ht="12.8" hidden="false" customHeight="false" outlineLevel="0" collapsed="false">
      <c r="A180" s="4" t="s">
        <v>22</v>
      </c>
      <c r="B180" s="4" t="s">
        <v>15</v>
      </c>
      <c r="C180" s="4" t="n">
        <v>40</v>
      </c>
      <c r="D180" s="5" t="n">
        <v>27</v>
      </c>
      <c r="E180" s="6" t="n">
        <f aca="false">DATE(2024,10,10)</f>
        <v>45575</v>
      </c>
      <c r="F180" s="7" t="n">
        <f aca="false">C180*D180</f>
        <v>1080</v>
      </c>
      <c r="G180" s="7" t="n">
        <f aca="false">ROUND(F180*0.2,2)</f>
        <v>216</v>
      </c>
      <c r="H180" s="4" t="str">
        <f aca="false">IF(F180&gt;500,"Yüksek",IF(F180&gt;100,"Orta","Düşük"))</f>
        <v>Yüksek</v>
      </c>
    </row>
    <row r="181" customFormat="false" ht="12.8" hidden="false" customHeight="false" outlineLevel="0" collapsed="false">
      <c r="A181" s="4" t="s">
        <v>23</v>
      </c>
      <c r="B181" s="4" t="s">
        <v>17</v>
      </c>
      <c r="C181" s="4" t="n">
        <v>47</v>
      </c>
      <c r="D181" s="5" t="n">
        <v>29.75</v>
      </c>
      <c r="E181" s="6" t="n">
        <f aca="false">DATE(2024,11,11)</f>
        <v>45607</v>
      </c>
      <c r="F181" s="7" t="n">
        <f aca="false">C181*D181</f>
        <v>1398.25</v>
      </c>
      <c r="G181" s="7" t="n">
        <f aca="false">ROUND(F181*0.2,2)</f>
        <v>279.65</v>
      </c>
      <c r="H181" s="4" t="str">
        <f aca="false">IF(F181&gt;500,"Yüksek",IF(F181&gt;100,"Orta","Düşük"))</f>
        <v>Yüksek</v>
      </c>
    </row>
    <row r="182" customFormat="false" ht="12.8" hidden="false" customHeight="false" outlineLevel="0" collapsed="false">
      <c r="A182" s="4" t="s">
        <v>24</v>
      </c>
      <c r="B182" s="4" t="s">
        <v>19</v>
      </c>
      <c r="C182" s="4" t="n">
        <v>4</v>
      </c>
      <c r="D182" s="5" t="n">
        <v>32.5</v>
      </c>
      <c r="E182" s="6" t="n">
        <f aca="false">DATE(2024,12,12)</f>
        <v>45638</v>
      </c>
      <c r="F182" s="7" t="n">
        <f aca="false">C182*D182</f>
        <v>130</v>
      </c>
      <c r="G182" s="7" t="n">
        <f aca="false">ROUND(F182*0.2,2)</f>
        <v>26</v>
      </c>
      <c r="H182" s="4" t="str">
        <f aca="false">IF(F182&gt;500,"Yüksek",IF(F182&gt;100,"Orta","Düşük"))</f>
        <v>Orta</v>
      </c>
    </row>
    <row r="183" customFormat="false" ht="12.8" hidden="false" customHeight="false" outlineLevel="0" collapsed="false">
      <c r="A183" s="4" t="s">
        <v>10</v>
      </c>
      <c r="B183" s="4" t="s">
        <v>11</v>
      </c>
      <c r="C183" s="4" t="n">
        <v>11</v>
      </c>
      <c r="D183" s="5" t="n">
        <v>35.25</v>
      </c>
      <c r="E183" s="6" t="n">
        <f aca="false">DATE(2024,1,13)</f>
        <v>45304</v>
      </c>
      <c r="F183" s="7" t="n">
        <f aca="false">C183*D183</f>
        <v>387.75</v>
      </c>
      <c r="G183" s="7" t="n">
        <f aca="false">ROUND(F183*0.2,2)</f>
        <v>77.55</v>
      </c>
      <c r="H183" s="4" t="str">
        <f aca="false">IF(F183&gt;500,"Yüksek",IF(F183&gt;100,"Orta","Düşük"))</f>
        <v>Orta</v>
      </c>
    </row>
    <row r="184" customFormat="false" ht="12.8" hidden="false" customHeight="false" outlineLevel="0" collapsed="false">
      <c r="A184" s="4" t="s">
        <v>12</v>
      </c>
      <c r="B184" s="4" t="s">
        <v>13</v>
      </c>
      <c r="C184" s="4" t="n">
        <v>18</v>
      </c>
      <c r="D184" s="5" t="n">
        <v>38</v>
      </c>
      <c r="E184" s="6" t="n">
        <f aca="false">DATE(2024,2,14)</f>
        <v>45336</v>
      </c>
      <c r="F184" s="7" t="n">
        <f aca="false">C184*D184</f>
        <v>684</v>
      </c>
      <c r="G184" s="7" t="n">
        <f aca="false">ROUND(F184*0.2,2)</f>
        <v>136.8</v>
      </c>
      <c r="H184" s="4" t="str">
        <f aca="false">IF(F184&gt;500,"Yüksek",IF(F184&gt;100,"Orta","Düşük"))</f>
        <v>Yüksek</v>
      </c>
    </row>
    <row r="185" customFormat="false" ht="12.8" hidden="false" customHeight="false" outlineLevel="0" collapsed="false">
      <c r="A185" s="4" t="s">
        <v>14</v>
      </c>
      <c r="B185" s="4" t="s">
        <v>15</v>
      </c>
      <c r="C185" s="4" t="n">
        <v>25</v>
      </c>
      <c r="D185" s="5" t="n">
        <v>5</v>
      </c>
      <c r="E185" s="6" t="n">
        <f aca="false">DATE(2024,3,15)</f>
        <v>45366</v>
      </c>
      <c r="F185" s="7" t="n">
        <f aca="false">C185*D185</f>
        <v>125</v>
      </c>
      <c r="G185" s="7" t="n">
        <f aca="false">ROUND(F185*0.2,2)</f>
        <v>25</v>
      </c>
      <c r="H185" s="4" t="str">
        <f aca="false">IF(F185&gt;500,"Yüksek",IF(F185&gt;100,"Orta","Düşük"))</f>
        <v>Orta</v>
      </c>
    </row>
    <row r="186" customFormat="false" ht="12.8" hidden="false" customHeight="false" outlineLevel="0" collapsed="false">
      <c r="A186" s="4" t="s">
        <v>16</v>
      </c>
      <c r="B186" s="4" t="s">
        <v>17</v>
      </c>
      <c r="C186" s="4" t="n">
        <v>32</v>
      </c>
      <c r="D186" s="5" t="n">
        <v>7.75</v>
      </c>
      <c r="E186" s="6" t="n">
        <f aca="false">DATE(2024,4,16)</f>
        <v>45398</v>
      </c>
      <c r="F186" s="7" t="n">
        <f aca="false">C186*D186</f>
        <v>248</v>
      </c>
      <c r="G186" s="7" t="n">
        <f aca="false">ROUND(F186*0.2,2)</f>
        <v>49.6</v>
      </c>
      <c r="H186" s="4" t="str">
        <f aca="false">IF(F186&gt;500,"Yüksek",IF(F186&gt;100,"Orta","Düşük"))</f>
        <v>Orta</v>
      </c>
    </row>
    <row r="187" customFormat="false" ht="12.8" hidden="false" customHeight="false" outlineLevel="0" collapsed="false">
      <c r="A187" s="4" t="s">
        <v>18</v>
      </c>
      <c r="B187" s="4" t="s">
        <v>19</v>
      </c>
      <c r="C187" s="4" t="n">
        <v>39</v>
      </c>
      <c r="D187" s="5" t="n">
        <v>10.5</v>
      </c>
      <c r="E187" s="6" t="n">
        <f aca="false">DATE(2024,5,17)</f>
        <v>45429</v>
      </c>
      <c r="F187" s="7" t="n">
        <f aca="false">C187*D187</f>
        <v>409.5</v>
      </c>
      <c r="G187" s="7" t="n">
        <f aca="false">ROUND(F187*0.2,2)</f>
        <v>81.9</v>
      </c>
      <c r="H187" s="4" t="str">
        <f aca="false">IF(F187&gt;500,"Yüksek",IF(F187&gt;100,"Orta","Düşük"))</f>
        <v>Orta</v>
      </c>
    </row>
    <row r="188" customFormat="false" ht="12.8" hidden="false" customHeight="false" outlineLevel="0" collapsed="false">
      <c r="A188" s="4" t="s">
        <v>20</v>
      </c>
      <c r="B188" s="4" t="s">
        <v>11</v>
      </c>
      <c r="C188" s="4" t="n">
        <v>46</v>
      </c>
      <c r="D188" s="5" t="n">
        <v>13.25</v>
      </c>
      <c r="E188" s="6" t="n">
        <f aca="false">DATE(2024,6,18)</f>
        <v>45461</v>
      </c>
      <c r="F188" s="7" t="n">
        <f aca="false">C188*D188</f>
        <v>609.5</v>
      </c>
      <c r="G188" s="7" t="n">
        <f aca="false">ROUND(F188*0.2,2)</f>
        <v>121.9</v>
      </c>
      <c r="H188" s="4" t="str">
        <f aca="false">IF(F188&gt;500,"Yüksek",IF(F188&gt;100,"Orta","Düşük"))</f>
        <v>Yüksek</v>
      </c>
    </row>
    <row r="189" customFormat="false" ht="12.8" hidden="false" customHeight="false" outlineLevel="0" collapsed="false">
      <c r="A189" s="4" t="s">
        <v>21</v>
      </c>
      <c r="B189" s="4" t="s">
        <v>13</v>
      </c>
      <c r="C189" s="4" t="n">
        <v>3</v>
      </c>
      <c r="D189" s="5" t="n">
        <v>16</v>
      </c>
      <c r="E189" s="6" t="n">
        <f aca="false">DATE(2024,7,19)</f>
        <v>45492</v>
      </c>
      <c r="F189" s="7" t="n">
        <f aca="false">C189*D189</f>
        <v>48</v>
      </c>
      <c r="G189" s="7" t="n">
        <f aca="false">ROUND(F189*0.2,2)</f>
        <v>9.6</v>
      </c>
      <c r="H189" s="4" t="str">
        <f aca="false">IF(F189&gt;500,"Yüksek",IF(F189&gt;100,"Orta","Düşük"))</f>
        <v>Düşük</v>
      </c>
    </row>
    <row r="190" customFormat="false" ht="12.8" hidden="false" customHeight="false" outlineLevel="0" collapsed="false">
      <c r="A190" s="4" t="s">
        <v>22</v>
      </c>
      <c r="B190" s="4" t="s">
        <v>15</v>
      </c>
      <c r="C190" s="4" t="n">
        <v>10</v>
      </c>
      <c r="D190" s="5" t="n">
        <v>18.75</v>
      </c>
      <c r="E190" s="6" t="n">
        <f aca="false">DATE(2024,8,20)</f>
        <v>45524</v>
      </c>
      <c r="F190" s="7" t="n">
        <f aca="false">C190*D190</f>
        <v>187.5</v>
      </c>
      <c r="G190" s="7" t="n">
        <f aca="false">ROUND(F190*0.2,2)</f>
        <v>37.5</v>
      </c>
      <c r="H190" s="4" t="str">
        <f aca="false">IF(F190&gt;500,"Yüksek",IF(F190&gt;100,"Orta","Düşük"))</f>
        <v>Orta</v>
      </c>
    </row>
    <row r="191" customFormat="false" ht="12.8" hidden="false" customHeight="false" outlineLevel="0" collapsed="false">
      <c r="A191" s="4" t="s">
        <v>23</v>
      </c>
      <c r="B191" s="4" t="s">
        <v>17</v>
      </c>
      <c r="C191" s="4" t="n">
        <v>17</v>
      </c>
      <c r="D191" s="5" t="n">
        <v>21.5</v>
      </c>
      <c r="E191" s="6" t="n">
        <f aca="false">DATE(2024,9,21)</f>
        <v>45556</v>
      </c>
      <c r="F191" s="7" t="n">
        <f aca="false">C191*D191</f>
        <v>365.5</v>
      </c>
      <c r="G191" s="7" t="n">
        <f aca="false">ROUND(F191*0.2,2)</f>
        <v>73.1</v>
      </c>
      <c r="H191" s="4" t="str">
        <f aca="false">IF(F191&gt;500,"Yüksek",IF(F191&gt;100,"Orta","Düşük"))</f>
        <v>Orta</v>
      </c>
    </row>
    <row r="192" customFormat="false" ht="12.8" hidden="false" customHeight="false" outlineLevel="0" collapsed="false">
      <c r="A192" s="4" t="s">
        <v>24</v>
      </c>
      <c r="B192" s="4" t="s">
        <v>19</v>
      </c>
      <c r="C192" s="4" t="n">
        <v>24</v>
      </c>
      <c r="D192" s="5" t="n">
        <v>24.25</v>
      </c>
      <c r="E192" s="6" t="n">
        <f aca="false">DATE(2024,10,22)</f>
        <v>45587</v>
      </c>
      <c r="F192" s="7" t="n">
        <f aca="false">C192*D192</f>
        <v>582</v>
      </c>
      <c r="G192" s="7" t="n">
        <f aca="false">ROUND(F192*0.2,2)</f>
        <v>116.4</v>
      </c>
      <c r="H192" s="4" t="str">
        <f aca="false">IF(F192&gt;500,"Yüksek",IF(F192&gt;100,"Orta","Düşük"))</f>
        <v>Yüksek</v>
      </c>
    </row>
    <row r="193" customFormat="false" ht="12.8" hidden="false" customHeight="false" outlineLevel="0" collapsed="false">
      <c r="A193" s="4" t="s">
        <v>10</v>
      </c>
      <c r="B193" s="4" t="s">
        <v>11</v>
      </c>
      <c r="C193" s="4" t="n">
        <v>31</v>
      </c>
      <c r="D193" s="5" t="n">
        <v>27</v>
      </c>
      <c r="E193" s="6" t="n">
        <f aca="false">DATE(2024,11,23)</f>
        <v>45619</v>
      </c>
      <c r="F193" s="7" t="n">
        <f aca="false">C193*D193</f>
        <v>837</v>
      </c>
      <c r="G193" s="7" t="n">
        <f aca="false">ROUND(F193*0.2,2)</f>
        <v>167.4</v>
      </c>
      <c r="H193" s="4" t="str">
        <f aca="false">IF(F193&gt;500,"Yüksek",IF(F193&gt;100,"Orta","Düşük"))</f>
        <v>Yüksek</v>
      </c>
    </row>
    <row r="194" customFormat="false" ht="12.8" hidden="false" customHeight="false" outlineLevel="0" collapsed="false">
      <c r="A194" s="4" t="s">
        <v>12</v>
      </c>
      <c r="B194" s="4" t="s">
        <v>13</v>
      </c>
      <c r="C194" s="4" t="n">
        <v>38</v>
      </c>
      <c r="D194" s="5" t="n">
        <v>29.75</v>
      </c>
      <c r="E194" s="6" t="n">
        <f aca="false">DATE(2024,12,24)</f>
        <v>45650</v>
      </c>
      <c r="F194" s="7" t="n">
        <f aca="false">C194*D194</f>
        <v>1130.5</v>
      </c>
      <c r="G194" s="7" t="n">
        <f aca="false">ROUND(F194*0.2,2)</f>
        <v>226.1</v>
      </c>
      <c r="H194" s="4" t="str">
        <f aca="false">IF(F194&gt;500,"Yüksek",IF(F194&gt;100,"Orta","Düşük"))</f>
        <v>Yüksek</v>
      </c>
    </row>
    <row r="195" customFormat="false" ht="12.8" hidden="false" customHeight="false" outlineLevel="0" collapsed="false">
      <c r="A195" s="4" t="s">
        <v>14</v>
      </c>
      <c r="B195" s="4" t="s">
        <v>15</v>
      </c>
      <c r="C195" s="4" t="n">
        <v>45</v>
      </c>
      <c r="D195" s="5" t="n">
        <v>32.5</v>
      </c>
      <c r="E195" s="6" t="n">
        <f aca="false">DATE(2024,1,25)</f>
        <v>45316</v>
      </c>
      <c r="F195" s="7" t="n">
        <f aca="false">C195*D195</f>
        <v>1462.5</v>
      </c>
      <c r="G195" s="7" t="n">
        <f aca="false">ROUND(F195*0.2,2)</f>
        <v>292.5</v>
      </c>
      <c r="H195" s="4" t="str">
        <f aca="false">IF(F195&gt;500,"Yüksek",IF(F195&gt;100,"Orta","Düşük"))</f>
        <v>Yüksek</v>
      </c>
    </row>
    <row r="196" customFormat="false" ht="12.8" hidden="false" customHeight="false" outlineLevel="0" collapsed="false">
      <c r="A196" s="4" t="s">
        <v>16</v>
      </c>
      <c r="B196" s="4" t="s">
        <v>17</v>
      </c>
      <c r="C196" s="4" t="n">
        <v>2</v>
      </c>
      <c r="D196" s="5" t="n">
        <v>35.25</v>
      </c>
      <c r="E196" s="6" t="n">
        <f aca="false">DATE(2024,2,26)</f>
        <v>45348</v>
      </c>
      <c r="F196" s="7" t="n">
        <f aca="false">C196*D196</f>
        <v>70.5</v>
      </c>
      <c r="G196" s="7" t="n">
        <f aca="false">ROUND(F196*0.2,2)</f>
        <v>14.1</v>
      </c>
      <c r="H196" s="4" t="str">
        <f aca="false">IF(F196&gt;500,"Yüksek",IF(F196&gt;100,"Orta","Düşük"))</f>
        <v>Düşük</v>
      </c>
    </row>
    <row r="197" customFormat="false" ht="12.8" hidden="false" customHeight="false" outlineLevel="0" collapsed="false">
      <c r="A197" s="4" t="s">
        <v>18</v>
      </c>
      <c r="B197" s="4" t="s">
        <v>19</v>
      </c>
      <c r="C197" s="4" t="n">
        <v>9</v>
      </c>
      <c r="D197" s="5" t="n">
        <v>38</v>
      </c>
      <c r="E197" s="6" t="n">
        <f aca="false">DATE(2024,3,27)</f>
        <v>45378</v>
      </c>
      <c r="F197" s="7" t="n">
        <f aca="false">C197*D197</f>
        <v>342</v>
      </c>
      <c r="G197" s="7" t="n">
        <f aca="false">ROUND(F197*0.2,2)</f>
        <v>68.4</v>
      </c>
      <c r="H197" s="4" t="str">
        <f aca="false">IF(F197&gt;500,"Yüksek",IF(F197&gt;100,"Orta","Düşük"))</f>
        <v>Orta</v>
      </c>
    </row>
    <row r="198" customFormat="false" ht="12.8" hidden="false" customHeight="false" outlineLevel="0" collapsed="false">
      <c r="A198" s="4" t="s">
        <v>20</v>
      </c>
      <c r="B198" s="4" t="s">
        <v>11</v>
      </c>
      <c r="C198" s="4" t="n">
        <v>16</v>
      </c>
      <c r="D198" s="5" t="n">
        <v>5</v>
      </c>
      <c r="E198" s="6" t="n">
        <f aca="false">DATE(2024,4,28)</f>
        <v>45410</v>
      </c>
      <c r="F198" s="7" t="n">
        <f aca="false">C198*D198</f>
        <v>80</v>
      </c>
      <c r="G198" s="7" t="n">
        <f aca="false">ROUND(F198*0.2,2)</f>
        <v>16</v>
      </c>
      <c r="H198" s="4" t="str">
        <f aca="false">IF(F198&gt;500,"Yüksek",IF(F198&gt;100,"Orta","Düşük"))</f>
        <v>Düşük</v>
      </c>
    </row>
    <row r="199" customFormat="false" ht="12.8" hidden="false" customHeight="false" outlineLevel="0" collapsed="false">
      <c r="A199" s="4" t="s">
        <v>21</v>
      </c>
      <c r="B199" s="4" t="s">
        <v>13</v>
      </c>
      <c r="C199" s="4" t="n">
        <v>23</v>
      </c>
      <c r="D199" s="5" t="n">
        <v>7.75</v>
      </c>
      <c r="E199" s="6" t="n">
        <f aca="false">DATE(2024,5,1)</f>
        <v>45413</v>
      </c>
      <c r="F199" s="7" t="n">
        <f aca="false">C199*D199</f>
        <v>178.25</v>
      </c>
      <c r="G199" s="7" t="n">
        <f aca="false">ROUND(F199*0.2,2)</f>
        <v>35.65</v>
      </c>
      <c r="H199" s="4" t="str">
        <f aca="false">IF(F199&gt;500,"Yüksek",IF(F199&gt;100,"Orta","Düşük"))</f>
        <v>Orta</v>
      </c>
    </row>
    <row r="200" customFormat="false" ht="12.8" hidden="false" customHeight="false" outlineLevel="0" collapsed="false">
      <c r="A200" s="4" t="s">
        <v>22</v>
      </c>
      <c r="B200" s="4" t="s">
        <v>15</v>
      </c>
      <c r="C200" s="4" t="n">
        <v>30</v>
      </c>
      <c r="D200" s="5" t="n">
        <v>10.5</v>
      </c>
      <c r="E200" s="6" t="n">
        <f aca="false">DATE(2024,6,2)</f>
        <v>45445</v>
      </c>
      <c r="F200" s="7" t="n">
        <f aca="false">C200*D200</f>
        <v>315</v>
      </c>
      <c r="G200" s="7" t="n">
        <f aca="false">ROUND(F200*0.2,2)</f>
        <v>63</v>
      </c>
      <c r="H200" s="4" t="str">
        <f aca="false">IF(F200&gt;500,"Yüksek",IF(F200&gt;100,"Orta","Düşük"))</f>
        <v>Orta</v>
      </c>
    </row>
    <row r="201" customFormat="false" ht="12.8" hidden="false" customHeight="false" outlineLevel="0" collapsed="false">
      <c r="A201" s="4" t="s">
        <v>23</v>
      </c>
      <c r="B201" s="4" t="s">
        <v>17</v>
      </c>
      <c r="C201" s="4" t="n">
        <v>37</v>
      </c>
      <c r="D201" s="5" t="n">
        <v>13.25</v>
      </c>
      <c r="E201" s="6" t="n">
        <f aca="false">DATE(2024,7,3)</f>
        <v>45476</v>
      </c>
      <c r="F201" s="7" t="n">
        <f aca="false">C201*D201</f>
        <v>490.25</v>
      </c>
      <c r="G201" s="7" t="n">
        <f aca="false">ROUND(F201*0.2,2)</f>
        <v>98.05</v>
      </c>
      <c r="H201" s="4" t="str">
        <f aca="false">IF(F201&gt;500,"Yüksek",IF(F201&gt;100,"Orta","Düşük"))</f>
        <v>Orta</v>
      </c>
    </row>
    <row r="202" customFormat="false" ht="12.8" hidden="false" customHeight="false" outlineLevel="0" collapsed="false">
      <c r="A202" s="4" t="s">
        <v>24</v>
      </c>
      <c r="B202" s="4" t="s">
        <v>19</v>
      </c>
      <c r="C202" s="4" t="n">
        <v>44</v>
      </c>
      <c r="D202" s="5" t="n">
        <v>16</v>
      </c>
      <c r="E202" s="6" t="n">
        <f aca="false">DATE(2024,8,4)</f>
        <v>45508</v>
      </c>
      <c r="F202" s="7" t="n">
        <f aca="false">C202*D202</f>
        <v>704</v>
      </c>
      <c r="G202" s="7" t="n">
        <f aca="false">ROUND(F202*0.2,2)</f>
        <v>140.8</v>
      </c>
      <c r="H202" s="4" t="str">
        <f aca="false">IF(F202&gt;500,"Yüksek",IF(F202&gt;100,"Orta","Düşük"))</f>
        <v>Yüksek</v>
      </c>
    </row>
    <row r="203" customFormat="false" ht="12.8" hidden="false" customHeight="false" outlineLevel="0" collapsed="false">
      <c r="A203" s="4" t="s">
        <v>10</v>
      </c>
      <c r="B203" s="4" t="s">
        <v>11</v>
      </c>
      <c r="C203" s="4" t="n">
        <v>1</v>
      </c>
      <c r="D203" s="5" t="n">
        <v>18.75</v>
      </c>
      <c r="E203" s="6" t="n">
        <f aca="false">DATE(2024,9,5)</f>
        <v>45540</v>
      </c>
      <c r="F203" s="7" t="n">
        <f aca="false">C203*D203</f>
        <v>18.75</v>
      </c>
      <c r="G203" s="7" t="n">
        <f aca="false">ROUND(F203*0.2,2)</f>
        <v>3.75</v>
      </c>
      <c r="H203" s="4" t="str">
        <f aca="false">IF(F203&gt;500,"Yüksek",IF(F203&gt;100,"Orta","Düşük"))</f>
        <v>Düşük</v>
      </c>
    </row>
    <row r="204" customFormat="false" ht="12.8" hidden="false" customHeight="false" outlineLevel="0" collapsed="false">
      <c r="A204" s="4" t="s">
        <v>12</v>
      </c>
      <c r="B204" s="4" t="s">
        <v>13</v>
      </c>
      <c r="C204" s="4" t="n">
        <v>8</v>
      </c>
      <c r="D204" s="5" t="n">
        <v>21.5</v>
      </c>
      <c r="E204" s="6" t="n">
        <f aca="false">DATE(2024,10,6)</f>
        <v>45571</v>
      </c>
      <c r="F204" s="7" t="n">
        <f aca="false">C204*D204</f>
        <v>172</v>
      </c>
      <c r="G204" s="7" t="n">
        <f aca="false">ROUND(F204*0.2,2)</f>
        <v>34.4</v>
      </c>
      <c r="H204" s="4" t="str">
        <f aca="false">IF(F204&gt;500,"Yüksek",IF(F204&gt;100,"Orta","Düşük"))</f>
        <v>Orta</v>
      </c>
    </row>
    <row r="205" customFormat="false" ht="12.8" hidden="false" customHeight="false" outlineLevel="0" collapsed="false">
      <c r="A205" s="4" t="s">
        <v>14</v>
      </c>
      <c r="B205" s="4" t="s">
        <v>15</v>
      </c>
      <c r="C205" s="4" t="n">
        <v>15</v>
      </c>
      <c r="D205" s="5" t="n">
        <v>24.25</v>
      </c>
      <c r="E205" s="6" t="n">
        <f aca="false">DATE(2024,11,7)</f>
        <v>45603</v>
      </c>
      <c r="F205" s="7" t="n">
        <f aca="false">C205*D205</f>
        <v>363.75</v>
      </c>
      <c r="G205" s="7" t="n">
        <f aca="false">ROUND(F205*0.2,2)</f>
        <v>72.75</v>
      </c>
      <c r="H205" s="4" t="str">
        <f aca="false">IF(F205&gt;500,"Yüksek",IF(F205&gt;100,"Orta","Düşük"))</f>
        <v>Orta</v>
      </c>
    </row>
    <row r="206" customFormat="false" ht="12.8" hidden="false" customHeight="false" outlineLevel="0" collapsed="false">
      <c r="A206" s="4" t="s">
        <v>16</v>
      </c>
      <c r="B206" s="4" t="s">
        <v>17</v>
      </c>
      <c r="C206" s="4" t="n">
        <v>22</v>
      </c>
      <c r="D206" s="5" t="n">
        <v>27</v>
      </c>
      <c r="E206" s="6" t="n">
        <f aca="false">DATE(2024,12,8)</f>
        <v>45634</v>
      </c>
      <c r="F206" s="7" t="n">
        <f aca="false">C206*D206</f>
        <v>594</v>
      </c>
      <c r="G206" s="7" t="n">
        <f aca="false">ROUND(F206*0.2,2)</f>
        <v>118.8</v>
      </c>
      <c r="H206" s="4" t="str">
        <f aca="false">IF(F206&gt;500,"Yüksek",IF(F206&gt;100,"Orta","Düşük"))</f>
        <v>Yüksek</v>
      </c>
    </row>
    <row r="207" customFormat="false" ht="12.8" hidden="false" customHeight="false" outlineLevel="0" collapsed="false">
      <c r="A207" s="4" t="s">
        <v>18</v>
      </c>
      <c r="B207" s="4" t="s">
        <v>19</v>
      </c>
      <c r="C207" s="4" t="n">
        <v>29</v>
      </c>
      <c r="D207" s="5" t="n">
        <v>29.75</v>
      </c>
      <c r="E207" s="6" t="n">
        <f aca="false">DATE(2024,1,9)</f>
        <v>45300</v>
      </c>
      <c r="F207" s="7" t="n">
        <f aca="false">C207*D207</f>
        <v>862.75</v>
      </c>
      <c r="G207" s="7" t="n">
        <f aca="false">ROUND(F207*0.2,2)</f>
        <v>172.55</v>
      </c>
      <c r="H207" s="4" t="str">
        <f aca="false">IF(F207&gt;500,"Yüksek",IF(F207&gt;100,"Orta","Düşük"))</f>
        <v>Yüksek</v>
      </c>
    </row>
    <row r="208" customFormat="false" ht="12.8" hidden="false" customHeight="false" outlineLevel="0" collapsed="false">
      <c r="A208" s="4" t="s">
        <v>20</v>
      </c>
      <c r="B208" s="4" t="s">
        <v>11</v>
      </c>
      <c r="C208" s="4" t="n">
        <v>36</v>
      </c>
      <c r="D208" s="5" t="n">
        <v>32.5</v>
      </c>
      <c r="E208" s="6" t="n">
        <f aca="false">DATE(2024,2,10)</f>
        <v>45332</v>
      </c>
      <c r="F208" s="7" t="n">
        <f aca="false">C208*D208</f>
        <v>1170</v>
      </c>
      <c r="G208" s="7" t="n">
        <f aca="false">ROUND(F208*0.2,2)</f>
        <v>234</v>
      </c>
      <c r="H208" s="4" t="str">
        <f aca="false">IF(F208&gt;500,"Yüksek",IF(F208&gt;100,"Orta","Düşük"))</f>
        <v>Yüksek</v>
      </c>
    </row>
    <row r="209" customFormat="false" ht="12.8" hidden="false" customHeight="false" outlineLevel="0" collapsed="false">
      <c r="A209" s="4" t="s">
        <v>21</v>
      </c>
      <c r="B209" s="4" t="s">
        <v>13</v>
      </c>
      <c r="C209" s="4" t="n">
        <v>43</v>
      </c>
      <c r="D209" s="5" t="n">
        <v>35.25</v>
      </c>
      <c r="E209" s="6" t="n">
        <f aca="false">DATE(2024,3,11)</f>
        <v>45362</v>
      </c>
      <c r="F209" s="7" t="n">
        <f aca="false">C209*D209</f>
        <v>1515.75</v>
      </c>
      <c r="G209" s="7" t="n">
        <f aca="false">ROUND(F209*0.2,2)</f>
        <v>303.15</v>
      </c>
      <c r="H209" s="4" t="str">
        <f aca="false">IF(F209&gt;500,"Yüksek",IF(F209&gt;100,"Orta","Düşük"))</f>
        <v>Yüksek</v>
      </c>
    </row>
    <row r="210" customFormat="false" ht="12.8" hidden="false" customHeight="false" outlineLevel="0" collapsed="false">
      <c r="A210" s="4" t="s">
        <v>22</v>
      </c>
      <c r="B210" s="4" t="s">
        <v>15</v>
      </c>
      <c r="C210" s="4" t="n">
        <v>50</v>
      </c>
      <c r="D210" s="5" t="n">
        <v>38</v>
      </c>
      <c r="E210" s="6" t="n">
        <f aca="false">DATE(2024,4,12)</f>
        <v>45394</v>
      </c>
      <c r="F210" s="7" t="n">
        <f aca="false">C210*D210</f>
        <v>1900</v>
      </c>
      <c r="G210" s="7" t="n">
        <f aca="false">ROUND(F210*0.2,2)</f>
        <v>380</v>
      </c>
      <c r="H210" s="4" t="str">
        <f aca="false">IF(F210&gt;500,"Yüksek",IF(F210&gt;100,"Orta","Düşük"))</f>
        <v>Yüksek</v>
      </c>
    </row>
    <row r="211" customFormat="false" ht="12.8" hidden="false" customHeight="false" outlineLevel="0" collapsed="false">
      <c r="A211" s="4" t="s">
        <v>23</v>
      </c>
      <c r="B211" s="4" t="s">
        <v>17</v>
      </c>
      <c r="C211" s="4" t="n">
        <v>7</v>
      </c>
      <c r="D211" s="5" t="n">
        <v>5</v>
      </c>
      <c r="E211" s="6" t="n">
        <f aca="false">DATE(2024,5,13)</f>
        <v>45425</v>
      </c>
      <c r="F211" s="7" t="n">
        <f aca="false">C211*D211</f>
        <v>35</v>
      </c>
      <c r="G211" s="7" t="n">
        <f aca="false">ROUND(F211*0.2,2)</f>
        <v>7</v>
      </c>
      <c r="H211" s="4" t="str">
        <f aca="false">IF(F211&gt;500,"Yüksek",IF(F211&gt;100,"Orta","Düşük"))</f>
        <v>Düşük</v>
      </c>
    </row>
    <row r="212" customFormat="false" ht="12.8" hidden="false" customHeight="false" outlineLevel="0" collapsed="false">
      <c r="A212" s="4" t="s">
        <v>24</v>
      </c>
      <c r="B212" s="4" t="s">
        <v>19</v>
      </c>
      <c r="C212" s="4" t="n">
        <v>14</v>
      </c>
      <c r="D212" s="5" t="n">
        <v>7.75</v>
      </c>
      <c r="E212" s="6" t="n">
        <f aca="false">DATE(2024,6,14)</f>
        <v>45457</v>
      </c>
      <c r="F212" s="7" t="n">
        <f aca="false">C212*D212</f>
        <v>108.5</v>
      </c>
      <c r="G212" s="7" t="n">
        <f aca="false">ROUND(F212*0.2,2)</f>
        <v>21.7</v>
      </c>
      <c r="H212" s="4" t="str">
        <f aca="false">IF(F212&gt;500,"Yüksek",IF(F212&gt;100,"Orta","Düşük"))</f>
        <v>Orta</v>
      </c>
    </row>
    <row r="213" customFormat="false" ht="12.8" hidden="false" customHeight="false" outlineLevel="0" collapsed="false">
      <c r="A213" s="4" t="s">
        <v>10</v>
      </c>
      <c r="B213" s="4" t="s">
        <v>11</v>
      </c>
      <c r="C213" s="4" t="n">
        <v>21</v>
      </c>
      <c r="D213" s="5" t="n">
        <v>10.5</v>
      </c>
      <c r="E213" s="6" t="n">
        <f aca="false">DATE(2024,7,15)</f>
        <v>45488</v>
      </c>
      <c r="F213" s="7" t="n">
        <f aca="false">C213*D213</f>
        <v>220.5</v>
      </c>
      <c r="G213" s="7" t="n">
        <f aca="false">ROUND(F213*0.2,2)</f>
        <v>44.1</v>
      </c>
      <c r="H213" s="4" t="str">
        <f aca="false">IF(F213&gt;500,"Yüksek",IF(F213&gt;100,"Orta","Düşük"))</f>
        <v>Orta</v>
      </c>
    </row>
    <row r="214" customFormat="false" ht="12.8" hidden="false" customHeight="false" outlineLevel="0" collapsed="false">
      <c r="A214" s="4" t="s">
        <v>12</v>
      </c>
      <c r="B214" s="4" t="s">
        <v>13</v>
      </c>
      <c r="C214" s="4" t="n">
        <v>28</v>
      </c>
      <c r="D214" s="5" t="n">
        <v>13.25</v>
      </c>
      <c r="E214" s="6" t="n">
        <f aca="false">DATE(2024,8,16)</f>
        <v>45520</v>
      </c>
      <c r="F214" s="7" t="n">
        <f aca="false">C214*D214</f>
        <v>371</v>
      </c>
      <c r="G214" s="7" t="n">
        <f aca="false">ROUND(F214*0.2,2)</f>
        <v>74.2</v>
      </c>
      <c r="H214" s="4" t="str">
        <f aca="false">IF(F214&gt;500,"Yüksek",IF(F214&gt;100,"Orta","Düşük"))</f>
        <v>Orta</v>
      </c>
    </row>
    <row r="215" customFormat="false" ht="12.8" hidden="false" customHeight="false" outlineLevel="0" collapsed="false">
      <c r="A215" s="4" t="s">
        <v>14</v>
      </c>
      <c r="B215" s="4" t="s">
        <v>15</v>
      </c>
      <c r="C215" s="4" t="n">
        <v>35</v>
      </c>
      <c r="D215" s="5" t="n">
        <v>16</v>
      </c>
      <c r="E215" s="6" t="n">
        <f aca="false">DATE(2024,9,17)</f>
        <v>45552</v>
      </c>
      <c r="F215" s="7" t="n">
        <f aca="false">C215*D215</f>
        <v>560</v>
      </c>
      <c r="G215" s="7" t="n">
        <f aca="false">ROUND(F215*0.2,2)</f>
        <v>112</v>
      </c>
      <c r="H215" s="4" t="str">
        <f aca="false">IF(F215&gt;500,"Yüksek",IF(F215&gt;100,"Orta","Düşük"))</f>
        <v>Yüksek</v>
      </c>
    </row>
    <row r="216" customFormat="false" ht="12.8" hidden="false" customHeight="false" outlineLevel="0" collapsed="false">
      <c r="A216" s="4" t="s">
        <v>16</v>
      </c>
      <c r="B216" s="4" t="s">
        <v>17</v>
      </c>
      <c r="C216" s="4" t="n">
        <v>42</v>
      </c>
      <c r="D216" s="5" t="n">
        <v>18.75</v>
      </c>
      <c r="E216" s="6" t="n">
        <f aca="false">DATE(2024,10,18)</f>
        <v>45583</v>
      </c>
      <c r="F216" s="7" t="n">
        <f aca="false">C216*D216</f>
        <v>787.5</v>
      </c>
      <c r="G216" s="7" t="n">
        <f aca="false">ROUND(F216*0.2,2)</f>
        <v>157.5</v>
      </c>
      <c r="H216" s="4" t="str">
        <f aca="false">IF(F216&gt;500,"Yüksek",IF(F216&gt;100,"Orta","Düşük"))</f>
        <v>Yüksek</v>
      </c>
    </row>
    <row r="217" customFormat="false" ht="12.8" hidden="false" customHeight="false" outlineLevel="0" collapsed="false">
      <c r="A217" s="4" t="s">
        <v>18</v>
      </c>
      <c r="B217" s="4" t="s">
        <v>19</v>
      </c>
      <c r="C217" s="4" t="n">
        <v>49</v>
      </c>
      <c r="D217" s="5" t="n">
        <v>21.5</v>
      </c>
      <c r="E217" s="6" t="n">
        <f aca="false">DATE(2024,11,19)</f>
        <v>45615</v>
      </c>
      <c r="F217" s="7" t="n">
        <f aca="false">C217*D217</f>
        <v>1053.5</v>
      </c>
      <c r="G217" s="7" t="n">
        <f aca="false">ROUND(F217*0.2,2)</f>
        <v>210.7</v>
      </c>
      <c r="H217" s="4" t="str">
        <f aca="false">IF(F217&gt;500,"Yüksek",IF(F217&gt;100,"Orta","Düşük"))</f>
        <v>Yüksek</v>
      </c>
    </row>
    <row r="218" customFormat="false" ht="12.8" hidden="false" customHeight="false" outlineLevel="0" collapsed="false">
      <c r="A218" s="4" t="s">
        <v>20</v>
      </c>
      <c r="B218" s="4" t="s">
        <v>11</v>
      </c>
      <c r="C218" s="4" t="n">
        <v>6</v>
      </c>
      <c r="D218" s="5" t="n">
        <v>24.25</v>
      </c>
      <c r="E218" s="6" t="n">
        <f aca="false">DATE(2024,12,20)</f>
        <v>45646</v>
      </c>
      <c r="F218" s="7" t="n">
        <f aca="false">C218*D218</f>
        <v>145.5</v>
      </c>
      <c r="G218" s="7" t="n">
        <f aca="false">ROUND(F218*0.2,2)</f>
        <v>29.1</v>
      </c>
      <c r="H218" s="4" t="str">
        <f aca="false">IF(F218&gt;500,"Yüksek",IF(F218&gt;100,"Orta","Düşük"))</f>
        <v>Orta</v>
      </c>
    </row>
    <row r="219" customFormat="false" ht="12.8" hidden="false" customHeight="false" outlineLevel="0" collapsed="false">
      <c r="A219" s="4" t="s">
        <v>21</v>
      </c>
      <c r="B219" s="4" t="s">
        <v>13</v>
      </c>
      <c r="C219" s="4" t="n">
        <v>13</v>
      </c>
      <c r="D219" s="5" t="n">
        <v>27</v>
      </c>
      <c r="E219" s="6" t="n">
        <f aca="false">DATE(2024,1,21)</f>
        <v>45312</v>
      </c>
      <c r="F219" s="7" t="n">
        <f aca="false">C219*D219</f>
        <v>351</v>
      </c>
      <c r="G219" s="7" t="n">
        <f aca="false">ROUND(F219*0.2,2)</f>
        <v>70.2</v>
      </c>
      <c r="H219" s="4" t="str">
        <f aca="false">IF(F219&gt;500,"Yüksek",IF(F219&gt;100,"Orta","Düşük"))</f>
        <v>Orta</v>
      </c>
    </row>
    <row r="220" customFormat="false" ht="12.8" hidden="false" customHeight="false" outlineLevel="0" collapsed="false">
      <c r="A220" s="4" t="s">
        <v>22</v>
      </c>
      <c r="B220" s="4" t="s">
        <v>15</v>
      </c>
      <c r="C220" s="4" t="n">
        <v>20</v>
      </c>
      <c r="D220" s="5" t="n">
        <v>29.75</v>
      </c>
      <c r="E220" s="6" t="n">
        <f aca="false">DATE(2024,2,22)</f>
        <v>45344</v>
      </c>
      <c r="F220" s="7" t="n">
        <f aca="false">C220*D220</f>
        <v>595</v>
      </c>
      <c r="G220" s="7" t="n">
        <f aca="false">ROUND(F220*0.2,2)</f>
        <v>119</v>
      </c>
      <c r="H220" s="4" t="str">
        <f aca="false">IF(F220&gt;500,"Yüksek",IF(F220&gt;100,"Orta","Düşük"))</f>
        <v>Yüksek</v>
      </c>
    </row>
    <row r="221" customFormat="false" ht="12.8" hidden="false" customHeight="false" outlineLevel="0" collapsed="false">
      <c r="A221" s="4" t="s">
        <v>23</v>
      </c>
      <c r="B221" s="4" t="s">
        <v>17</v>
      </c>
      <c r="C221" s="4" t="n">
        <v>27</v>
      </c>
      <c r="D221" s="5" t="n">
        <v>32.5</v>
      </c>
      <c r="E221" s="6" t="n">
        <f aca="false">DATE(2024,3,23)</f>
        <v>45374</v>
      </c>
      <c r="F221" s="7" t="n">
        <f aca="false">C221*D221</f>
        <v>877.5</v>
      </c>
      <c r="G221" s="7" t="n">
        <f aca="false">ROUND(F221*0.2,2)</f>
        <v>175.5</v>
      </c>
      <c r="H221" s="4" t="str">
        <f aca="false">IF(F221&gt;500,"Yüksek",IF(F221&gt;100,"Orta","Düşük"))</f>
        <v>Yüksek</v>
      </c>
    </row>
    <row r="222" customFormat="false" ht="12.8" hidden="false" customHeight="false" outlineLevel="0" collapsed="false">
      <c r="A222" s="4" t="s">
        <v>24</v>
      </c>
      <c r="B222" s="4" t="s">
        <v>19</v>
      </c>
      <c r="C222" s="4" t="n">
        <v>34</v>
      </c>
      <c r="D222" s="5" t="n">
        <v>35.25</v>
      </c>
      <c r="E222" s="6" t="n">
        <f aca="false">DATE(2024,4,24)</f>
        <v>45406</v>
      </c>
      <c r="F222" s="7" t="n">
        <f aca="false">C222*D222</f>
        <v>1198.5</v>
      </c>
      <c r="G222" s="7" t="n">
        <f aca="false">ROUND(F222*0.2,2)</f>
        <v>239.7</v>
      </c>
      <c r="H222" s="4" t="str">
        <f aca="false">IF(F222&gt;500,"Yüksek",IF(F222&gt;100,"Orta","Düşük"))</f>
        <v>Yüksek</v>
      </c>
    </row>
    <row r="223" customFormat="false" ht="12.8" hidden="false" customHeight="false" outlineLevel="0" collapsed="false">
      <c r="A223" s="4" t="s">
        <v>10</v>
      </c>
      <c r="B223" s="4" t="s">
        <v>11</v>
      </c>
      <c r="C223" s="4" t="n">
        <v>41</v>
      </c>
      <c r="D223" s="5" t="n">
        <v>38</v>
      </c>
      <c r="E223" s="6" t="n">
        <f aca="false">DATE(2024,5,25)</f>
        <v>45437</v>
      </c>
      <c r="F223" s="7" t="n">
        <f aca="false">C223*D223</f>
        <v>1558</v>
      </c>
      <c r="G223" s="7" t="n">
        <f aca="false">ROUND(F223*0.2,2)</f>
        <v>311.6</v>
      </c>
      <c r="H223" s="4" t="str">
        <f aca="false">IF(F223&gt;500,"Yüksek",IF(F223&gt;100,"Orta","Düşük"))</f>
        <v>Yüksek</v>
      </c>
    </row>
    <row r="224" customFormat="false" ht="12.8" hidden="false" customHeight="false" outlineLevel="0" collapsed="false">
      <c r="A224" s="4" t="s">
        <v>12</v>
      </c>
      <c r="B224" s="4" t="s">
        <v>13</v>
      </c>
      <c r="C224" s="4" t="n">
        <v>48</v>
      </c>
      <c r="D224" s="5" t="n">
        <v>5</v>
      </c>
      <c r="E224" s="6" t="n">
        <f aca="false">DATE(2024,6,26)</f>
        <v>45469</v>
      </c>
      <c r="F224" s="7" t="n">
        <f aca="false">C224*D224</f>
        <v>240</v>
      </c>
      <c r="G224" s="7" t="n">
        <f aca="false">ROUND(F224*0.2,2)</f>
        <v>48</v>
      </c>
      <c r="H224" s="4" t="str">
        <f aca="false">IF(F224&gt;500,"Yüksek",IF(F224&gt;100,"Orta","Düşük"))</f>
        <v>Orta</v>
      </c>
    </row>
    <row r="225" customFormat="false" ht="12.8" hidden="false" customHeight="false" outlineLevel="0" collapsed="false">
      <c r="A225" s="4" t="s">
        <v>14</v>
      </c>
      <c r="B225" s="4" t="s">
        <v>15</v>
      </c>
      <c r="C225" s="4" t="n">
        <v>5</v>
      </c>
      <c r="D225" s="5" t="n">
        <v>7.75</v>
      </c>
      <c r="E225" s="6" t="n">
        <f aca="false">DATE(2024,7,27)</f>
        <v>45500</v>
      </c>
      <c r="F225" s="7" t="n">
        <f aca="false">C225*D225</f>
        <v>38.75</v>
      </c>
      <c r="G225" s="7" t="n">
        <f aca="false">ROUND(F225*0.2,2)</f>
        <v>7.75</v>
      </c>
      <c r="H225" s="4" t="str">
        <f aca="false">IF(F225&gt;500,"Yüksek",IF(F225&gt;100,"Orta","Düşük"))</f>
        <v>Düşük</v>
      </c>
    </row>
    <row r="226" customFormat="false" ht="12.8" hidden="false" customHeight="false" outlineLevel="0" collapsed="false">
      <c r="A226" s="4" t="s">
        <v>16</v>
      </c>
      <c r="B226" s="4" t="s">
        <v>17</v>
      </c>
      <c r="C226" s="4" t="n">
        <v>12</v>
      </c>
      <c r="D226" s="5" t="n">
        <v>10.5</v>
      </c>
      <c r="E226" s="6" t="n">
        <f aca="false">DATE(2024,8,28)</f>
        <v>45532</v>
      </c>
      <c r="F226" s="7" t="n">
        <f aca="false">C226*D226</f>
        <v>126</v>
      </c>
      <c r="G226" s="7" t="n">
        <f aca="false">ROUND(F226*0.2,2)</f>
        <v>25.2</v>
      </c>
      <c r="H226" s="4" t="str">
        <f aca="false">IF(F226&gt;500,"Yüksek",IF(F226&gt;100,"Orta","Düşük"))</f>
        <v>Orta</v>
      </c>
    </row>
    <row r="227" customFormat="false" ht="12.8" hidden="false" customHeight="false" outlineLevel="0" collapsed="false">
      <c r="A227" s="4" t="s">
        <v>18</v>
      </c>
      <c r="B227" s="4" t="s">
        <v>19</v>
      </c>
      <c r="C227" s="4" t="n">
        <v>19</v>
      </c>
      <c r="D227" s="5" t="n">
        <v>13.25</v>
      </c>
      <c r="E227" s="6" t="n">
        <f aca="false">DATE(2024,9,1)</f>
        <v>45536</v>
      </c>
      <c r="F227" s="7" t="n">
        <f aca="false">C227*D227</f>
        <v>251.75</v>
      </c>
      <c r="G227" s="7" t="n">
        <f aca="false">ROUND(F227*0.2,2)</f>
        <v>50.35</v>
      </c>
      <c r="H227" s="4" t="str">
        <f aca="false">IF(F227&gt;500,"Yüksek",IF(F227&gt;100,"Orta","Düşük"))</f>
        <v>Orta</v>
      </c>
    </row>
    <row r="228" customFormat="false" ht="12.8" hidden="false" customHeight="false" outlineLevel="0" collapsed="false">
      <c r="A228" s="4" t="s">
        <v>20</v>
      </c>
      <c r="B228" s="4" t="s">
        <v>11</v>
      </c>
      <c r="C228" s="4" t="n">
        <v>26</v>
      </c>
      <c r="D228" s="5" t="n">
        <v>16</v>
      </c>
      <c r="E228" s="6" t="n">
        <f aca="false">DATE(2024,10,2)</f>
        <v>45567</v>
      </c>
      <c r="F228" s="7" t="n">
        <f aca="false">C228*D228</f>
        <v>416</v>
      </c>
      <c r="G228" s="7" t="n">
        <f aca="false">ROUND(F228*0.2,2)</f>
        <v>83.2</v>
      </c>
      <c r="H228" s="4" t="str">
        <f aca="false">IF(F228&gt;500,"Yüksek",IF(F228&gt;100,"Orta","Düşük"))</f>
        <v>Orta</v>
      </c>
    </row>
    <row r="229" customFormat="false" ht="12.8" hidden="false" customHeight="false" outlineLevel="0" collapsed="false">
      <c r="A229" s="4" t="s">
        <v>21</v>
      </c>
      <c r="B229" s="4" t="s">
        <v>13</v>
      </c>
      <c r="C229" s="4" t="n">
        <v>33</v>
      </c>
      <c r="D229" s="5" t="n">
        <v>18.75</v>
      </c>
      <c r="E229" s="6" t="n">
        <f aca="false">DATE(2024,11,3)</f>
        <v>45599</v>
      </c>
      <c r="F229" s="7" t="n">
        <f aca="false">C229*D229</f>
        <v>618.75</v>
      </c>
      <c r="G229" s="7" t="n">
        <f aca="false">ROUND(F229*0.2,2)</f>
        <v>123.75</v>
      </c>
      <c r="H229" s="4" t="str">
        <f aca="false">IF(F229&gt;500,"Yüksek",IF(F229&gt;100,"Orta","Düşük"))</f>
        <v>Yüksek</v>
      </c>
    </row>
    <row r="230" customFormat="false" ht="12.8" hidden="false" customHeight="false" outlineLevel="0" collapsed="false">
      <c r="A230" s="4" t="s">
        <v>22</v>
      </c>
      <c r="B230" s="4" t="s">
        <v>15</v>
      </c>
      <c r="C230" s="4" t="n">
        <v>40</v>
      </c>
      <c r="D230" s="5" t="n">
        <v>21.5</v>
      </c>
      <c r="E230" s="6" t="n">
        <f aca="false">DATE(2024,12,4)</f>
        <v>45630</v>
      </c>
      <c r="F230" s="7" t="n">
        <f aca="false">C230*D230</f>
        <v>860</v>
      </c>
      <c r="G230" s="7" t="n">
        <f aca="false">ROUND(F230*0.2,2)</f>
        <v>172</v>
      </c>
      <c r="H230" s="4" t="str">
        <f aca="false">IF(F230&gt;500,"Yüksek",IF(F230&gt;100,"Orta","Düşük"))</f>
        <v>Yüksek</v>
      </c>
    </row>
    <row r="231" customFormat="false" ht="12.8" hidden="false" customHeight="false" outlineLevel="0" collapsed="false">
      <c r="A231" s="4" t="s">
        <v>23</v>
      </c>
      <c r="B231" s="4" t="s">
        <v>17</v>
      </c>
      <c r="C231" s="4" t="n">
        <v>47</v>
      </c>
      <c r="D231" s="5" t="n">
        <v>24.25</v>
      </c>
      <c r="E231" s="6" t="n">
        <f aca="false">DATE(2024,1,5)</f>
        <v>45296</v>
      </c>
      <c r="F231" s="7" t="n">
        <f aca="false">C231*D231</f>
        <v>1139.75</v>
      </c>
      <c r="G231" s="7" t="n">
        <f aca="false">ROUND(F231*0.2,2)</f>
        <v>227.95</v>
      </c>
      <c r="H231" s="4" t="str">
        <f aca="false">IF(F231&gt;500,"Yüksek",IF(F231&gt;100,"Orta","Düşük"))</f>
        <v>Yüksek</v>
      </c>
    </row>
    <row r="232" customFormat="false" ht="12.8" hidden="false" customHeight="false" outlineLevel="0" collapsed="false">
      <c r="A232" s="4" t="s">
        <v>24</v>
      </c>
      <c r="B232" s="4" t="s">
        <v>19</v>
      </c>
      <c r="C232" s="4" t="n">
        <v>4</v>
      </c>
      <c r="D232" s="5" t="n">
        <v>27</v>
      </c>
      <c r="E232" s="6" t="n">
        <f aca="false">DATE(2024,2,6)</f>
        <v>45328</v>
      </c>
      <c r="F232" s="7" t="n">
        <f aca="false">C232*D232</f>
        <v>108</v>
      </c>
      <c r="G232" s="7" t="n">
        <f aca="false">ROUND(F232*0.2,2)</f>
        <v>21.6</v>
      </c>
      <c r="H232" s="4" t="str">
        <f aca="false">IF(F232&gt;500,"Yüksek",IF(F232&gt;100,"Orta","Düşük"))</f>
        <v>Orta</v>
      </c>
    </row>
    <row r="233" customFormat="false" ht="12.8" hidden="false" customHeight="false" outlineLevel="0" collapsed="false">
      <c r="A233" s="4" t="s">
        <v>10</v>
      </c>
      <c r="B233" s="4" t="s">
        <v>11</v>
      </c>
      <c r="C233" s="4" t="n">
        <v>11</v>
      </c>
      <c r="D233" s="5" t="n">
        <v>29.75</v>
      </c>
      <c r="E233" s="6" t="n">
        <f aca="false">DATE(2024,3,7)</f>
        <v>45358</v>
      </c>
      <c r="F233" s="7" t="n">
        <f aca="false">C233*D233</f>
        <v>327.25</v>
      </c>
      <c r="G233" s="7" t="n">
        <f aca="false">ROUND(F233*0.2,2)</f>
        <v>65.45</v>
      </c>
      <c r="H233" s="4" t="str">
        <f aca="false">IF(F233&gt;500,"Yüksek",IF(F233&gt;100,"Orta","Düşük"))</f>
        <v>Orta</v>
      </c>
    </row>
    <row r="234" customFormat="false" ht="12.8" hidden="false" customHeight="false" outlineLevel="0" collapsed="false">
      <c r="A234" s="4" t="s">
        <v>12</v>
      </c>
      <c r="B234" s="4" t="s">
        <v>13</v>
      </c>
      <c r="C234" s="4" t="n">
        <v>18</v>
      </c>
      <c r="D234" s="5" t="n">
        <v>32.5</v>
      </c>
      <c r="E234" s="6" t="n">
        <f aca="false">DATE(2024,4,8)</f>
        <v>45390</v>
      </c>
      <c r="F234" s="7" t="n">
        <f aca="false">C234*D234</f>
        <v>585</v>
      </c>
      <c r="G234" s="7" t="n">
        <f aca="false">ROUND(F234*0.2,2)</f>
        <v>117</v>
      </c>
      <c r="H234" s="4" t="str">
        <f aca="false">IF(F234&gt;500,"Yüksek",IF(F234&gt;100,"Orta","Düşük"))</f>
        <v>Yüksek</v>
      </c>
    </row>
    <row r="235" customFormat="false" ht="12.8" hidden="false" customHeight="false" outlineLevel="0" collapsed="false">
      <c r="A235" s="4" t="s">
        <v>14</v>
      </c>
      <c r="B235" s="4" t="s">
        <v>15</v>
      </c>
      <c r="C235" s="4" t="n">
        <v>25</v>
      </c>
      <c r="D235" s="5" t="n">
        <v>35.25</v>
      </c>
      <c r="E235" s="6" t="n">
        <f aca="false">DATE(2024,5,9)</f>
        <v>45421</v>
      </c>
      <c r="F235" s="7" t="n">
        <f aca="false">C235*D235</f>
        <v>881.25</v>
      </c>
      <c r="G235" s="7" t="n">
        <f aca="false">ROUND(F235*0.2,2)</f>
        <v>176.25</v>
      </c>
      <c r="H235" s="4" t="str">
        <f aca="false">IF(F235&gt;500,"Yüksek",IF(F235&gt;100,"Orta","Düşük"))</f>
        <v>Yüksek</v>
      </c>
    </row>
    <row r="236" customFormat="false" ht="12.8" hidden="false" customHeight="false" outlineLevel="0" collapsed="false">
      <c r="A236" s="4" t="s">
        <v>16</v>
      </c>
      <c r="B236" s="4" t="s">
        <v>17</v>
      </c>
      <c r="C236" s="4" t="n">
        <v>32</v>
      </c>
      <c r="D236" s="5" t="n">
        <v>38</v>
      </c>
      <c r="E236" s="6" t="n">
        <f aca="false">DATE(2024,6,10)</f>
        <v>45453</v>
      </c>
      <c r="F236" s="7" t="n">
        <f aca="false">C236*D236</f>
        <v>1216</v>
      </c>
      <c r="G236" s="7" t="n">
        <f aca="false">ROUND(F236*0.2,2)</f>
        <v>243.2</v>
      </c>
      <c r="H236" s="4" t="str">
        <f aca="false">IF(F236&gt;500,"Yüksek",IF(F236&gt;100,"Orta","Düşük"))</f>
        <v>Yüksek</v>
      </c>
    </row>
    <row r="237" customFormat="false" ht="12.8" hidden="false" customHeight="false" outlineLevel="0" collapsed="false">
      <c r="A237" s="4" t="s">
        <v>18</v>
      </c>
      <c r="B237" s="4" t="s">
        <v>19</v>
      </c>
      <c r="C237" s="4" t="n">
        <v>39</v>
      </c>
      <c r="D237" s="5" t="n">
        <v>5</v>
      </c>
      <c r="E237" s="6" t="n">
        <f aca="false">DATE(2024,7,11)</f>
        <v>45484</v>
      </c>
      <c r="F237" s="7" t="n">
        <f aca="false">C237*D237</f>
        <v>195</v>
      </c>
      <c r="G237" s="7" t="n">
        <f aca="false">ROUND(F237*0.2,2)</f>
        <v>39</v>
      </c>
      <c r="H237" s="4" t="str">
        <f aca="false">IF(F237&gt;500,"Yüksek",IF(F237&gt;100,"Orta","Düşük"))</f>
        <v>Orta</v>
      </c>
    </row>
    <row r="238" customFormat="false" ht="12.8" hidden="false" customHeight="false" outlineLevel="0" collapsed="false">
      <c r="A238" s="4" t="s">
        <v>20</v>
      </c>
      <c r="B238" s="4" t="s">
        <v>11</v>
      </c>
      <c r="C238" s="4" t="n">
        <v>46</v>
      </c>
      <c r="D238" s="5" t="n">
        <v>7.75</v>
      </c>
      <c r="E238" s="6" t="n">
        <f aca="false">DATE(2024,8,12)</f>
        <v>45516</v>
      </c>
      <c r="F238" s="7" t="n">
        <f aca="false">C238*D238</f>
        <v>356.5</v>
      </c>
      <c r="G238" s="7" t="n">
        <f aca="false">ROUND(F238*0.2,2)</f>
        <v>71.3</v>
      </c>
      <c r="H238" s="4" t="str">
        <f aca="false">IF(F238&gt;500,"Yüksek",IF(F238&gt;100,"Orta","Düşük"))</f>
        <v>Orta</v>
      </c>
    </row>
    <row r="239" customFormat="false" ht="12.8" hidden="false" customHeight="false" outlineLevel="0" collapsed="false">
      <c r="A239" s="4" t="s">
        <v>21</v>
      </c>
      <c r="B239" s="4" t="s">
        <v>13</v>
      </c>
      <c r="C239" s="4" t="n">
        <v>3</v>
      </c>
      <c r="D239" s="5" t="n">
        <v>10.5</v>
      </c>
      <c r="E239" s="6" t="n">
        <f aca="false">DATE(2024,9,13)</f>
        <v>45548</v>
      </c>
      <c r="F239" s="7" t="n">
        <f aca="false">C239*D239</f>
        <v>31.5</v>
      </c>
      <c r="G239" s="7" t="n">
        <f aca="false">ROUND(F239*0.2,2)</f>
        <v>6.3</v>
      </c>
      <c r="H239" s="4" t="str">
        <f aca="false">IF(F239&gt;500,"Yüksek",IF(F239&gt;100,"Orta","Düşük"))</f>
        <v>Düşük</v>
      </c>
    </row>
    <row r="240" customFormat="false" ht="12.8" hidden="false" customHeight="false" outlineLevel="0" collapsed="false">
      <c r="A240" s="4" t="s">
        <v>22</v>
      </c>
      <c r="B240" s="4" t="s">
        <v>15</v>
      </c>
      <c r="C240" s="4" t="n">
        <v>10</v>
      </c>
      <c r="D240" s="5" t="n">
        <v>13.25</v>
      </c>
      <c r="E240" s="6" t="n">
        <f aca="false">DATE(2024,10,14)</f>
        <v>45579</v>
      </c>
      <c r="F240" s="7" t="n">
        <f aca="false">C240*D240</f>
        <v>132.5</v>
      </c>
      <c r="G240" s="7" t="n">
        <f aca="false">ROUND(F240*0.2,2)</f>
        <v>26.5</v>
      </c>
      <c r="H240" s="4" t="str">
        <f aca="false">IF(F240&gt;500,"Yüksek",IF(F240&gt;100,"Orta","Düşük"))</f>
        <v>Orta</v>
      </c>
    </row>
    <row r="241" customFormat="false" ht="12.8" hidden="false" customHeight="false" outlineLevel="0" collapsed="false">
      <c r="A241" s="4" t="s">
        <v>23</v>
      </c>
      <c r="B241" s="4" t="s">
        <v>17</v>
      </c>
      <c r="C241" s="4" t="n">
        <v>17</v>
      </c>
      <c r="D241" s="5" t="n">
        <v>16</v>
      </c>
      <c r="E241" s="6" t="n">
        <f aca="false">DATE(2024,11,15)</f>
        <v>45611</v>
      </c>
      <c r="F241" s="7" t="n">
        <f aca="false">C241*D241</f>
        <v>272</v>
      </c>
      <c r="G241" s="7" t="n">
        <f aca="false">ROUND(F241*0.2,2)</f>
        <v>54.4</v>
      </c>
      <c r="H241" s="4" t="str">
        <f aca="false">IF(F241&gt;500,"Yüksek",IF(F241&gt;100,"Orta","Düşük"))</f>
        <v>Orta</v>
      </c>
    </row>
    <row r="242" customFormat="false" ht="12.8" hidden="false" customHeight="false" outlineLevel="0" collapsed="false">
      <c r="A242" s="4" t="s">
        <v>24</v>
      </c>
      <c r="B242" s="4" t="s">
        <v>19</v>
      </c>
      <c r="C242" s="4" t="n">
        <v>24</v>
      </c>
      <c r="D242" s="5" t="n">
        <v>18.75</v>
      </c>
      <c r="E242" s="6" t="n">
        <f aca="false">DATE(2024,12,16)</f>
        <v>45642</v>
      </c>
      <c r="F242" s="7" t="n">
        <f aca="false">C242*D242</f>
        <v>450</v>
      </c>
      <c r="G242" s="7" t="n">
        <f aca="false">ROUND(F242*0.2,2)</f>
        <v>90</v>
      </c>
      <c r="H242" s="4" t="str">
        <f aca="false">IF(F242&gt;500,"Yüksek",IF(F242&gt;100,"Orta","Düşük"))</f>
        <v>Orta</v>
      </c>
    </row>
    <row r="243" customFormat="false" ht="12.8" hidden="false" customHeight="false" outlineLevel="0" collapsed="false">
      <c r="A243" s="4" t="s">
        <v>10</v>
      </c>
      <c r="B243" s="4" t="s">
        <v>11</v>
      </c>
      <c r="C243" s="4" t="n">
        <v>31</v>
      </c>
      <c r="D243" s="5" t="n">
        <v>21.5</v>
      </c>
      <c r="E243" s="6" t="n">
        <f aca="false">DATE(2024,1,17)</f>
        <v>45308</v>
      </c>
      <c r="F243" s="7" t="n">
        <f aca="false">C243*D243</f>
        <v>666.5</v>
      </c>
      <c r="G243" s="7" t="n">
        <f aca="false">ROUND(F243*0.2,2)</f>
        <v>133.3</v>
      </c>
      <c r="H243" s="4" t="str">
        <f aca="false">IF(F243&gt;500,"Yüksek",IF(F243&gt;100,"Orta","Düşük"))</f>
        <v>Yüksek</v>
      </c>
    </row>
    <row r="244" customFormat="false" ht="12.8" hidden="false" customHeight="false" outlineLevel="0" collapsed="false">
      <c r="A244" s="4" t="s">
        <v>12</v>
      </c>
      <c r="B244" s="4" t="s">
        <v>13</v>
      </c>
      <c r="C244" s="4" t="n">
        <v>38</v>
      </c>
      <c r="D244" s="5" t="n">
        <v>24.25</v>
      </c>
      <c r="E244" s="6" t="n">
        <f aca="false">DATE(2024,2,18)</f>
        <v>45340</v>
      </c>
      <c r="F244" s="7" t="n">
        <f aca="false">C244*D244</f>
        <v>921.5</v>
      </c>
      <c r="G244" s="7" t="n">
        <f aca="false">ROUND(F244*0.2,2)</f>
        <v>184.3</v>
      </c>
      <c r="H244" s="4" t="str">
        <f aca="false">IF(F244&gt;500,"Yüksek",IF(F244&gt;100,"Orta","Düşük"))</f>
        <v>Yüksek</v>
      </c>
    </row>
    <row r="245" customFormat="false" ht="12.8" hidden="false" customHeight="false" outlineLevel="0" collapsed="false">
      <c r="A245" s="4" t="s">
        <v>14</v>
      </c>
      <c r="B245" s="4" t="s">
        <v>15</v>
      </c>
      <c r="C245" s="4" t="n">
        <v>45</v>
      </c>
      <c r="D245" s="5" t="n">
        <v>27</v>
      </c>
      <c r="E245" s="6" t="n">
        <f aca="false">DATE(2024,3,19)</f>
        <v>45370</v>
      </c>
      <c r="F245" s="7" t="n">
        <f aca="false">C245*D245</f>
        <v>1215</v>
      </c>
      <c r="G245" s="7" t="n">
        <f aca="false">ROUND(F245*0.2,2)</f>
        <v>243</v>
      </c>
      <c r="H245" s="4" t="str">
        <f aca="false">IF(F245&gt;500,"Yüksek",IF(F245&gt;100,"Orta","Düşük"))</f>
        <v>Yüksek</v>
      </c>
    </row>
    <row r="246" customFormat="false" ht="12.8" hidden="false" customHeight="false" outlineLevel="0" collapsed="false">
      <c r="A246" s="4" t="s">
        <v>16</v>
      </c>
      <c r="B246" s="4" t="s">
        <v>17</v>
      </c>
      <c r="C246" s="4" t="n">
        <v>2</v>
      </c>
      <c r="D246" s="5" t="n">
        <v>29.75</v>
      </c>
      <c r="E246" s="6" t="n">
        <f aca="false">DATE(2024,4,20)</f>
        <v>45402</v>
      </c>
      <c r="F246" s="7" t="n">
        <f aca="false">C246*D246</f>
        <v>59.5</v>
      </c>
      <c r="G246" s="7" t="n">
        <f aca="false">ROUND(F246*0.2,2)</f>
        <v>11.9</v>
      </c>
      <c r="H246" s="4" t="str">
        <f aca="false">IF(F246&gt;500,"Yüksek",IF(F246&gt;100,"Orta","Düşük"))</f>
        <v>Düşük</v>
      </c>
    </row>
    <row r="247" customFormat="false" ht="12.8" hidden="false" customHeight="false" outlineLevel="0" collapsed="false">
      <c r="A247" s="4" t="s">
        <v>18</v>
      </c>
      <c r="B247" s="4" t="s">
        <v>19</v>
      </c>
      <c r="C247" s="4" t="n">
        <v>9</v>
      </c>
      <c r="D247" s="5" t="n">
        <v>32.5</v>
      </c>
      <c r="E247" s="6" t="n">
        <f aca="false">DATE(2024,5,21)</f>
        <v>45433</v>
      </c>
      <c r="F247" s="7" t="n">
        <f aca="false">C247*D247</f>
        <v>292.5</v>
      </c>
      <c r="G247" s="7" t="n">
        <f aca="false">ROUND(F247*0.2,2)</f>
        <v>58.5</v>
      </c>
      <c r="H247" s="4" t="str">
        <f aca="false">IF(F247&gt;500,"Yüksek",IF(F247&gt;100,"Orta","Düşük"))</f>
        <v>Orta</v>
      </c>
    </row>
    <row r="248" customFormat="false" ht="12.8" hidden="false" customHeight="false" outlineLevel="0" collapsed="false">
      <c r="A248" s="4" t="s">
        <v>20</v>
      </c>
      <c r="B248" s="4" t="s">
        <v>11</v>
      </c>
      <c r="C248" s="4" t="n">
        <v>16</v>
      </c>
      <c r="D248" s="5" t="n">
        <v>35.25</v>
      </c>
      <c r="E248" s="6" t="n">
        <f aca="false">DATE(2024,6,22)</f>
        <v>45465</v>
      </c>
      <c r="F248" s="7" t="n">
        <f aca="false">C248*D248</f>
        <v>564</v>
      </c>
      <c r="G248" s="7" t="n">
        <f aca="false">ROUND(F248*0.2,2)</f>
        <v>112.8</v>
      </c>
      <c r="H248" s="4" t="str">
        <f aca="false">IF(F248&gt;500,"Yüksek",IF(F248&gt;100,"Orta","Düşük"))</f>
        <v>Yüksek</v>
      </c>
    </row>
    <row r="249" customFormat="false" ht="12.8" hidden="false" customHeight="false" outlineLevel="0" collapsed="false">
      <c r="A249" s="4" t="s">
        <v>21</v>
      </c>
      <c r="B249" s="4" t="s">
        <v>13</v>
      </c>
      <c r="C249" s="4" t="n">
        <v>23</v>
      </c>
      <c r="D249" s="5" t="n">
        <v>38</v>
      </c>
      <c r="E249" s="6" t="n">
        <f aca="false">DATE(2024,7,23)</f>
        <v>45496</v>
      </c>
      <c r="F249" s="7" t="n">
        <f aca="false">C249*D249</f>
        <v>874</v>
      </c>
      <c r="G249" s="7" t="n">
        <f aca="false">ROUND(F249*0.2,2)</f>
        <v>174.8</v>
      </c>
      <c r="H249" s="4" t="str">
        <f aca="false">IF(F249&gt;500,"Yüksek",IF(F249&gt;100,"Orta","Düşük"))</f>
        <v>Yüksek</v>
      </c>
    </row>
    <row r="250" customFormat="false" ht="12.8" hidden="false" customHeight="false" outlineLevel="0" collapsed="false">
      <c r="A250" s="4" t="s">
        <v>22</v>
      </c>
      <c r="B250" s="4" t="s">
        <v>15</v>
      </c>
      <c r="C250" s="4" t="n">
        <v>30</v>
      </c>
      <c r="D250" s="5" t="n">
        <v>5</v>
      </c>
      <c r="E250" s="6" t="n">
        <f aca="false">DATE(2024,8,24)</f>
        <v>45528</v>
      </c>
      <c r="F250" s="7" t="n">
        <f aca="false">C250*D250</f>
        <v>150</v>
      </c>
      <c r="G250" s="7" t="n">
        <f aca="false">ROUND(F250*0.2,2)</f>
        <v>30</v>
      </c>
      <c r="H250" s="4" t="str">
        <f aca="false">IF(F250&gt;500,"Yüksek",IF(F250&gt;100,"Orta","Düşük"))</f>
        <v>Orta</v>
      </c>
    </row>
    <row r="251" customFormat="false" ht="12.8" hidden="false" customHeight="false" outlineLevel="0" collapsed="false">
      <c r="A251" s="4" t="s">
        <v>23</v>
      </c>
      <c r="B251" s="4" t="s">
        <v>17</v>
      </c>
      <c r="C251" s="4" t="n">
        <v>37</v>
      </c>
      <c r="D251" s="5" t="n">
        <v>7.75</v>
      </c>
      <c r="E251" s="6" t="n">
        <f aca="false">DATE(2024,9,25)</f>
        <v>45560</v>
      </c>
      <c r="F251" s="7" t="n">
        <f aca="false">C251*D251</f>
        <v>286.75</v>
      </c>
      <c r="G251" s="7" t="n">
        <f aca="false">ROUND(F251*0.2,2)</f>
        <v>57.35</v>
      </c>
      <c r="H251" s="4" t="str">
        <f aca="false">IF(F251&gt;500,"Yüksek",IF(F251&gt;100,"Orta","Düşük"))</f>
        <v>Orta</v>
      </c>
    </row>
    <row r="252" customFormat="false" ht="12.8" hidden="false" customHeight="false" outlineLevel="0" collapsed="false">
      <c r="A252" s="4" t="s">
        <v>24</v>
      </c>
      <c r="B252" s="4" t="s">
        <v>19</v>
      </c>
      <c r="C252" s="4" t="n">
        <v>44</v>
      </c>
      <c r="D252" s="5" t="n">
        <v>10.5</v>
      </c>
      <c r="E252" s="6" t="n">
        <f aca="false">DATE(2024,10,26)</f>
        <v>45591</v>
      </c>
      <c r="F252" s="7" t="n">
        <f aca="false">C252*D252</f>
        <v>462</v>
      </c>
      <c r="G252" s="7" t="n">
        <f aca="false">ROUND(F252*0.2,2)</f>
        <v>92.4</v>
      </c>
      <c r="H252" s="4" t="str">
        <f aca="false">IF(F252&gt;500,"Yüksek",IF(F252&gt;100,"Orta","Düşük"))</f>
        <v>Orta</v>
      </c>
    </row>
    <row r="253" customFormat="false" ht="12.8" hidden="false" customHeight="false" outlineLevel="0" collapsed="false">
      <c r="A253" s="4" t="s">
        <v>10</v>
      </c>
      <c r="B253" s="4" t="s">
        <v>11</v>
      </c>
      <c r="C253" s="4" t="n">
        <v>1</v>
      </c>
      <c r="D253" s="5" t="n">
        <v>13.25</v>
      </c>
      <c r="E253" s="6" t="n">
        <f aca="false">DATE(2024,11,27)</f>
        <v>45623</v>
      </c>
      <c r="F253" s="7" t="n">
        <f aca="false">C253*D253</f>
        <v>13.25</v>
      </c>
      <c r="G253" s="7" t="n">
        <f aca="false">ROUND(F253*0.2,2)</f>
        <v>2.65</v>
      </c>
      <c r="H253" s="4" t="str">
        <f aca="false">IF(F253&gt;500,"Yüksek",IF(F253&gt;100,"Orta","Düşük"))</f>
        <v>Düşük</v>
      </c>
    </row>
    <row r="254" customFormat="false" ht="12.8" hidden="false" customHeight="false" outlineLevel="0" collapsed="false">
      <c r="A254" s="4" t="s">
        <v>12</v>
      </c>
      <c r="B254" s="4" t="s">
        <v>13</v>
      </c>
      <c r="C254" s="4" t="n">
        <v>8</v>
      </c>
      <c r="D254" s="5" t="n">
        <v>16</v>
      </c>
      <c r="E254" s="6" t="n">
        <f aca="false">DATE(2024,12,28)</f>
        <v>45654</v>
      </c>
      <c r="F254" s="7" t="n">
        <f aca="false">C254*D254</f>
        <v>128</v>
      </c>
      <c r="G254" s="7" t="n">
        <f aca="false">ROUND(F254*0.2,2)</f>
        <v>25.6</v>
      </c>
      <c r="H254" s="4" t="str">
        <f aca="false">IF(F254&gt;500,"Yüksek",IF(F254&gt;100,"Orta","Düşük"))</f>
        <v>Orta</v>
      </c>
    </row>
    <row r="255" customFormat="false" ht="12.8" hidden="false" customHeight="false" outlineLevel="0" collapsed="false">
      <c r="A255" s="4" t="s">
        <v>14</v>
      </c>
      <c r="B255" s="4" t="s">
        <v>15</v>
      </c>
      <c r="C255" s="4" t="n">
        <v>15</v>
      </c>
      <c r="D255" s="5" t="n">
        <v>18.75</v>
      </c>
      <c r="E255" s="6" t="n">
        <f aca="false">DATE(2024,1,1)</f>
        <v>45292</v>
      </c>
      <c r="F255" s="7" t="n">
        <f aca="false">C255*D255</f>
        <v>281.25</v>
      </c>
      <c r="G255" s="7" t="n">
        <f aca="false">ROUND(F255*0.2,2)</f>
        <v>56.25</v>
      </c>
      <c r="H255" s="4" t="str">
        <f aca="false">IF(F255&gt;500,"Yüksek",IF(F255&gt;100,"Orta","Düşük"))</f>
        <v>Orta</v>
      </c>
    </row>
    <row r="256" customFormat="false" ht="12.8" hidden="false" customHeight="false" outlineLevel="0" collapsed="false">
      <c r="A256" s="4" t="s">
        <v>16</v>
      </c>
      <c r="B256" s="4" t="s">
        <v>17</v>
      </c>
      <c r="C256" s="4" t="n">
        <v>22</v>
      </c>
      <c r="D256" s="5" t="n">
        <v>21.5</v>
      </c>
      <c r="E256" s="6" t="n">
        <f aca="false">DATE(2024,2,2)</f>
        <v>45324</v>
      </c>
      <c r="F256" s="7" t="n">
        <f aca="false">C256*D256</f>
        <v>473</v>
      </c>
      <c r="G256" s="7" t="n">
        <f aca="false">ROUND(F256*0.2,2)</f>
        <v>94.6</v>
      </c>
      <c r="H256" s="4" t="str">
        <f aca="false">IF(F256&gt;500,"Yüksek",IF(F256&gt;100,"Orta","Düşük"))</f>
        <v>Orta</v>
      </c>
    </row>
    <row r="257" customFormat="false" ht="12.8" hidden="false" customHeight="false" outlineLevel="0" collapsed="false">
      <c r="A257" s="4" t="s">
        <v>18</v>
      </c>
      <c r="B257" s="4" t="s">
        <v>19</v>
      </c>
      <c r="C257" s="4" t="n">
        <v>29</v>
      </c>
      <c r="D257" s="5" t="n">
        <v>24.25</v>
      </c>
      <c r="E257" s="6" t="n">
        <f aca="false">DATE(2024,3,3)</f>
        <v>45354</v>
      </c>
      <c r="F257" s="7" t="n">
        <f aca="false">C257*D257</f>
        <v>703.25</v>
      </c>
      <c r="G257" s="7" t="n">
        <f aca="false">ROUND(F257*0.2,2)</f>
        <v>140.65</v>
      </c>
      <c r="H257" s="4" t="str">
        <f aca="false">IF(F257&gt;500,"Yüksek",IF(F257&gt;100,"Orta","Düşük"))</f>
        <v>Yüksek</v>
      </c>
    </row>
    <row r="258" customFormat="false" ht="12.8" hidden="false" customHeight="false" outlineLevel="0" collapsed="false">
      <c r="A258" s="4" t="s">
        <v>20</v>
      </c>
      <c r="B258" s="4" t="s">
        <v>11</v>
      </c>
      <c r="C258" s="4" t="n">
        <v>36</v>
      </c>
      <c r="D258" s="5" t="n">
        <v>27</v>
      </c>
      <c r="E258" s="6" t="n">
        <f aca="false">DATE(2024,4,4)</f>
        <v>45386</v>
      </c>
      <c r="F258" s="7" t="n">
        <f aca="false">C258*D258</f>
        <v>972</v>
      </c>
      <c r="G258" s="7" t="n">
        <f aca="false">ROUND(F258*0.2,2)</f>
        <v>194.4</v>
      </c>
      <c r="H258" s="4" t="str">
        <f aca="false">IF(F258&gt;500,"Yüksek",IF(F258&gt;100,"Orta","Düşük"))</f>
        <v>Yüksek</v>
      </c>
    </row>
    <row r="259" customFormat="false" ht="12.8" hidden="false" customHeight="false" outlineLevel="0" collapsed="false">
      <c r="A259" s="4" t="s">
        <v>21</v>
      </c>
      <c r="B259" s="4" t="s">
        <v>13</v>
      </c>
      <c r="C259" s="4" t="n">
        <v>43</v>
      </c>
      <c r="D259" s="5" t="n">
        <v>29.75</v>
      </c>
      <c r="E259" s="6" t="n">
        <f aca="false">DATE(2024,5,5)</f>
        <v>45417</v>
      </c>
      <c r="F259" s="7" t="n">
        <f aca="false">C259*D259</f>
        <v>1279.25</v>
      </c>
      <c r="G259" s="7" t="n">
        <f aca="false">ROUND(F259*0.2,2)</f>
        <v>255.85</v>
      </c>
      <c r="H259" s="4" t="str">
        <f aca="false">IF(F259&gt;500,"Yüksek",IF(F259&gt;100,"Orta","Düşük"))</f>
        <v>Yüksek</v>
      </c>
    </row>
    <row r="260" customFormat="false" ht="12.8" hidden="false" customHeight="false" outlineLevel="0" collapsed="false">
      <c r="A260" s="4" t="s">
        <v>22</v>
      </c>
      <c r="B260" s="4" t="s">
        <v>15</v>
      </c>
      <c r="C260" s="4" t="n">
        <v>50</v>
      </c>
      <c r="D260" s="5" t="n">
        <v>32.5</v>
      </c>
      <c r="E260" s="6" t="n">
        <f aca="false">DATE(2024,6,6)</f>
        <v>45449</v>
      </c>
      <c r="F260" s="7" t="n">
        <f aca="false">C260*D260</f>
        <v>1625</v>
      </c>
      <c r="G260" s="7" t="n">
        <f aca="false">ROUND(F260*0.2,2)</f>
        <v>325</v>
      </c>
      <c r="H260" s="4" t="str">
        <f aca="false">IF(F260&gt;500,"Yüksek",IF(F260&gt;100,"Orta","Düşük"))</f>
        <v>Yüksek</v>
      </c>
    </row>
    <row r="261" customFormat="false" ht="12.8" hidden="false" customHeight="false" outlineLevel="0" collapsed="false">
      <c r="A261" s="4" t="s">
        <v>23</v>
      </c>
      <c r="B261" s="4" t="s">
        <v>17</v>
      </c>
      <c r="C261" s="4" t="n">
        <v>7</v>
      </c>
      <c r="D261" s="5" t="n">
        <v>35.25</v>
      </c>
      <c r="E261" s="6" t="n">
        <f aca="false">DATE(2024,7,7)</f>
        <v>45480</v>
      </c>
      <c r="F261" s="7" t="n">
        <f aca="false">C261*D261</f>
        <v>246.75</v>
      </c>
      <c r="G261" s="7" t="n">
        <f aca="false">ROUND(F261*0.2,2)</f>
        <v>49.35</v>
      </c>
      <c r="H261" s="4" t="str">
        <f aca="false">IF(F261&gt;500,"Yüksek",IF(F261&gt;100,"Orta","Düşük"))</f>
        <v>Orta</v>
      </c>
    </row>
    <row r="262" customFormat="false" ht="12.8" hidden="false" customHeight="false" outlineLevel="0" collapsed="false">
      <c r="A262" s="4" t="s">
        <v>24</v>
      </c>
      <c r="B262" s="4" t="s">
        <v>19</v>
      </c>
      <c r="C262" s="4" t="n">
        <v>14</v>
      </c>
      <c r="D262" s="5" t="n">
        <v>38</v>
      </c>
      <c r="E262" s="6" t="n">
        <f aca="false">DATE(2024,8,8)</f>
        <v>45512</v>
      </c>
      <c r="F262" s="7" t="n">
        <f aca="false">C262*D262</f>
        <v>532</v>
      </c>
      <c r="G262" s="7" t="n">
        <f aca="false">ROUND(F262*0.2,2)</f>
        <v>106.4</v>
      </c>
      <c r="H262" s="4" t="str">
        <f aca="false">IF(F262&gt;500,"Yüksek",IF(F262&gt;100,"Orta","Düşük"))</f>
        <v>Yüksek</v>
      </c>
    </row>
    <row r="263" customFormat="false" ht="12.8" hidden="false" customHeight="false" outlineLevel="0" collapsed="false">
      <c r="A263" s="4" t="s">
        <v>10</v>
      </c>
      <c r="B263" s="4" t="s">
        <v>11</v>
      </c>
      <c r="C263" s="4" t="n">
        <v>21</v>
      </c>
      <c r="D263" s="5" t="n">
        <v>5</v>
      </c>
      <c r="E263" s="6" t="n">
        <f aca="false">DATE(2024,9,9)</f>
        <v>45544</v>
      </c>
      <c r="F263" s="7" t="n">
        <f aca="false">C263*D263</f>
        <v>105</v>
      </c>
      <c r="G263" s="7" t="n">
        <f aca="false">ROUND(F263*0.2,2)</f>
        <v>21</v>
      </c>
      <c r="H263" s="4" t="str">
        <f aca="false">IF(F263&gt;500,"Yüksek",IF(F263&gt;100,"Orta","Düşük"))</f>
        <v>Orta</v>
      </c>
    </row>
    <row r="264" customFormat="false" ht="12.8" hidden="false" customHeight="false" outlineLevel="0" collapsed="false">
      <c r="A264" s="4" t="s">
        <v>12</v>
      </c>
      <c r="B264" s="4" t="s">
        <v>13</v>
      </c>
      <c r="C264" s="4" t="n">
        <v>28</v>
      </c>
      <c r="D264" s="5" t="n">
        <v>7.75</v>
      </c>
      <c r="E264" s="6" t="n">
        <f aca="false">DATE(2024,10,10)</f>
        <v>45575</v>
      </c>
      <c r="F264" s="7" t="n">
        <f aca="false">C264*D264</f>
        <v>217</v>
      </c>
      <c r="G264" s="7" t="n">
        <f aca="false">ROUND(F264*0.2,2)</f>
        <v>43.4</v>
      </c>
      <c r="H264" s="4" t="str">
        <f aca="false">IF(F264&gt;500,"Yüksek",IF(F264&gt;100,"Orta","Düşük"))</f>
        <v>Orta</v>
      </c>
    </row>
    <row r="265" customFormat="false" ht="12.8" hidden="false" customHeight="false" outlineLevel="0" collapsed="false">
      <c r="A265" s="4" t="s">
        <v>14</v>
      </c>
      <c r="B265" s="4" t="s">
        <v>15</v>
      </c>
      <c r="C265" s="4" t="n">
        <v>35</v>
      </c>
      <c r="D265" s="5" t="n">
        <v>10.5</v>
      </c>
      <c r="E265" s="6" t="n">
        <f aca="false">DATE(2024,11,11)</f>
        <v>45607</v>
      </c>
      <c r="F265" s="7" t="n">
        <f aca="false">C265*D265</f>
        <v>367.5</v>
      </c>
      <c r="G265" s="7" t="n">
        <f aca="false">ROUND(F265*0.2,2)</f>
        <v>73.5</v>
      </c>
      <c r="H265" s="4" t="str">
        <f aca="false">IF(F265&gt;500,"Yüksek",IF(F265&gt;100,"Orta","Düşük"))</f>
        <v>Orta</v>
      </c>
    </row>
    <row r="266" customFormat="false" ht="12.8" hidden="false" customHeight="false" outlineLevel="0" collapsed="false">
      <c r="A266" s="4" t="s">
        <v>16</v>
      </c>
      <c r="B266" s="4" t="s">
        <v>17</v>
      </c>
      <c r="C266" s="4" t="n">
        <v>42</v>
      </c>
      <c r="D266" s="5" t="n">
        <v>13.25</v>
      </c>
      <c r="E266" s="6" t="n">
        <f aca="false">DATE(2024,12,12)</f>
        <v>45638</v>
      </c>
      <c r="F266" s="7" t="n">
        <f aca="false">C266*D266</f>
        <v>556.5</v>
      </c>
      <c r="G266" s="7" t="n">
        <f aca="false">ROUND(F266*0.2,2)</f>
        <v>111.3</v>
      </c>
      <c r="H266" s="4" t="str">
        <f aca="false">IF(F266&gt;500,"Yüksek",IF(F266&gt;100,"Orta","Düşük"))</f>
        <v>Yüksek</v>
      </c>
    </row>
    <row r="267" customFormat="false" ht="12.8" hidden="false" customHeight="false" outlineLevel="0" collapsed="false">
      <c r="A267" s="4" t="s">
        <v>18</v>
      </c>
      <c r="B267" s="4" t="s">
        <v>19</v>
      </c>
      <c r="C267" s="4" t="n">
        <v>49</v>
      </c>
      <c r="D267" s="5" t="n">
        <v>16</v>
      </c>
      <c r="E267" s="6" t="n">
        <f aca="false">DATE(2024,1,13)</f>
        <v>45304</v>
      </c>
      <c r="F267" s="7" t="n">
        <f aca="false">C267*D267</f>
        <v>784</v>
      </c>
      <c r="G267" s="7" t="n">
        <f aca="false">ROUND(F267*0.2,2)</f>
        <v>156.8</v>
      </c>
      <c r="H267" s="4" t="str">
        <f aca="false">IF(F267&gt;500,"Yüksek",IF(F267&gt;100,"Orta","Düşük"))</f>
        <v>Yüksek</v>
      </c>
    </row>
    <row r="268" customFormat="false" ht="12.8" hidden="false" customHeight="false" outlineLevel="0" collapsed="false">
      <c r="A268" s="4" t="s">
        <v>20</v>
      </c>
      <c r="B268" s="4" t="s">
        <v>11</v>
      </c>
      <c r="C268" s="4" t="n">
        <v>6</v>
      </c>
      <c r="D268" s="5" t="n">
        <v>18.75</v>
      </c>
      <c r="E268" s="6" t="n">
        <f aca="false">DATE(2024,2,14)</f>
        <v>45336</v>
      </c>
      <c r="F268" s="7" t="n">
        <f aca="false">C268*D268</f>
        <v>112.5</v>
      </c>
      <c r="G268" s="7" t="n">
        <f aca="false">ROUND(F268*0.2,2)</f>
        <v>22.5</v>
      </c>
      <c r="H268" s="4" t="str">
        <f aca="false">IF(F268&gt;500,"Yüksek",IF(F268&gt;100,"Orta","Düşük"))</f>
        <v>Orta</v>
      </c>
    </row>
    <row r="269" customFormat="false" ht="12.8" hidden="false" customHeight="false" outlineLevel="0" collapsed="false">
      <c r="A269" s="4" t="s">
        <v>21</v>
      </c>
      <c r="B269" s="4" t="s">
        <v>13</v>
      </c>
      <c r="C269" s="4" t="n">
        <v>13</v>
      </c>
      <c r="D269" s="5" t="n">
        <v>21.5</v>
      </c>
      <c r="E269" s="6" t="n">
        <f aca="false">DATE(2024,3,15)</f>
        <v>45366</v>
      </c>
      <c r="F269" s="7" t="n">
        <f aca="false">C269*D269</f>
        <v>279.5</v>
      </c>
      <c r="G269" s="7" t="n">
        <f aca="false">ROUND(F269*0.2,2)</f>
        <v>55.9</v>
      </c>
      <c r="H269" s="4" t="str">
        <f aca="false">IF(F269&gt;500,"Yüksek",IF(F269&gt;100,"Orta","Düşük"))</f>
        <v>Orta</v>
      </c>
    </row>
    <row r="270" customFormat="false" ht="12.8" hidden="false" customHeight="false" outlineLevel="0" collapsed="false">
      <c r="A270" s="4" t="s">
        <v>22</v>
      </c>
      <c r="B270" s="4" t="s">
        <v>15</v>
      </c>
      <c r="C270" s="4" t="n">
        <v>20</v>
      </c>
      <c r="D270" s="5" t="n">
        <v>24.25</v>
      </c>
      <c r="E270" s="6" t="n">
        <f aca="false">DATE(2024,4,16)</f>
        <v>45398</v>
      </c>
      <c r="F270" s="7" t="n">
        <f aca="false">C270*D270</f>
        <v>485</v>
      </c>
      <c r="G270" s="7" t="n">
        <f aca="false">ROUND(F270*0.2,2)</f>
        <v>97</v>
      </c>
      <c r="H270" s="4" t="str">
        <f aca="false">IF(F270&gt;500,"Yüksek",IF(F270&gt;100,"Orta","Düşük"))</f>
        <v>Orta</v>
      </c>
    </row>
    <row r="271" customFormat="false" ht="12.8" hidden="false" customHeight="false" outlineLevel="0" collapsed="false">
      <c r="A271" s="4" t="s">
        <v>23</v>
      </c>
      <c r="B271" s="4" t="s">
        <v>17</v>
      </c>
      <c r="C271" s="4" t="n">
        <v>27</v>
      </c>
      <c r="D271" s="5" t="n">
        <v>27</v>
      </c>
      <c r="E271" s="6" t="n">
        <f aca="false">DATE(2024,5,17)</f>
        <v>45429</v>
      </c>
      <c r="F271" s="7" t="n">
        <f aca="false">C271*D271</f>
        <v>729</v>
      </c>
      <c r="G271" s="7" t="n">
        <f aca="false">ROUND(F271*0.2,2)</f>
        <v>145.8</v>
      </c>
      <c r="H271" s="4" t="str">
        <f aca="false">IF(F271&gt;500,"Yüksek",IF(F271&gt;100,"Orta","Düşük"))</f>
        <v>Yüksek</v>
      </c>
    </row>
    <row r="272" customFormat="false" ht="12.8" hidden="false" customHeight="false" outlineLevel="0" collapsed="false">
      <c r="A272" s="4" t="s">
        <v>24</v>
      </c>
      <c r="B272" s="4" t="s">
        <v>19</v>
      </c>
      <c r="C272" s="4" t="n">
        <v>34</v>
      </c>
      <c r="D272" s="5" t="n">
        <v>29.75</v>
      </c>
      <c r="E272" s="6" t="n">
        <f aca="false">DATE(2024,6,18)</f>
        <v>45461</v>
      </c>
      <c r="F272" s="7" t="n">
        <f aca="false">C272*D272</f>
        <v>1011.5</v>
      </c>
      <c r="G272" s="7" t="n">
        <f aca="false">ROUND(F272*0.2,2)</f>
        <v>202.3</v>
      </c>
      <c r="H272" s="4" t="str">
        <f aca="false">IF(F272&gt;500,"Yüksek",IF(F272&gt;100,"Orta","Düşük"))</f>
        <v>Yüksek</v>
      </c>
    </row>
    <row r="273" customFormat="false" ht="12.8" hidden="false" customHeight="false" outlineLevel="0" collapsed="false">
      <c r="A273" s="4" t="s">
        <v>10</v>
      </c>
      <c r="B273" s="4" t="s">
        <v>11</v>
      </c>
      <c r="C273" s="4" t="n">
        <v>41</v>
      </c>
      <c r="D273" s="5" t="n">
        <v>32.5</v>
      </c>
      <c r="E273" s="6" t="n">
        <f aca="false">DATE(2024,7,19)</f>
        <v>45492</v>
      </c>
      <c r="F273" s="7" t="n">
        <f aca="false">C273*D273</f>
        <v>1332.5</v>
      </c>
      <c r="G273" s="7" t="n">
        <f aca="false">ROUND(F273*0.2,2)</f>
        <v>266.5</v>
      </c>
      <c r="H273" s="4" t="str">
        <f aca="false">IF(F273&gt;500,"Yüksek",IF(F273&gt;100,"Orta","Düşük"))</f>
        <v>Yüksek</v>
      </c>
    </row>
    <row r="274" customFormat="false" ht="12.8" hidden="false" customHeight="false" outlineLevel="0" collapsed="false">
      <c r="A274" s="4" t="s">
        <v>12</v>
      </c>
      <c r="B274" s="4" t="s">
        <v>13</v>
      </c>
      <c r="C274" s="4" t="n">
        <v>48</v>
      </c>
      <c r="D274" s="5" t="n">
        <v>35.25</v>
      </c>
      <c r="E274" s="6" t="n">
        <f aca="false">DATE(2024,8,20)</f>
        <v>45524</v>
      </c>
      <c r="F274" s="7" t="n">
        <f aca="false">C274*D274</f>
        <v>1692</v>
      </c>
      <c r="G274" s="7" t="n">
        <f aca="false">ROUND(F274*0.2,2)</f>
        <v>338.4</v>
      </c>
      <c r="H274" s="4" t="str">
        <f aca="false">IF(F274&gt;500,"Yüksek",IF(F274&gt;100,"Orta","Düşük"))</f>
        <v>Yüksek</v>
      </c>
    </row>
    <row r="275" customFormat="false" ht="12.8" hidden="false" customHeight="false" outlineLevel="0" collapsed="false">
      <c r="A275" s="4" t="s">
        <v>14</v>
      </c>
      <c r="B275" s="4" t="s">
        <v>15</v>
      </c>
      <c r="C275" s="4" t="n">
        <v>5</v>
      </c>
      <c r="D275" s="5" t="n">
        <v>38</v>
      </c>
      <c r="E275" s="6" t="n">
        <f aca="false">DATE(2024,9,21)</f>
        <v>45556</v>
      </c>
      <c r="F275" s="7" t="n">
        <f aca="false">C275*D275</f>
        <v>190</v>
      </c>
      <c r="G275" s="7" t="n">
        <f aca="false">ROUND(F275*0.2,2)</f>
        <v>38</v>
      </c>
      <c r="H275" s="4" t="str">
        <f aca="false">IF(F275&gt;500,"Yüksek",IF(F275&gt;100,"Orta","Düşük"))</f>
        <v>Orta</v>
      </c>
    </row>
    <row r="276" customFormat="false" ht="12.8" hidden="false" customHeight="false" outlineLevel="0" collapsed="false">
      <c r="A276" s="4" t="s">
        <v>16</v>
      </c>
      <c r="B276" s="4" t="s">
        <v>17</v>
      </c>
      <c r="C276" s="4" t="n">
        <v>12</v>
      </c>
      <c r="D276" s="5" t="n">
        <v>5</v>
      </c>
      <c r="E276" s="6" t="n">
        <f aca="false">DATE(2024,10,22)</f>
        <v>45587</v>
      </c>
      <c r="F276" s="7" t="n">
        <f aca="false">C276*D276</f>
        <v>60</v>
      </c>
      <c r="G276" s="7" t="n">
        <f aca="false">ROUND(F276*0.2,2)</f>
        <v>12</v>
      </c>
      <c r="H276" s="4" t="str">
        <f aca="false">IF(F276&gt;500,"Yüksek",IF(F276&gt;100,"Orta","Düşük"))</f>
        <v>Düşük</v>
      </c>
    </row>
    <row r="277" customFormat="false" ht="12.8" hidden="false" customHeight="false" outlineLevel="0" collapsed="false">
      <c r="A277" s="4" t="s">
        <v>18</v>
      </c>
      <c r="B277" s="4" t="s">
        <v>19</v>
      </c>
      <c r="C277" s="4" t="n">
        <v>19</v>
      </c>
      <c r="D277" s="5" t="n">
        <v>7.75</v>
      </c>
      <c r="E277" s="6" t="n">
        <f aca="false">DATE(2024,11,23)</f>
        <v>45619</v>
      </c>
      <c r="F277" s="7" t="n">
        <f aca="false">C277*D277</f>
        <v>147.25</v>
      </c>
      <c r="G277" s="7" t="n">
        <f aca="false">ROUND(F277*0.2,2)</f>
        <v>29.45</v>
      </c>
      <c r="H277" s="4" t="str">
        <f aca="false">IF(F277&gt;500,"Yüksek",IF(F277&gt;100,"Orta","Düşük"))</f>
        <v>Orta</v>
      </c>
    </row>
    <row r="278" customFormat="false" ht="12.8" hidden="false" customHeight="false" outlineLevel="0" collapsed="false">
      <c r="A278" s="4" t="s">
        <v>20</v>
      </c>
      <c r="B278" s="4" t="s">
        <v>11</v>
      </c>
      <c r="C278" s="4" t="n">
        <v>26</v>
      </c>
      <c r="D278" s="5" t="n">
        <v>10.5</v>
      </c>
      <c r="E278" s="6" t="n">
        <f aca="false">DATE(2024,12,24)</f>
        <v>45650</v>
      </c>
      <c r="F278" s="7" t="n">
        <f aca="false">C278*D278</f>
        <v>273</v>
      </c>
      <c r="G278" s="7" t="n">
        <f aca="false">ROUND(F278*0.2,2)</f>
        <v>54.6</v>
      </c>
      <c r="H278" s="4" t="str">
        <f aca="false">IF(F278&gt;500,"Yüksek",IF(F278&gt;100,"Orta","Düşük"))</f>
        <v>Orta</v>
      </c>
    </row>
    <row r="279" customFormat="false" ht="12.8" hidden="false" customHeight="false" outlineLevel="0" collapsed="false">
      <c r="A279" s="4" t="s">
        <v>21</v>
      </c>
      <c r="B279" s="4" t="s">
        <v>13</v>
      </c>
      <c r="C279" s="4" t="n">
        <v>33</v>
      </c>
      <c r="D279" s="5" t="n">
        <v>13.25</v>
      </c>
      <c r="E279" s="6" t="n">
        <f aca="false">DATE(2024,1,25)</f>
        <v>45316</v>
      </c>
      <c r="F279" s="7" t="n">
        <f aca="false">C279*D279</f>
        <v>437.25</v>
      </c>
      <c r="G279" s="7" t="n">
        <f aca="false">ROUND(F279*0.2,2)</f>
        <v>87.45</v>
      </c>
      <c r="H279" s="4" t="str">
        <f aca="false">IF(F279&gt;500,"Yüksek",IF(F279&gt;100,"Orta","Düşük"))</f>
        <v>Orta</v>
      </c>
    </row>
    <row r="280" customFormat="false" ht="12.8" hidden="false" customHeight="false" outlineLevel="0" collapsed="false">
      <c r="A280" s="4" t="s">
        <v>22</v>
      </c>
      <c r="B280" s="4" t="s">
        <v>15</v>
      </c>
      <c r="C280" s="4" t="n">
        <v>40</v>
      </c>
      <c r="D280" s="5" t="n">
        <v>16</v>
      </c>
      <c r="E280" s="6" t="n">
        <f aca="false">DATE(2024,2,26)</f>
        <v>45348</v>
      </c>
      <c r="F280" s="7" t="n">
        <f aca="false">C280*D280</f>
        <v>640</v>
      </c>
      <c r="G280" s="7" t="n">
        <f aca="false">ROUND(F280*0.2,2)</f>
        <v>128</v>
      </c>
      <c r="H280" s="4" t="str">
        <f aca="false">IF(F280&gt;500,"Yüksek",IF(F280&gt;100,"Orta","Düşük"))</f>
        <v>Yüksek</v>
      </c>
    </row>
    <row r="281" customFormat="false" ht="12.8" hidden="false" customHeight="false" outlineLevel="0" collapsed="false">
      <c r="A281" s="4" t="s">
        <v>23</v>
      </c>
      <c r="B281" s="4" t="s">
        <v>17</v>
      </c>
      <c r="C281" s="4" t="n">
        <v>47</v>
      </c>
      <c r="D281" s="5" t="n">
        <v>18.75</v>
      </c>
      <c r="E281" s="6" t="n">
        <f aca="false">DATE(2024,3,27)</f>
        <v>45378</v>
      </c>
      <c r="F281" s="7" t="n">
        <f aca="false">C281*D281</f>
        <v>881.25</v>
      </c>
      <c r="G281" s="7" t="n">
        <f aca="false">ROUND(F281*0.2,2)</f>
        <v>176.25</v>
      </c>
      <c r="H281" s="4" t="str">
        <f aca="false">IF(F281&gt;500,"Yüksek",IF(F281&gt;100,"Orta","Düşük"))</f>
        <v>Yüksek</v>
      </c>
    </row>
    <row r="282" customFormat="false" ht="12.8" hidden="false" customHeight="false" outlineLevel="0" collapsed="false">
      <c r="A282" s="4" t="s">
        <v>24</v>
      </c>
      <c r="B282" s="4" t="s">
        <v>19</v>
      </c>
      <c r="C282" s="4" t="n">
        <v>4</v>
      </c>
      <c r="D282" s="5" t="n">
        <v>21.5</v>
      </c>
      <c r="E282" s="6" t="n">
        <f aca="false">DATE(2024,4,28)</f>
        <v>45410</v>
      </c>
      <c r="F282" s="7" t="n">
        <f aca="false">C282*D282</f>
        <v>86</v>
      </c>
      <c r="G282" s="7" t="n">
        <f aca="false">ROUND(F282*0.2,2)</f>
        <v>17.2</v>
      </c>
      <c r="H282" s="4" t="str">
        <f aca="false">IF(F282&gt;500,"Yüksek",IF(F282&gt;100,"Orta","Düşük"))</f>
        <v>Düşük</v>
      </c>
    </row>
    <row r="283" customFormat="false" ht="12.8" hidden="false" customHeight="false" outlineLevel="0" collapsed="false">
      <c r="A283" s="4" t="s">
        <v>10</v>
      </c>
      <c r="B283" s="4" t="s">
        <v>11</v>
      </c>
      <c r="C283" s="4" t="n">
        <v>11</v>
      </c>
      <c r="D283" s="5" t="n">
        <v>24.25</v>
      </c>
      <c r="E283" s="6" t="n">
        <f aca="false">DATE(2024,5,1)</f>
        <v>45413</v>
      </c>
      <c r="F283" s="7" t="n">
        <f aca="false">C283*D283</f>
        <v>266.75</v>
      </c>
      <c r="G283" s="7" t="n">
        <f aca="false">ROUND(F283*0.2,2)</f>
        <v>53.35</v>
      </c>
      <c r="H283" s="4" t="str">
        <f aca="false">IF(F283&gt;500,"Yüksek",IF(F283&gt;100,"Orta","Düşük"))</f>
        <v>Orta</v>
      </c>
    </row>
    <row r="284" customFormat="false" ht="12.8" hidden="false" customHeight="false" outlineLevel="0" collapsed="false">
      <c r="A284" s="4" t="s">
        <v>12</v>
      </c>
      <c r="B284" s="4" t="s">
        <v>13</v>
      </c>
      <c r="C284" s="4" t="n">
        <v>18</v>
      </c>
      <c r="D284" s="5" t="n">
        <v>27</v>
      </c>
      <c r="E284" s="6" t="n">
        <f aca="false">DATE(2024,6,2)</f>
        <v>45445</v>
      </c>
      <c r="F284" s="7" t="n">
        <f aca="false">C284*D284</f>
        <v>486</v>
      </c>
      <c r="G284" s="7" t="n">
        <f aca="false">ROUND(F284*0.2,2)</f>
        <v>97.2</v>
      </c>
      <c r="H284" s="4" t="str">
        <f aca="false">IF(F284&gt;500,"Yüksek",IF(F284&gt;100,"Orta","Düşük"))</f>
        <v>Orta</v>
      </c>
    </row>
    <row r="285" customFormat="false" ht="12.8" hidden="false" customHeight="false" outlineLevel="0" collapsed="false">
      <c r="A285" s="4" t="s">
        <v>14</v>
      </c>
      <c r="B285" s="4" t="s">
        <v>15</v>
      </c>
      <c r="C285" s="4" t="n">
        <v>25</v>
      </c>
      <c r="D285" s="5" t="n">
        <v>29.75</v>
      </c>
      <c r="E285" s="6" t="n">
        <f aca="false">DATE(2024,7,3)</f>
        <v>45476</v>
      </c>
      <c r="F285" s="7" t="n">
        <f aca="false">C285*D285</f>
        <v>743.75</v>
      </c>
      <c r="G285" s="7" t="n">
        <f aca="false">ROUND(F285*0.2,2)</f>
        <v>148.75</v>
      </c>
      <c r="H285" s="4" t="str">
        <f aca="false">IF(F285&gt;500,"Yüksek",IF(F285&gt;100,"Orta","Düşük"))</f>
        <v>Yüksek</v>
      </c>
    </row>
    <row r="286" customFormat="false" ht="12.8" hidden="false" customHeight="false" outlineLevel="0" collapsed="false">
      <c r="A286" s="4" t="s">
        <v>16</v>
      </c>
      <c r="B286" s="4" t="s">
        <v>17</v>
      </c>
      <c r="C286" s="4" t="n">
        <v>32</v>
      </c>
      <c r="D286" s="5" t="n">
        <v>32.5</v>
      </c>
      <c r="E286" s="6" t="n">
        <f aca="false">DATE(2024,8,4)</f>
        <v>45508</v>
      </c>
      <c r="F286" s="7" t="n">
        <f aca="false">C286*D286</f>
        <v>1040</v>
      </c>
      <c r="G286" s="7" t="n">
        <f aca="false">ROUND(F286*0.2,2)</f>
        <v>208</v>
      </c>
      <c r="H286" s="4" t="str">
        <f aca="false">IF(F286&gt;500,"Yüksek",IF(F286&gt;100,"Orta","Düşük"))</f>
        <v>Yüksek</v>
      </c>
    </row>
    <row r="287" customFormat="false" ht="12.8" hidden="false" customHeight="false" outlineLevel="0" collapsed="false">
      <c r="A287" s="4" t="s">
        <v>18</v>
      </c>
      <c r="B287" s="4" t="s">
        <v>19</v>
      </c>
      <c r="C287" s="4" t="n">
        <v>39</v>
      </c>
      <c r="D287" s="5" t="n">
        <v>35.25</v>
      </c>
      <c r="E287" s="6" t="n">
        <f aca="false">DATE(2024,9,5)</f>
        <v>45540</v>
      </c>
      <c r="F287" s="7" t="n">
        <f aca="false">C287*D287</f>
        <v>1374.75</v>
      </c>
      <c r="G287" s="7" t="n">
        <f aca="false">ROUND(F287*0.2,2)</f>
        <v>274.95</v>
      </c>
      <c r="H287" s="4" t="str">
        <f aca="false">IF(F287&gt;500,"Yüksek",IF(F287&gt;100,"Orta","Düşük"))</f>
        <v>Yüksek</v>
      </c>
    </row>
    <row r="288" customFormat="false" ht="12.8" hidden="false" customHeight="false" outlineLevel="0" collapsed="false">
      <c r="A288" s="4" t="s">
        <v>20</v>
      </c>
      <c r="B288" s="4" t="s">
        <v>11</v>
      </c>
      <c r="C288" s="4" t="n">
        <v>46</v>
      </c>
      <c r="D288" s="5" t="n">
        <v>38</v>
      </c>
      <c r="E288" s="6" t="n">
        <f aca="false">DATE(2024,10,6)</f>
        <v>45571</v>
      </c>
      <c r="F288" s="7" t="n">
        <f aca="false">C288*D288</f>
        <v>1748</v>
      </c>
      <c r="G288" s="7" t="n">
        <f aca="false">ROUND(F288*0.2,2)</f>
        <v>349.6</v>
      </c>
      <c r="H288" s="4" t="str">
        <f aca="false">IF(F288&gt;500,"Yüksek",IF(F288&gt;100,"Orta","Düşük"))</f>
        <v>Yüksek</v>
      </c>
    </row>
    <row r="289" customFormat="false" ht="12.8" hidden="false" customHeight="false" outlineLevel="0" collapsed="false">
      <c r="A289" s="4" t="s">
        <v>21</v>
      </c>
      <c r="B289" s="4" t="s">
        <v>13</v>
      </c>
      <c r="C289" s="4" t="n">
        <v>3</v>
      </c>
      <c r="D289" s="5" t="n">
        <v>5</v>
      </c>
      <c r="E289" s="6" t="n">
        <f aca="false">DATE(2024,11,7)</f>
        <v>45603</v>
      </c>
      <c r="F289" s="7" t="n">
        <f aca="false">C289*D289</f>
        <v>15</v>
      </c>
      <c r="G289" s="7" t="n">
        <f aca="false">ROUND(F289*0.2,2)</f>
        <v>3</v>
      </c>
      <c r="H289" s="4" t="str">
        <f aca="false">IF(F289&gt;500,"Yüksek",IF(F289&gt;100,"Orta","Düşük"))</f>
        <v>Düşük</v>
      </c>
    </row>
    <row r="290" customFormat="false" ht="12.8" hidden="false" customHeight="false" outlineLevel="0" collapsed="false">
      <c r="A290" s="4" t="s">
        <v>22</v>
      </c>
      <c r="B290" s="4" t="s">
        <v>15</v>
      </c>
      <c r="C290" s="4" t="n">
        <v>10</v>
      </c>
      <c r="D290" s="5" t="n">
        <v>7.75</v>
      </c>
      <c r="E290" s="6" t="n">
        <f aca="false">DATE(2024,12,8)</f>
        <v>45634</v>
      </c>
      <c r="F290" s="7" t="n">
        <f aca="false">C290*D290</f>
        <v>77.5</v>
      </c>
      <c r="G290" s="7" t="n">
        <f aca="false">ROUND(F290*0.2,2)</f>
        <v>15.5</v>
      </c>
      <c r="H290" s="4" t="str">
        <f aca="false">IF(F290&gt;500,"Yüksek",IF(F290&gt;100,"Orta","Düşük"))</f>
        <v>Düşük</v>
      </c>
    </row>
    <row r="291" customFormat="false" ht="12.8" hidden="false" customHeight="false" outlineLevel="0" collapsed="false">
      <c r="A291" s="4" t="s">
        <v>23</v>
      </c>
      <c r="B291" s="4" t="s">
        <v>17</v>
      </c>
      <c r="C291" s="4" t="n">
        <v>17</v>
      </c>
      <c r="D291" s="5" t="n">
        <v>10.5</v>
      </c>
      <c r="E291" s="6" t="n">
        <f aca="false">DATE(2024,1,9)</f>
        <v>45300</v>
      </c>
      <c r="F291" s="7" t="n">
        <f aca="false">C291*D291</f>
        <v>178.5</v>
      </c>
      <c r="G291" s="7" t="n">
        <f aca="false">ROUND(F291*0.2,2)</f>
        <v>35.7</v>
      </c>
      <c r="H291" s="4" t="str">
        <f aca="false">IF(F291&gt;500,"Yüksek",IF(F291&gt;100,"Orta","Düşük"))</f>
        <v>Orta</v>
      </c>
    </row>
    <row r="292" customFormat="false" ht="12.8" hidden="false" customHeight="false" outlineLevel="0" collapsed="false">
      <c r="A292" s="4" t="s">
        <v>24</v>
      </c>
      <c r="B292" s="4" t="s">
        <v>19</v>
      </c>
      <c r="C292" s="4" t="n">
        <v>24</v>
      </c>
      <c r="D292" s="5" t="n">
        <v>13.25</v>
      </c>
      <c r="E292" s="6" t="n">
        <f aca="false">DATE(2024,2,10)</f>
        <v>45332</v>
      </c>
      <c r="F292" s="7" t="n">
        <f aca="false">C292*D292</f>
        <v>318</v>
      </c>
      <c r="G292" s="7" t="n">
        <f aca="false">ROUND(F292*0.2,2)</f>
        <v>63.6</v>
      </c>
      <c r="H292" s="4" t="str">
        <f aca="false">IF(F292&gt;500,"Yüksek",IF(F292&gt;100,"Orta","Düşük"))</f>
        <v>Orta</v>
      </c>
    </row>
    <row r="293" customFormat="false" ht="12.8" hidden="false" customHeight="false" outlineLevel="0" collapsed="false">
      <c r="A293" s="4" t="s">
        <v>10</v>
      </c>
      <c r="B293" s="4" t="s">
        <v>11</v>
      </c>
      <c r="C293" s="4" t="n">
        <v>31</v>
      </c>
      <c r="D293" s="5" t="n">
        <v>16</v>
      </c>
      <c r="E293" s="6" t="n">
        <f aca="false">DATE(2024,3,11)</f>
        <v>45362</v>
      </c>
      <c r="F293" s="7" t="n">
        <f aca="false">C293*D293</f>
        <v>496</v>
      </c>
      <c r="G293" s="7" t="n">
        <f aca="false">ROUND(F293*0.2,2)</f>
        <v>99.2</v>
      </c>
      <c r="H293" s="4" t="str">
        <f aca="false">IF(F293&gt;500,"Yüksek",IF(F293&gt;100,"Orta","Düşük"))</f>
        <v>Orta</v>
      </c>
    </row>
    <row r="294" customFormat="false" ht="12.8" hidden="false" customHeight="false" outlineLevel="0" collapsed="false">
      <c r="A294" s="4" t="s">
        <v>12</v>
      </c>
      <c r="B294" s="4" t="s">
        <v>13</v>
      </c>
      <c r="C294" s="4" t="n">
        <v>38</v>
      </c>
      <c r="D294" s="5" t="n">
        <v>18.75</v>
      </c>
      <c r="E294" s="6" t="n">
        <f aca="false">DATE(2024,4,12)</f>
        <v>45394</v>
      </c>
      <c r="F294" s="7" t="n">
        <f aca="false">C294*D294</f>
        <v>712.5</v>
      </c>
      <c r="G294" s="7" t="n">
        <f aca="false">ROUND(F294*0.2,2)</f>
        <v>142.5</v>
      </c>
      <c r="H294" s="4" t="str">
        <f aca="false">IF(F294&gt;500,"Yüksek",IF(F294&gt;100,"Orta","Düşük"))</f>
        <v>Yüksek</v>
      </c>
    </row>
    <row r="295" customFormat="false" ht="12.8" hidden="false" customHeight="false" outlineLevel="0" collapsed="false">
      <c r="A295" s="4" t="s">
        <v>14</v>
      </c>
      <c r="B295" s="4" t="s">
        <v>15</v>
      </c>
      <c r="C295" s="4" t="n">
        <v>45</v>
      </c>
      <c r="D295" s="5" t="n">
        <v>21.5</v>
      </c>
      <c r="E295" s="6" t="n">
        <f aca="false">DATE(2024,5,13)</f>
        <v>45425</v>
      </c>
      <c r="F295" s="7" t="n">
        <f aca="false">C295*D295</f>
        <v>967.5</v>
      </c>
      <c r="G295" s="7" t="n">
        <f aca="false">ROUND(F295*0.2,2)</f>
        <v>193.5</v>
      </c>
      <c r="H295" s="4" t="str">
        <f aca="false">IF(F295&gt;500,"Yüksek",IF(F295&gt;100,"Orta","Düşük"))</f>
        <v>Yüksek</v>
      </c>
    </row>
    <row r="296" customFormat="false" ht="12.8" hidden="false" customHeight="false" outlineLevel="0" collapsed="false">
      <c r="A296" s="4" t="s">
        <v>16</v>
      </c>
      <c r="B296" s="4" t="s">
        <v>17</v>
      </c>
      <c r="C296" s="4" t="n">
        <v>2</v>
      </c>
      <c r="D296" s="5" t="n">
        <v>24.25</v>
      </c>
      <c r="E296" s="6" t="n">
        <f aca="false">DATE(2024,6,14)</f>
        <v>45457</v>
      </c>
      <c r="F296" s="7" t="n">
        <f aca="false">C296*D296</f>
        <v>48.5</v>
      </c>
      <c r="G296" s="7" t="n">
        <f aca="false">ROUND(F296*0.2,2)</f>
        <v>9.7</v>
      </c>
      <c r="H296" s="4" t="str">
        <f aca="false">IF(F296&gt;500,"Yüksek",IF(F296&gt;100,"Orta","Düşük"))</f>
        <v>Düşük</v>
      </c>
    </row>
    <row r="297" customFormat="false" ht="12.8" hidden="false" customHeight="false" outlineLevel="0" collapsed="false">
      <c r="A297" s="4" t="s">
        <v>18</v>
      </c>
      <c r="B297" s="4" t="s">
        <v>19</v>
      </c>
      <c r="C297" s="4" t="n">
        <v>9</v>
      </c>
      <c r="D297" s="5" t="n">
        <v>27</v>
      </c>
      <c r="E297" s="6" t="n">
        <f aca="false">DATE(2024,7,15)</f>
        <v>45488</v>
      </c>
      <c r="F297" s="7" t="n">
        <f aca="false">C297*D297</f>
        <v>243</v>
      </c>
      <c r="G297" s="7" t="n">
        <f aca="false">ROUND(F297*0.2,2)</f>
        <v>48.6</v>
      </c>
      <c r="H297" s="4" t="str">
        <f aca="false">IF(F297&gt;500,"Yüksek",IF(F297&gt;100,"Orta","Düşük"))</f>
        <v>Orta</v>
      </c>
    </row>
    <row r="298" customFormat="false" ht="12.8" hidden="false" customHeight="false" outlineLevel="0" collapsed="false">
      <c r="A298" s="4" t="s">
        <v>20</v>
      </c>
      <c r="B298" s="4" t="s">
        <v>11</v>
      </c>
      <c r="C298" s="4" t="n">
        <v>16</v>
      </c>
      <c r="D298" s="5" t="n">
        <v>29.75</v>
      </c>
      <c r="E298" s="6" t="n">
        <f aca="false">DATE(2024,8,16)</f>
        <v>45520</v>
      </c>
      <c r="F298" s="7" t="n">
        <f aca="false">C298*D298</f>
        <v>476</v>
      </c>
      <c r="G298" s="7" t="n">
        <f aca="false">ROUND(F298*0.2,2)</f>
        <v>95.2</v>
      </c>
      <c r="H298" s="4" t="str">
        <f aca="false">IF(F298&gt;500,"Yüksek",IF(F298&gt;100,"Orta","Düşük"))</f>
        <v>Orta</v>
      </c>
    </row>
    <row r="299" customFormat="false" ht="12.8" hidden="false" customHeight="false" outlineLevel="0" collapsed="false">
      <c r="A299" s="4" t="s">
        <v>21</v>
      </c>
      <c r="B299" s="4" t="s">
        <v>13</v>
      </c>
      <c r="C299" s="4" t="n">
        <v>23</v>
      </c>
      <c r="D299" s="5" t="n">
        <v>32.5</v>
      </c>
      <c r="E299" s="6" t="n">
        <f aca="false">DATE(2024,9,17)</f>
        <v>45552</v>
      </c>
      <c r="F299" s="7" t="n">
        <f aca="false">C299*D299</f>
        <v>747.5</v>
      </c>
      <c r="G299" s="7" t="n">
        <f aca="false">ROUND(F299*0.2,2)</f>
        <v>149.5</v>
      </c>
      <c r="H299" s="4" t="str">
        <f aca="false">IF(F299&gt;500,"Yüksek",IF(F299&gt;100,"Orta","Düşük"))</f>
        <v>Yüksek</v>
      </c>
    </row>
    <row r="300" customFormat="false" ht="12.8" hidden="false" customHeight="false" outlineLevel="0" collapsed="false">
      <c r="A300" s="4" t="s">
        <v>22</v>
      </c>
      <c r="B300" s="4" t="s">
        <v>15</v>
      </c>
      <c r="C300" s="4" t="n">
        <v>30</v>
      </c>
      <c r="D300" s="5" t="n">
        <v>35.25</v>
      </c>
      <c r="E300" s="6" t="n">
        <f aca="false">DATE(2024,10,18)</f>
        <v>45583</v>
      </c>
      <c r="F300" s="7" t="n">
        <f aca="false">C300*D300</f>
        <v>1057.5</v>
      </c>
      <c r="G300" s="7" t="n">
        <f aca="false">ROUND(F300*0.2,2)</f>
        <v>211.5</v>
      </c>
      <c r="H300" s="4" t="str">
        <f aca="false">IF(F300&gt;500,"Yüksek",IF(F300&gt;100,"Orta","Düşük"))</f>
        <v>Yüksek</v>
      </c>
    </row>
    <row r="301" customFormat="false" ht="12.8" hidden="false" customHeight="false" outlineLevel="0" collapsed="false">
      <c r="A301" s="4" t="s">
        <v>23</v>
      </c>
      <c r="B301" s="4" t="s">
        <v>17</v>
      </c>
      <c r="C301" s="4" t="n">
        <v>37</v>
      </c>
      <c r="D301" s="5" t="n">
        <v>38</v>
      </c>
      <c r="E301" s="6" t="n">
        <f aca="false">DATE(2024,11,19)</f>
        <v>45615</v>
      </c>
      <c r="F301" s="7" t="n">
        <f aca="false">C301*D301</f>
        <v>1406</v>
      </c>
      <c r="G301" s="7" t="n">
        <f aca="false">ROUND(F301*0.2,2)</f>
        <v>281.2</v>
      </c>
      <c r="H301" s="4" t="str">
        <f aca="false">IF(F301&gt;500,"Yüksek",IF(F301&gt;100,"Orta","Düşük"))</f>
        <v>Yüksek</v>
      </c>
    </row>
    <row r="302" customFormat="false" ht="12.8" hidden="false" customHeight="false" outlineLevel="0" collapsed="false">
      <c r="A302" s="4" t="s">
        <v>24</v>
      </c>
      <c r="B302" s="4" t="s">
        <v>19</v>
      </c>
      <c r="C302" s="4" t="n">
        <v>44</v>
      </c>
      <c r="D302" s="5" t="n">
        <v>5</v>
      </c>
      <c r="E302" s="6" t="n">
        <f aca="false">DATE(2024,12,20)</f>
        <v>45646</v>
      </c>
      <c r="F302" s="7" t="n">
        <f aca="false">C302*D302</f>
        <v>220</v>
      </c>
      <c r="G302" s="7" t="n">
        <f aca="false">ROUND(F302*0.2,2)</f>
        <v>44</v>
      </c>
      <c r="H302" s="4" t="str">
        <f aca="false">IF(F302&gt;500,"Yüksek",IF(F302&gt;100,"Orta","Düşük"))</f>
        <v>Orta</v>
      </c>
    </row>
    <row r="303" customFormat="false" ht="12.8" hidden="false" customHeight="false" outlineLevel="0" collapsed="false">
      <c r="A303" s="4" t="s">
        <v>10</v>
      </c>
      <c r="B303" s="4" t="s">
        <v>11</v>
      </c>
      <c r="C303" s="4" t="n">
        <v>1</v>
      </c>
      <c r="D303" s="5" t="n">
        <v>7.75</v>
      </c>
      <c r="E303" s="6" t="n">
        <f aca="false">DATE(2024,1,21)</f>
        <v>45312</v>
      </c>
      <c r="F303" s="7" t="n">
        <f aca="false">C303*D303</f>
        <v>7.75</v>
      </c>
      <c r="G303" s="7" t="n">
        <f aca="false">ROUND(F303*0.2,2)</f>
        <v>1.55</v>
      </c>
      <c r="H303" s="4" t="str">
        <f aca="false">IF(F303&gt;500,"Yüksek",IF(F303&gt;100,"Orta","Düşük"))</f>
        <v>Düşük</v>
      </c>
    </row>
    <row r="304" customFormat="false" ht="12.8" hidden="false" customHeight="false" outlineLevel="0" collapsed="false">
      <c r="A304" s="4" t="s">
        <v>12</v>
      </c>
      <c r="B304" s="4" t="s">
        <v>13</v>
      </c>
      <c r="C304" s="4" t="n">
        <v>8</v>
      </c>
      <c r="D304" s="5" t="n">
        <v>10.5</v>
      </c>
      <c r="E304" s="6" t="n">
        <f aca="false">DATE(2024,2,22)</f>
        <v>45344</v>
      </c>
      <c r="F304" s="7" t="n">
        <f aca="false">C304*D304</f>
        <v>84</v>
      </c>
      <c r="G304" s="7" t="n">
        <f aca="false">ROUND(F304*0.2,2)</f>
        <v>16.8</v>
      </c>
      <c r="H304" s="4" t="str">
        <f aca="false">IF(F304&gt;500,"Yüksek",IF(F304&gt;100,"Orta","Düşük"))</f>
        <v>Düşük</v>
      </c>
    </row>
    <row r="305" customFormat="false" ht="12.8" hidden="false" customHeight="false" outlineLevel="0" collapsed="false">
      <c r="A305" s="4" t="s">
        <v>14</v>
      </c>
      <c r="B305" s="4" t="s">
        <v>15</v>
      </c>
      <c r="C305" s="4" t="n">
        <v>15</v>
      </c>
      <c r="D305" s="5" t="n">
        <v>13.25</v>
      </c>
      <c r="E305" s="6" t="n">
        <f aca="false">DATE(2024,3,23)</f>
        <v>45374</v>
      </c>
      <c r="F305" s="7" t="n">
        <f aca="false">C305*D305</f>
        <v>198.75</v>
      </c>
      <c r="G305" s="7" t="n">
        <f aca="false">ROUND(F305*0.2,2)</f>
        <v>39.75</v>
      </c>
      <c r="H305" s="4" t="str">
        <f aca="false">IF(F305&gt;500,"Yüksek",IF(F305&gt;100,"Orta","Düşük"))</f>
        <v>Orta</v>
      </c>
    </row>
    <row r="306" customFormat="false" ht="12.8" hidden="false" customHeight="false" outlineLevel="0" collapsed="false">
      <c r="A306" s="4" t="s">
        <v>16</v>
      </c>
      <c r="B306" s="4" t="s">
        <v>17</v>
      </c>
      <c r="C306" s="4" t="n">
        <v>22</v>
      </c>
      <c r="D306" s="5" t="n">
        <v>16</v>
      </c>
      <c r="E306" s="6" t="n">
        <f aca="false">DATE(2024,4,24)</f>
        <v>45406</v>
      </c>
      <c r="F306" s="7" t="n">
        <f aca="false">C306*D306</f>
        <v>352</v>
      </c>
      <c r="G306" s="7" t="n">
        <f aca="false">ROUND(F306*0.2,2)</f>
        <v>70.4</v>
      </c>
      <c r="H306" s="4" t="str">
        <f aca="false">IF(F306&gt;500,"Yüksek",IF(F306&gt;100,"Orta","Düşük"))</f>
        <v>Orta</v>
      </c>
    </row>
    <row r="307" customFormat="false" ht="12.8" hidden="false" customHeight="false" outlineLevel="0" collapsed="false">
      <c r="A307" s="4" t="s">
        <v>18</v>
      </c>
      <c r="B307" s="4" t="s">
        <v>19</v>
      </c>
      <c r="C307" s="4" t="n">
        <v>29</v>
      </c>
      <c r="D307" s="5" t="n">
        <v>18.75</v>
      </c>
      <c r="E307" s="6" t="n">
        <f aca="false">DATE(2024,5,25)</f>
        <v>45437</v>
      </c>
      <c r="F307" s="7" t="n">
        <f aca="false">C307*D307</f>
        <v>543.75</v>
      </c>
      <c r="G307" s="7" t="n">
        <f aca="false">ROUND(F307*0.2,2)</f>
        <v>108.75</v>
      </c>
      <c r="H307" s="4" t="str">
        <f aca="false">IF(F307&gt;500,"Yüksek",IF(F307&gt;100,"Orta","Düşük"))</f>
        <v>Yüksek</v>
      </c>
    </row>
    <row r="308" customFormat="false" ht="12.8" hidden="false" customHeight="false" outlineLevel="0" collapsed="false">
      <c r="A308" s="4" t="s">
        <v>20</v>
      </c>
      <c r="B308" s="4" t="s">
        <v>11</v>
      </c>
      <c r="C308" s="4" t="n">
        <v>36</v>
      </c>
      <c r="D308" s="5" t="n">
        <v>21.5</v>
      </c>
      <c r="E308" s="6" t="n">
        <f aca="false">DATE(2024,6,26)</f>
        <v>45469</v>
      </c>
      <c r="F308" s="7" t="n">
        <f aca="false">C308*D308</f>
        <v>774</v>
      </c>
      <c r="G308" s="7" t="n">
        <f aca="false">ROUND(F308*0.2,2)</f>
        <v>154.8</v>
      </c>
      <c r="H308" s="4" t="str">
        <f aca="false">IF(F308&gt;500,"Yüksek",IF(F308&gt;100,"Orta","Düşük"))</f>
        <v>Yüksek</v>
      </c>
    </row>
    <row r="309" customFormat="false" ht="12.8" hidden="false" customHeight="false" outlineLevel="0" collapsed="false">
      <c r="A309" s="4" t="s">
        <v>21</v>
      </c>
      <c r="B309" s="4" t="s">
        <v>13</v>
      </c>
      <c r="C309" s="4" t="n">
        <v>43</v>
      </c>
      <c r="D309" s="5" t="n">
        <v>24.25</v>
      </c>
      <c r="E309" s="6" t="n">
        <f aca="false">DATE(2024,7,27)</f>
        <v>45500</v>
      </c>
      <c r="F309" s="7" t="n">
        <f aca="false">C309*D309</f>
        <v>1042.75</v>
      </c>
      <c r="G309" s="7" t="n">
        <f aca="false">ROUND(F309*0.2,2)</f>
        <v>208.55</v>
      </c>
      <c r="H309" s="4" t="str">
        <f aca="false">IF(F309&gt;500,"Yüksek",IF(F309&gt;100,"Orta","Düşük"))</f>
        <v>Yüksek</v>
      </c>
    </row>
    <row r="310" customFormat="false" ht="12.8" hidden="false" customHeight="false" outlineLevel="0" collapsed="false">
      <c r="A310" s="4" t="s">
        <v>22</v>
      </c>
      <c r="B310" s="4" t="s">
        <v>15</v>
      </c>
      <c r="C310" s="4" t="n">
        <v>50</v>
      </c>
      <c r="D310" s="5" t="n">
        <v>27</v>
      </c>
      <c r="E310" s="6" t="n">
        <f aca="false">DATE(2024,8,28)</f>
        <v>45532</v>
      </c>
      <c r="F310" s="7" t="n">
        <f aca="false">C310*D310</f>
        <v>1350</v>
      </c>
      <c r="G310" s="7" t="n">
        <f aca="false">ROUND(F310*0.2,2)</f>
        <v>270</v>
      </c>
      <c r="H310" s="4" t="str">
        <f aca="false">IF(F310&gt;500,"Yüksek",IF(F310&gt;100,"Orta","Düşük"))</f>
        <v>Yüksek</v>
      </c>
    </row>
    <row r="311" customFormat="false" ht="12.8" hidden="false" customHeight="false" outlineLevel="0" collapsed="false">
      <c r="A311" s="4" t="s">
        <v>23</v>
      </c>
      <c r="B311" s="4" t="s">
        <v>17</v>
      </c>
      <c r="C311" s="4" t="n">
        <v>7</v>
      </c>
      <c r="D311" s="5" t="n">
        <v>29.75</v>
      </c>
      <c r="E311" s="6" t="n">
        <f aca="false">DATE(2024,9,1)</f>
        <v>45536</v>
      </c>
      <c r="F311" s="7" t="n">
        <f aca="false">C311*D311</f>
        <v>208.25</v>
      </c>
      <c r="G311" s="7" t="n">
        <f aca="false">ROUND(F311*0.2,2)</f>
        <v>41.65</v>
      </c>
      <c r="H311" s="4" t="str">
        <f aca="false">IF(F311&gt;500,"Yüksek",IF(F311&gt;100,"Orta","Düşük"))</f>
        <v>Orta</v>
      </c>
    </row>
    <row r="312" customFormat="false" ht="12.8" hidden="false" customHeight="false" outlineLevel="0" collapsed="false">
      <c r="A312" s="4" t="s">
        <v>24</v>
      </c>
      <c r="B312" s="4" t="s">
        <v>19</v>
      </c>
      <c r="C312" s="4" t="n">
        <v>14</v>
      </c>
      <c r="D312" s="5" t="n">
        <v>32.5</v>
      </c>
      <c r="E312" s="6" t="n">
        <f aca="false">DATE(2024,10,2)</f>
        <v>45567</v>
      </c>
      <c r="F312" s="7" t="n">
        <f aca="false">C312*D312</f>
        <v>455</v>
      </c>
      <c r="G312" s="7" t="n">
        <f aca="false">ROUND(F312*0.2,2)</f>
        <v>91</v>
      </c>
      <c r="H312" s="4" t="str">
        <f aca="false">IF(F312&gt;500,"Yüksek",IF(F312&gt;100,"Orta","Düşük"))</f>
        <v>Orta</v>
      </c>
    </row>
    <row r="313" customFormat="false" ht="12.8" hidden="false" customHeight="false" outlineLevel="0" collapsed="false">
      <c r="A313" s="4" t="s">
        <v>10</v>
      </c>
      <c r="B313" s="4" t="s">
        <v>11</v>
      </c>
      <c r="C313" s="4" t="n">
        <v>21</v>
      </c>
      <c r="D313" s="5" t="n">
        <v>35.25</v>
      </c>
      <c r="E313" s="6" t="n">
        <f aca="false">DATE(2024,11,3)</f>
        <v>45599</v>
      </c>
      <c r="F313" s="7" t="n">
        <f aca="false">C313*D313</f>
        <v>740.25</v>
      </c>
      <c r="G313" s="7" t="n">
        <f aca="false">ROUND(F313*0.2,2)</f>
        <v>148.05</v>
      </c>
      <c r="H313" s="4" t="str">
        <f aca="false">IF(F313&gt;500,"Yüksek",IF(F313&gt;100,"Orta","Düşük"))</f>
        <v>Yüksek</v>
      </c>
    </row>
    <row r="314" customFormat="false" ht="12.8" hidden="false" customHeight="false" outlineLevel="0" collapsed="false">
      <c r="A314" s="4" t="s">
        <v>12</v>
      </c>
      <c r="B314" s="4" t="s">
        <v>13</v>
      </c>
      <c r="C314" s="4" t="n">
        <v>28</v>
      </c>
      <c r="D314" s="5" t="n">
        <v>38</v>
      </c>
      <c r="E314" s="6" t="n">
        <f aca="false">DATE(2024,12,4)</f>
        <v>45630</v>
      </c>
      <c r="F314" s="7" t="n">
        <f aca="false">C314*D314</f>
        <v>1064</v>
      </c>
      <c r="G314" s="7" t="n">
        <f aca="false">ROUND(F314*0.2,2)</f>
        <v>212.8</v>
      </c>
      <c r="H314" s="4" t="str">
        <f aca="false">IF(F314&gt;500,"Yüksek",IF(F314&gt;100,"Orta","Düşük"))</f>
        <v>Yüksek</v>
      </c>
    </row>
    <row r="315" customFormat="false" ht="12.8" hidden="false" customHeight="false" outlineLevel="0" collapsed="false">
      <c r="A315" s="4" t="s">
        <v>14</v>
      </c>
      <c r="B315" s="4" t="s">
        <v>15</v>
      </c>
      <c r="C315" s="4" t="n">
        <v>35</v>
      </c>
      <c r="D315" s="5" t="n">
        <v>5</v>
      </c>
      <c r="E315" s="6" t="n">
        <f aca="false">DATE(2024,1,5)</f>
        <v>45296</v>
      </c>
      <c r="F315" s="7" t="n">
        <f aca="false">C315*D315</f>
        <v>175</v>
      </c>
      <c r="G315" s="7" t="n">
        <f aca="false">ROUND(F315*0.2,2)</f>
        <v>35</v>
      </c>
      <c r="H315" s="4" t="str">
        <f aca="false">IF(F315&gt;500,"Yüksek",IF(F315&gt;100,"Orta","Düşük"))</f>
        <v>Orta</v>
      </c>
    </row>
    <row r="316" customFormat="false" ht="12.8" hidden="false" customHeight="false" outlineLevel="0" collapsed="false">
      <c r="A316" s="4" t="s">
        <v>16</v>
      </c>
      <c r="B316" s="4" t="s">
        <v>17</v>
      </c>
      <c r="C316" s="4" t="n">
        <v>42</v>
      </c>
      <c r="D316" s="5" t="n">
        <v>7.75</v>
      </c>
      <c r="E316" s="6" t="n">
        <f aca="false">DATE(2024,2,6)</f>
        <v>45328</v>
      </c>
      <c r="F316" s="7" t="n">
        <f aca="false">C316*D316</f>
        <v>325.5</v>
      </c>
      <c r="G316" s="7" t="n">
        <f aca="false">ROUND(F316*0.2,2)</f>
        <v>65.1</v>
      </c>
      <c r="H316" s="4" t="str">
        <f aca="false">IF(F316&gt;500,"Yüksek",IF(F316&gt;100,"Orta","Düşük"))</f>
        <v>Orta</v>
      </c>
    </row>
    <row r="317" customFormat="false" ht="12.8" hidden="false" customHeight="false" outlineLevel="0" collapsed="false">
      <c r="A317" s="4" t="s">
        <v>18</v>
      </c>
      <c r="B317" s="4" t="s">
        <v>19</v>
      </c>
      <c r="C317" s="4" t="n">
        <v>49</v>
      </c>
      <c r="D317" s="5" t="n">
        <v>10.5</v>
      </c>
      <c r="E317" s="6" t="n">
        <f aca="false">DATE(2024,3,7)</f>
        <v>45358</v>
      </c>
      <c r="F317" s="7" t="n">
        <f aca="false">C317*D317</f>
        <v>514.5</v>
      </c>
      <c r="G317" s="7" t="n">
        <f aca="false">ROUND(F317*0.2,2)</f>
        <v>102.9</v>
      </c>
      <c r="H317" s="4" t="str">
        <f aca="false">IF(F317&gt;500,"Yüksek",IF(F317&gt;100,"Orta","Düşük"))</f>
        <v>Yüksek</v>
      </c>
    </row>
    <row r="318" customFormat="false" ht="12.8" hidden="false" customHeight="false" outlineLevel="0" collapsed="false">
      <c r="A318" s="4" t="s">
        <v>20</v>
      </c>
      <c r="B318" s="4" t="s">
        <v>11</v>
      </c>
      <c r="C318" s="4" t="n">
        <v>6</v>
      </c>
      <c r="D318" s="5" t="n">
        <v>13.25</v>
      </c>
      <c r="E318" s="6" t="n">
        <f aca="false">DATE(2024,4,8)</f>
        <v>45390</v>
      </c>
      <c r="F318" s="7" t="n">
        <f aca="false">C318*D318</f>
        <v>79.5</v>
      </c>
      <c r="G318" s="7" t="n">
        <f aca="false">ROUND(F318*0.2,2)</f>
        <v>15.9</v>
      </c>
      <c r="H318" s="4" t="str">
        <f aca="false">IF(F318&gt;500,"Yüksek",IF(F318&gt;100,"Orta","Düşük"))</f>
        <v>Düşük</v>
      </c>
    </row>
    <row r="319" customFormat="false" ht="12.8" hidden="false" customHeight="false" outlineLevel="0" collapsed="false">
      <c r="A319" s="4" t="s">
        <v>21</v>
      </c>
      <c r="B319" s="4" t="s">
        <v>13</v>
      </c>
      <c r="C319" s="4" t="n">
        <v>13</v>
      </c>
      <c r="D319" s="5" t="n">
        <v>16</v>
      </c>
      <c r="E319" s="6" t="n">
        <f aca="false">DATE(2024,5,9)</f>
        <v>45421</v>
      </c>
      <c r="F319" s="7" t="n">
        <f aca="false">C319*D319</f>
        <v>208</v>
      </c>
      <c r="G319" s="7" t="n">
        <f aca="false">ROUND(F319*0.2,2)</f>
        <v>41.6</v>
      </c>
      <c r="H319" s="4" t="str">
        <f aca="false">IF(F319&gt;500,"Yüksek",IF(F319&gt;100,"Orta","Düşük"))</f>
        <v>Orta</v>
      </c>
    </row>
    <row r="320" customFormat="false" ht="12.8" hidden="false" customHeight="false" outlineLevel="0" collapsed="false">
      <c r="A320" s="4" t="s">
        <v>22</v>
      </c>
      <c r="B320" s="4" t="s">
        <v>15</v>
      </c>
      <c r="C320" s="4" t="n">
        <v>20</v>
      </c>
      <c r="D320" s="5" t="n">
        <v>18.75</v>
      </c>
      <c r="E320" s="6" t="n">
        <f aca="false">DATE(2024,6,10)</f>
        <v>45453</v>
      </c>
      <c r="F320" s="7" t="n">
        <f aca="false">C320*D320</f>
        <v>375</v>
      </c>
      <c r="G320" s="7" t="n">
        <f aca="false">ROUND(F320*0.2,2)</f>
        <v>75</v>
      </c>
      <c r="H320" s="4" t="str">
        <f aca="false">IF(F320&gt;500,"Yüksek",IF(F320&gt;100,"Orta","Düşük"))</f>
        <v>Orta</v>
      </c>
    </row>
    <row r="321" customFormat="false" ht="12.8" hidden="false" customHeight="false" outlineLevel="0" collapsed="false">
      <c r="A321" s="4" t="s">
        <v>23</v>
      </c>
      <c r="B321" s="4" t="s">
        <v>17</v>
      </c>
      <c r="C321" s="4" t="n">
        <v>27</v>
      </c>
      <c r="D321" s="5" t="n">
        <v>21.5</v>
      </c>
      <c r="E321" s="6" t="n">
        <f aca="false">DATE(2024,7,11)</f>
        <v>45484</v>
      </c>
      <c r="F321" s="7" t="n">
        <f aca="false">C321*D321</f>
        <v>580.5</v>
      </c>
      <c r="G321" s="7" t="n">
        <f aca="false">ROUND(F321*0.2,2)</f>
        <v>116.1</v>
      </c>
      <c r="H321" s="4" t="str">
        <f aca="false">IF(F321&gt;500,"Yüksek",IF(F321&gt;100,"Orta","Düşük"))</f>
        <v>Yüksek</v>
      </c>
    </row>
    <row r="322" customFormat="false" ht="12.8" hidden="false" customHeight="false" outlineLevel="0" collapsed="false">
      <c r="A322" s="4" t="s">
        <v>24</v>
      </c>
      <c r="B322" s="4" t="s">
        <v>19</v>
      </c>
      <c r="C322" s="4" t="n">
        <v>34</v>
      </c>
      <c r="D322" s="5" t="n">
        <v>24.25</v>
      </c>
      <c r="E322" s="6" t="n">
        <f aca="false">DATE(2024,8,12)</f>
        <v>45516</v>
      </c>
      <c r="F322" s="7" t="n">
        <f aca="false">C322*D322</f>
        <v>824.5</v>
      </c>
      <c r="G322" s="7" t="n">
        <f aca="false">ROUND(F322*0.2,2)</f>
        <v>164.9</v>
      </c>
      <c r="H322" s="4" t="str">
        <f aca="false">IF(F322&gt;500,"Yüksek",IF(F322&gt;100,"Orta","Düşük"))</f>
        <v>Yüksek</v>
      </c>
    </row>
    <row r="323" customFormat="false" ht="12.8" hidden="false" customHeight="false" outlineLevel="0" collapsed="false">
      <c r="A323" s="4" t="s">
        <v>10</v>
      </c>
      <c r="B323" s="4" t="s">
        <v>11</v>
      </c>
      <c r="C323" s="4" t="n">
        <v>41</v>
      </c>
      <c r="D323" s="5" t="n">
        <v>27</v>
      </c>
      <c r="E323" s="6" t="n">
        <f aca="false">DATE(2024,9,13)</f>
        <v>45548</v>
      </c>
      <c r="F323" s="7" t="n">
        <f aca="false">C323*D323</f>
        <v>1107</v>
      </c>
      <c r="G323" s="7" t="n">
        <f aca="false">ROUND(F323*0.2,2)</f>
        <v>221.4</v>
      </c>
      <c r="H323" s="4" t="str">
        <f aca="false">IF(F323&gt;500,"Yüksek",IF(F323&gt;100,"Orta","Düşük"))</f>
        <v>Yüksek</v>
      </c>
    </row>
    <row r="324" customFormat="false" ht="12.8" hidden="false" customHeight="false" outlineLevel="0" collapsed="false">
      <c r="A324" s="4" t="s">
        <v>12</v>
      </c>
      <c r="B324" s="4" t="s">
        <v>13</v>
      </c>
      <c r="C324" s="4" t="n">
        <v>48</v>
      </c>
      <c r="D324" s="5" t="n">
        <v>29.75</v>
      </c>
      <c r="E324" s="6" t="n">
        <f aca="false">DATE(2024,10,14)</f>
        <v>45579</v>
      </c>
      <c r="F324" s="7" t="n">
        <f aca="false">C324*D324</f>
        <v>1428</v>
      </c>
      <c r="G324" s="7" t="n">
        <f aca="false">ROUND(F324*0.2,2)</f>
        <v>285.6</v>
      </c>
      <c r="H324" s="4" t="str">
        <f aca="false">IF(F324&gt;500,"Yüksek",IF(F324&gt;100,"Orta","Düşük"))</f>
        <v>Yüksek</v>
      </c>
    </row>
    <row r="325" customFormat="false" ht="12.8" hidden="false" customHeight="false" outlineLevel="0" collapsed="false">
      <c r="A325" s="4" t="s">
        <v>14</v>
      </c>
      <c r="B325" s="4" t="s">
        <v>15</v>
      </c>
      <c r="C325" s="4" t="n">
        <v>5</v>
      </c>
      <c r="D325" s="5" t="n">
        <v>32.5</v>
      </c>
      <c r="E325" s="6" t="n">
        <f aca="false">DATE(2024,11,15)</f>
        <v>45611</v>
      </c>
      <c r="F325" s="7" t="n">
        <f aca="false">C325*D325</f>
        <v>162.5</v>
      </c>
      <c r="G325" s="7" t="n">
        <f aca="false">ROUND(F325*0.2,2)</f>
        <v>32.5</v>
      </c>
      <c r="H325" s="4" t="str">
        <f aca="false">IF(F325&gt;500,"Yüksek",IF(F325&gt;100,"Orta","Düşük"))</f>
        <v>Orta</v>
      </c>
    </row>
    <row r="326" customFormat="false" ht="12.8" hidden="false" customHeight="false" outlineLevel="0" collapsed="false">
      <c r="A326" s="4" t="s">
        <v>16</v>
      </c>
      <c r="B326" s="4" t="s">
        <v>17</v>
      </c>
      <c r="C326" s="4" t="n">
        <v>12</v>
      </c>
      <c r="D326" s="5" t="n">
        <v>35.25</v>
      </c>
      <c r="E326" s="6" t="n">
        <f aca="false">DATE(2024,12,16)</f>
        <v>45642</v>
      </c>
      <c r="F326" s="7" t="n">
        <f aca="false">C326*D326</f>
        <v>423</v>
      </c>
      <c r="G326" s="7" t="n">
        <f aca="false">ROUND(F326*0.2,2)</f>
        <v>84.6</v>
      </c>
      <c r="H326" s="4" t="str">
        <f aca="false">IF(F326&gt;500,"Yüksek",IF(F326&gt;100,"Orta","Düşük"))</f>
        <v>Orta</v>
      </c>
    </row>
    <row r="327" customFormat="false" ht="12.8" hidden="false" customHeight="false" outlineLevel="0" collapsed="false">
      <c r="A327" s="4" t="s">
        <v>18</v>
      </c>
      <c r="B327" s="4" t="s">
        <v>19</v>
      </c>
      <c r="C327" s="4" t="n">
        <v>19</v>
      </c>
      <c r="D327" s="5" t="n">
        <v>38</v>
      </c>
      <c r="E327" s="6" t="n">
        <f aca="false">DATE(2024,1,17)</f>
        <v>45308</v>
      </c>
      <c r="F327" s="7" t="n">
        <f aca="false">C327*D327</f>
        <v>722</v>
      </c>
      <c r="G327" s="7" t="n">
        <f aca="false">ROUND(F327*0.2,2)</f>
        <v>144.4</v>
      </c>
      <c r="H327" s="4" t="str">
        <f aca="false">IF(F327&gt;500,"Yüksek",IF(F327&gt;100,"Orta","Düşük"))</f>
        <v>Yüksek</v>
      </c>
    </row>
    <row r="328" customFormat="false" ht="12.8" hidden="false" customHeight="false" outlineLevel="0" collapsed="false">
      <c r="A328" s="4" t="s">
        <v>20</v>
      </c>
      <c r="B328" s="4" t="s">
        <v>11</v>
      </c>
      <c r="C328" s="4" t="n">
        <v>26</v>
      </c>
      <c r="D328" s="5" t="n">
        <v>5</v>
      </c>
      <c r="E328" s="6" t="n">
        <f aca="false">DATE(2024,2,18)</f>
        <v>45340</v>
      </c>
      <c r="F328" s="7" t="n">
        <f aca="false">C328*D328</f>
        <v>130</v>
      </c>
      <c r="G328" s="7" t="n">
        <f aca="false">ROUND(F328*0.2,2)</f>
        <v>26</v>
      </c>
      <c r="H328" s="4" t="str">
        <f aca="false">IF(F328&gt;500,"Yüksek",IF(F328&gt;100,"Orta","Düşük"))</f>
        <v>Orta</v>
      </c>
    </row>
    <row r="329" customFormat="false" ht="12.8" hidden="false" customHeight="false" outlineLevel="0" collapsed="false">
      <c r="A329" s="4" t="s">
        <v>21</v>
      </c>
      <c r="B329" s="4" t="s">
        <v>13</v>
      </c>
      <c r="C329" s="4" t="n">
        <v>33</v>
      </c>
      <c r="D329" s="5" t="n">
        <v>7.75</v>
      </c>
      <c r="E329" s="6" t="n">
        <f aca="false">DATE(2024,3,19)</f>
        <v>45370</v>
      </c>
      <c r="F329" s="7" t="n">
        <f aca="false">C329*D329</f>
        <v>255.75</v>
      </c>
      <c r="G329" s="7" t="n">
        <f aca="false">ROUND(F329*0.2,2)</f>
        <v>51.15</v>
      </c>
      <c r="H329" s="4" t="str">
        <f aca="false">IF(F329&gt;500,"Yüksek",IF(F329&gt;100,"Orta","Düşük"))</f>
        <v>Orta</v>
      </c>
    </row>
    <row r="330" customFormat="false" ht="12.8" hidden="false" customHeight="false" outlineLevel="0" collapsed="false">
      <c r="A330" s="4" t="s">
        <v>22</v>
      </c>
      <c r="B330" s="4" t="s">
        <v>15</v>
      </c>
      <c r="C330" s="4" t="n">
        <v>40</v>
      </c>
      <c r="D330" s="5" t="n">
        <v>10.5</v>
      </c>
      <c r="E330" s="6" t="n">
        <f aca="false">DATE(2024,4,20)</f>
        <v>45402</v>
      </c>
      <c r="F330" s="7" t="n">
        <f aca="false">C330*D330</f>
        <v>420</v>
      </c>
      <c r="G330" s="7" t="n">
        <f aca="false">ROUND(F330*0.2,2)</f>
        <v>84</v>
      </c>
      <c r="H330" s="4" t="str">
        <f aca="false">IF(F330&gt;500,"Yüksek",IF(F330&gt;100,"Orta","Düşük"))</f>
        <v>Orta</v>
      </c>
    </row>
    <row r="331" customFormat="false" ht="12.8" hidden="false" customHeight="false" outlineLevel="0" collapsed="false">
      <c r="A331" s="4" t="s">
        <v>23</v>
      </c>
      <c r="B331" s="4" t="s">
        <v>17</v>
      </c>
      <c r="C331" s="4" t="n">
        <v>47</v>
      </c>
      <c r="D331" s="5" t="n">
        <v>13.25</v>
      </c>
      <c r="E331" s="6" t="n">
        <f aca="false">DATE(2024,5,21)</f>
        <v>45433</v>
      </c>
      <c r="F331" s="7" t="n">
        <f aca="false">C331*D331</f>
        <v>622.75</v>
      </c>
      <c r="G331" s="7" t="n">
        <f aca="false">ROUND(F331*0.2,2)</f>
        <v>124.55</v>
      </c>
      <c r="H331" s="4" t="str">
        <f aca="false">IF(F331&gt;500,"Yüksek",IF(F331&gt;100,"Orta","Düşük"))</f>
        <v>Yüksek</v>
      </c>
    </row>
    <row r="332" customFormat="false" ht="12.8" hidden="false" customHeight="false" outlineLevel="0" collapsed="false">
      <c r="A332" s="4" t="s">
        <v>24</v>
      </c>
      <c r="B332" s="4" t="s">
        <v>19</v>
      </c>
      <c r="C332" s="4" t="n">
        <v>4</v>
      </c>
      <c r="D332" s="5" t="n">
        <v>16</v>
      </c>
      <c r="E332" s="6" t="n">
        <f aca="false">DATE(2024,6,22)</f>
        <v>45465</v>
      </c>
      <c r="F332" s="7" t="n">
        <f aca="false">C332*D332</f>
        <v>64</v>
      </c>
      <c r="G332" s="7" t="n">
        <f aca="false">ROUND(F332*0.2,2)</f>
        <v>12.8</v>
      </c>
      <c r="H332" s="4" t="str">
        <f aca="false">IF(F332&gt;500,"Yüksek",IF(F332&gt;100,"Orta","Düşük"))</f>
        <v>Düşük</v>
      </c>
    </row>
    <row r="333" customFormat="false" ht="12.8" hidden="false" customHeight="false" outlineLevel="0" collapsed="false">
      <c r="A333" s="4" t="s">
        <v>10</v>
      </c>
      <c r="B333" s="4" t="s">
        <v>11</v>
      </c>
      <c r="C333" s="4" t="n">
        <v>11</v>
      </c>
      <c r="D333" s="5" t="n">
        <v>18.75</v>
      </c>
      <c r="E333" s="6" t="n">
        <f aca="false">DATE(2024,7,23)</f>
        <v>45496</v>
      </c>
      <c r="F333" s="7" t="n">
        <f aca="false">C333*D333</f>
        <v>206.25</v>
      </c>
      <c r="G333" s="7" t="n">
        <f aca="false">ROUND(F333*0.2,2)</f>
        <v>41.25</v>
      </c>
      <c r="H333" s="4" t="str">
        <f aca="false">IF(F333&gt;500,"Yüksek",IF(F333&gt;100,"Orta","Düşük"))</f>
        <v>Orta</v>
      </c>
    </row>
    <row r="334" customFormat="false" ht="12.8" hidden="false" customHeight="false" outlineLevel="0" collapsed="false">
      <c r="A334" s="4" t="s">
        <v>12</v>
      </c>
      <c r="B334" s="4" t="s">
        <v>13</v>
      </c>
      <c r="C334" s="4" t="n">
        <v>18</v>
      </c>
      <c r="D334" s="5" t="n">
        <v>21.5</v>
      </c>
      <c r="E334" s="6" t="n">
        <f aca="false">DATE(2024,8,24)</f>
        <v>45528</v>
      </c>
      <c r="F334" s="7" t="n">
        <f aca="false">C334*D334</f>
        <v>387</v>
      </c>
      <c r="G334" s="7" t="n">
        <f aca="false">ROUND(F334*0.2,2)</f>
        <v>77.4</v>
      </c>
      <c r="H334" s="4" t="str">
        <f aca="false">IF(F334&gt;500,"Yüksek",IF(F334&gt;100,"Orta","Düşük"))</f>
        <v>Orta</v>
      </c>
    </row>
    <row r="335" customFormat="false" ht="12.8" hidden="false" customHeight="false" outlineLevel="0" collapsed="false">
      <c r="A335" s="4" t="s">
        <v>14</v>
      </c>
      <c r="B335" s="4" t="s">
        <v>15</v>
      </c>
      <c r="C335" s="4" t="n">
        <v>25</v>
      </c>
      <c r="D335" s="5" t="n">
        <v>24.25</v>
      </c>
      <c r="E335" s="6" t="n">
        <f aca="false">DATE(2024,9,25)</f>
        <v>45560</v>
      </c>
      <c r="F335" s="7" t="n">
        <f aca="false">C335*D335</f>
        <v>606.25</v>
      </c>
      <c r="G335" s="7" t="n">
        <f aca="false">ROUND(F335*0.2,2)</f>
        <v>121.25</v>
      </c>
      <c r="H335" s="4" t="str">
        <f aca="false">IF(F335&gt;500,"Yüksek",IF(F335&gt;100,"Orta","Düşük"))</f>
        <v>Yüksek</v>
      </c>
    </row>
    <row r="336" customFormat="false" ht="12.8" hidden="false" customHeight="false" outlineLevel="0" collapsed="false">
      <c r="A336" s="4" t="s">
        <v>16</v>
      </c>
      <c r="B336" s="4" t="s">
        <v>17</v>
      </c>
      <c r="C336" s="4" t="n">
        <v>32</v>
      </c>
      <c r="D336" s="5" t="n">
        <v>27</v>
      </c>
      <c r="E336" s="6" t="n">
        <f aca="false">DATE(2024,10,26)</f>
        <v>45591</v>
      </c>
      <c r="F336" s="7" t="n">
        <f aca="false">C336*D336</f>
        <v>864</v>
      </c>
      <c r="G336" s="7" t="n">
        <f aca="false">ROUND(F336*0.2,2)</f>
        <v>172.8</v>
      </c>
      <c r="H336" s="4" t="str">
        <f aca="false">IF(F336&gt;500,"Yüksek",IF(F336&gt;100,"Orta","Düşük"))</f>
        <v>Yüksek</v>
      </c>
    </row>
    <row r="337" customFormat="false" ht="12.8" hidden="false" customHeight="false" outlineLevel="0" collapsed="false">
      <c r="A337" s="4" t="s">
        <v>18</v>
      </c>
      <c r="B337" s="4" t="s">
        <v>19</v>
      </c>
      <c r="C337" s="4" t="n">
        <v>39</v>
      </c>
      <c r="D337" s="5" t="n">
        <v>29.75</v>
      </c>
      <c r="E337" s="6" t="n">
        <f aca="false">DATE(2024,11,27)</f>
        <v>45623</v>
      </c>
      <c r="F337" s="7" t="n">
        <f aca="false">C337*D337</f>
        <v>1160.25</v>
      </c>
      <c r="G337" s="7" t="n">
        <f aca="false">ROUND(F337*0.2,2)</f>
        <v>232.05</v>
      </c>
      <c r="H337" s="4" t="str">
        <f aca="false">IF(F337&gt;500,"Yüksek",IF(F337&gt;100,"Orta","Düşük"))</f>
        <v>Yüksek</v>
      </c>
    </row>
    <row r="338" customFormat="false" ht="12.8" hidden="false" customHeight="false" outlineLevel="0" collapsed="false">
      <c r="A338" s="4" t="s">
        <v>20</v>
      </c>
      <c r="B338" s="4" t="s">
        <v>11</v>
      </c>
      <c r="C338" s="4" t="n">
        <v>46</v>
      </c>
      <c r="D338" s="5" t="n">
        <v>32.5</v>
      </c>
      <c r="E338" s="6" t="n">
        <f aca="false">DATE(2024,12,28)</f>
        <v>45654</v>
      </c>
      <c r="F338" s="7" t="n">
        <f aca="false">C338*D338</f>
        <v>1495</v>
      </c>
      <c r="G338" s="7" t="n">
        <f aca="false">ROUND(F338*0.2,2)</f>
        <v>299</v>
      </c>
      <c r="H338" s="4" t="str">
        <f aca="false">IF(F338&gt;500,"Yüksek",IF(F338&gt;100,"Orta","Düşük"))</f>
        <v>Yüksek</v>
      </c>
    </row>
    <row r="339" customFormat="false" ht="12.8" hidden="false" customHeight="false" outlineLevel="0" collapsed="false">
      <c r="A339" s="4" t="s">
        <v>21</v>
      </c>
      <c r="B339" s="4" t="s">
        <v>13</v>
      </c>
      <c r="C339" s="4" t="n">
        <v>3</v>
      </c>
      <c r="D339" s="5" t="n">
        <v>35.25</v>
      </c>
      <c r="E339" s="6" t="n">
        <f aca="false">DATE(2024,1,1)</f>
        <v>45292</v>
      </c>
      <c r="F339" s="7" t="n">
        <f aca="false">C339*D339</f>
        <v>105.75</v>
      </c>
      <c r="G339" s="7" t="n">
        <f aca="false">ROUND(F339*0.2,2)</f>
        <v>21.15</v>
      </c>
      <c r="H339" s="4" t="str">
        <f aca="false">IF(F339&gt;500,"Yüksek",IF(F339&gt;100,"Orta","Düşük"))</f>
        <v>Orta</v>
      </c>
    </row>
    <row r="340" customFormat="false" ht="12.8" hidden="false" customHeight="false" outlineLevel="0" collapsed="false">
      <c r="A340" s="4" t="s">
        <v>22</v>
      </c>
      <c r="B340" s="4" t="s">
        <v>15</v>
      </c>
      <c r="C340" s="4" t="n">
        <v>10</v>
      </c>
      <c r="D340" s="5" t="n">
        <v>38</v>
      </c>
      <c r="E340" s="6" t="n">
        <f aca="false">DATE(2024,2,2)</f>
        <v>45324</v>
      </c>
      <c r="F340" s="7" t="n">
        <f aca="false">C340*D340</f>
        <v>380</v>
      </c>
      <c r="G340" s="7" t="n">
        <f aca="false">ROUND(F340*0.2,2)</f>
        <v>76</v>
      </c>
      <c r="H340" s="4" t="str">
        <f aca="false">IF(F340&gt;500,"Yüksek",IF(F340&gt;100,"Orta","Düşük"))</f>
        <v>Orta</v>
      </c>
    </row>
    <row r="341" customFormat="false" ht="12.8" hidden="false" customHeight="false" outlineLevel="0" collapsed="false">
      <c r="A341" s="4" t="s">
        <v>23</v>
      </c>
      <c r="B341" s="4" t="s">
        <v>17</v>
      </c>
      <c r="C341" s="4" t="n">
        <v>17</v>
      </c>
      <c r="D341" s="5" t="n">
        <v>5</v>
      </c>
      <c r="E341" s="6" t="n">
        <f aca="false">DATE(2024,3,3)</f>
        <v>45354</v>
      </c>
      <c r="F341" s="7" t="n">
        <f aca="false">C341*D341</f>
        <v>85</v>
      </c>
      <c r="G341" s="7" t="n">
        <f aca="false">ROUND(F341*0.2,2)</f>
        <v>17</v>
      </c>
      <c r="H341" s="4" t="str">
        <f aca="false">IF(F341&gt;500,"Yüksek",IF(F341&gt;100,"Orta","Düşük"))</f>
        <v>Düşük</v>
      </c>
    </row>
    <row r="342" customFormat="false" ht="12.8" hidden="false" customHeight="false" outlineLevel="0" collapsed="false">
      <c r="A342" s="4" t="s">
        <v>24</v>
      </c>
      <c r="B342" s="4" t="s">
        <v>19</v>
      </c>
      <c r="C342" s="4" t="n">
        <v>24</v>
      </c>
      <c r="D342" s="5" t="n">
        <v>7.75</v>
      </c>
      <c r="E342" s="6" t="n">
        <f aca="false">DATE(2024,4,4)</f>
        <v>45386</v>
      </c>
      <c r="F342" s="7" t="n">
        <f aca="false">C342*D342</f>
        <v>186</v>
      </c>
      <c r="G342" s="7" t="n">
        <f aca="false">ROUND(F342*0.2,2)</f>
        <v>37.2</v>
      </c>
      <c r="H342" s="4" t="str">
        <f aca="false">IF(F342&gt;500,"Yüksek",IF(F342&gt;100,"Orta","Düşük"))</f>
        <v>Orta</v>
      </c>
    </row>
    <row r="343" customFormat="false" ht="12.8" hidden="false" customHeight="false" outlineLevel="0" collapsed="false">
      <c r="A343" s="4" t="s">
        <v>10</v>
      </c>
      <c r="B343" s="4" t="s">
        <v>11</v>
      </c>
      <c r="C343" s="4" t="n">
        <v>31</v>
      </c>
      <c r="D343" s="5" t="n">
        <v>10.5</v>
      </c>
      <c r="E343" s="6" t="n">
        <f aca="false">DATE(2024,5,5)</f>
        <v>45417</v>
      </c>
      <c r="F343" s="7" t="n">
        <f aca="false">C343*D343</f>
        <v>325.5</v>
      </c>
      <c r="G343" s="7" t="n">
        <f aca="false">ROUND(F343*0.2,2)</f>
        <v>65.1</v>
      </c>
      <c r="H343" s="4" t="str">
        <f aca="false">IF(F343&gt;500,"Yüksek",IF(F343&gt;100,"Orta","Düşük"))</f>
        <v>Orta</v>
      </c>
    </row>
    <row r="344" customFormat="false" ht="12.8" hidden="false" customHeight="false" outlineLevel="0" collapsed="false">
      <c r="A344" s="4" t="s">
        <v>12</v>
      </c>
      <c r="B344" s="4" t="s">
        <v>13</v>
      </c>
      <c r="C344" s="4" t="n">
        <v>38</v>
      </c>
      <c r="D344" s="5" t="n">
        <v>13.25</v>
      </c>
      <c r="E344" s="6" t="n">
        <f aca="false">DATE(2024,6,6)</f>
        <v>45449</v>
      </c>
      <c r="F344" s="7" t="n">
        <f aca="false">C344*D344</f>
        <v>503.5</v>
      </c>
      <c r="G344" s="7" t="n">
        <f aca="false">ROUND(F344*0.2,2)</f>
        <v>100.7</v>
      </c>
      <c r="H344" s="4" t="str">
        <f aca="false">IF(F344&gt;500,"Yüksek",IF(F344&gt;100,"Orta","Düşük"))</f>
        <v>Yüksek</v>
      </c>
    </row>
    <row r="345" customFormat="false" ht="12.8" hidden="false" customHeight="false" outlineLevel="0" collapsed="false">
      <c r="A345" s="4" t="s">
        <v>14</v>
      </c>
      <c r="B345" s="4" t="s">
        <v>15</v>
      </c>
      <c r="C345" s="4" t="n">
        <v>45</v>
      </c>
      <c r="D345" s="5" t="n">
        <v>16</v>
      </c>
      <c r="E345" s="6" t="n">
        <f aca="false">DATE(2024,7,7)</f>
        <v>45480</v>
      </c>
      <c r="F345" s="7" t="n">
        <f aca="false">C345*D345</f>
        <v>720</v>
      </c>
      <c r="G345" s="7" t="n">
        <f aca="false">ROUND(F345*0.2,2)</f>
        <v>144</v>
      </c>
      <c r="H345" s="4" t="str">
        <f aca="false">IF(F345&gt;500,"Yüksek",IF(F345&gt;100,"Orta","Düşük"))</f>
        <v>Yüksek</v>
      </c>
    </row>
    <row r="346" customFormat="false" ht="12.8" hidden="false" customHeight="false" outlineLevel="0" collapsed="false">
      <c r="A346" s="4" t="s">
        <v>16</v>
      </c>
      <c r="B346" s="4" t="s">
        <v>17</v>
      </c>
      <c r="C346" s="4" t="n">
        <v>2</v>
      </c>
      <c r="D346" s="5" t="n">
        <v>18.75</v>
      </c>
      <c r="E346" s="6" t="n">
        <f aca="false">DATE(2024,8,8)</f>
        <v>45512</v>
      </c>
      <c r="F346" s="7" t="n">
        <f aca="false">C346*D346</f>
        <v>37.5</v>
      </c>
      <c r="G346" s="7" t="n">
        <f aca="false">ROUND(F346*0.2,2)</f>
        <v>7.5</v>
      </c>
      <c r="H346" s="4" t="str">
        <f aca="false">IF(F346&gt;500,"Yüksek",IF(F346&gt;100,"Orta","Düşük"))</f>
        <v>Düşük</v>
      </c>
    </row>
    <row r="347" customFormat="false" ht="12.8" hidden="false" customHeight="false" outlineLevel="0" collapsed="false">
      <c r="A347" s="4" t="s">
        <v>18</v>
      </c>
      <c r="B347" s="4" t="s">
        <v>19</v>
      </c>
      <c r="C347" s="4" t="n">
        <v>9</v>
      </c>
      <c r="D347" s="5" t="n">
        <v>21.5</v>
      </c>
      <c r="E347" s="6" t="n">
        <f aca="false">DATE(2024,9,9)</f>
        <v>45544</v>
      </c>
      <c r="F347" s="7" t="n">
        <f aca="false">C347*D347</f>
        <v>193.5</v>
      </c>
      <c r="G347" s="7" t="n">
        <f aca="false">ROUND(F347*0.2,2)</f>
        <v>38.7</v>
      </c>
      <c r="H347" s="4" t="str">
        <f aca="false">IF(F347&gt;500,"Yüksek",IF(F347&gt;100,"Orta","Düşük"))</f>
        <v>Orta</v>
      </c>
    </row>
    <row r="348" customFormat="false" ht="12.8" hidden="false" customHeight="false" outlineLevel="0" collapsed="false">
      <c r="A348" s="4" t="s">
        <v>20</v>
      </c>
      <c r="B348" s="4" t="s">
        <v>11</v>
      </c>
      <c r="C348" s="4" t="n">
        <v>16</v>
      </c>
      <c r="D348" s="5" t="n">
        <v>24.25</v>
      </c>
      <c r="E348" s="6" t="n">
        <f aca="false">DATE(2024,10,10)</f>
        <v>45575</v>
      </c>
      <c r="F348" s="7" t="n">
        <f aca="false">C348*D348</f>
        <v>388</v>
      </c>
      <c r="G348" s="7" t="n">
        <f aca="false">ROUND(F348*0.2,2)</f>
        <v>77.6</v>
      </c>
      <c r="H348" s="4" t="str">
        <f aca="false">IF(F348&gt;500,"Yüksek",IF(F348&gt;100,"Orta","Düşük"))</f>
        <v>Orta</v>
      </c>
    </row>
    <row r="349" customFormat="false" ht="12.8" hidden="false" customHeight="false" outlineLevel="0" collapsed="false">
      <c r="A349" s="4" t="s">
        <v>21</v>
      </c>
      <c r="B349" s="4" t="s">
        <v>13</v>
      </c>
      <c r="C349" s="4" t="n">
        <v>23</v>
      </c>
      <c r="D349" s="5" t="n">
        <v>27</v>
      </c>
      <c r="E349" s="6" t="n">
        <f aca="false">DATE(2024,11,11)</f>
        <v>45607</v>
      </c>
      <c r="F349" s="7" t="n">
        <f aca="false">C349*D349</f>
        <v>621</v>
      </c>
      <c r="G349" s="7" t="n">
        <f aca="false">ROUND(F349*0.2,2)</f>
        <v>124.2</v>
      </c>
      <c r="H349" s="4" t="str">
        <f aca="false">IF(F349&gt;500,"Yüksek",IF(F349&gt;100,"Orta","Düşük"))</f>
        <v>Yüksek</v>
      </c>
    </row>
    <row r="350" customFormat="false" ht="12.8" hidden="false" customHeight="false" outlineLevel="0" collapsed="false">
      <c r="A350" s="4" t="s">
        <v>22</v>
      </c>
      <c r="B350" s="4" t="s">
        <v>15</v>
      </c>
      <c r="C350" s="4" t="n">
        <v>30</v>
      </c>
      <c r="D350" s="5" t="n">
        <v>29.75</v>
      </c>
      <c r="E350" s="6" t="n">
        <f aca="false">DATE(2024,12,12)</f>
        <v>45638</v>
      </c>
      <c r="F350" s="7" t="n">
        <f aca="false">C350*D350</f>
        <v>892.5</v>
      </c>
      <c r="G350" s="7" t="n">
        <f aca="false">ROUND(F350*0.2,2)</f>
        <v>178.5</v>
      </c>
      <c r="H350" s="4" t="str">
        <f aca="false">IF(F350&gt;500,"Yüksek",IF(F350&gt;100,"Orta","Düşük"))</f>
        <v>Yüksek</v>
      </c>
    </row>
    <row r="351" customFormat="false" ht="12.8" hidden="false" customHeight="false" outlineLevel="0" collapsed="false">
      <c r="A351" s="4" t="s">
        <v>23</v>
      </c>
      <c r="B351" s="4" t="s">
        <v>17</v>
      </c>
      <c r="C351" s="4" t="n">
        <v>37</v>
      </c>
      <c r="D351" s="5" t="n">
        <v>32.5</v>
      </c>
      <c r="E351" s="6" t="n">
        <f aca="false">DATE(2024,1,13)</f>
        <v>45304</v>
      </c>
      <c r="F351" s="7" t="n">
        <f aca="false">C351*D351</f>
        <v>1202.5</v>
      </c>
      <c r="G351" s="7" t="n">
        <f aca="false">ROUND(F351*0.2,2)</f>
        <v>240.5</v>
      </c>
      <c r="H351" s="4" t="str">
        <f aca="false">IF(F351&gt;500,"Yüksek",IF(F351&gt;100,"Orta","Düşük"))</f>
        <v>Yüksek</v>
      </c>
    </row>
    <row r="352" customFormat="false" ht="12.8" hidden="false" customHeight="false" outlineLevel="0" collapsed="false">
      <c r="A352" s="4" t="s">
        <v>24</v>
      </c>
      <c r="B352" s="4" t="s">
        <v>19</v>
      </c>
      <c r="C352" s="4" t="n">
        <v>44</v>
      </c>
      <c r="D352" s="5" t="n">
        <v>35.25</v>
      </c>
      <c r="E352" s="6" t="n">
        <f aca="false">DATE(2024,2,14)</f>
        <v>45336</v>
      </c>
      <c r="F352" s="7" t="n">
        <f aca="false">C352*D352</f>
        <v>1551</v>
      </c>
      <c r="G352" s="7" t="n">
        <f aca="false">ROUND(F352*0.2,2)</f>
        <v>310.2</v>
      </c>
      <c r="H352" s="4" t="str">
        <f aca="false">IF(F352&gt;500,"Yüksek",IF(F352&gt;100,"Orta","Düşük"))</f>
        <v>Yüksek</v>
      </c>
    </row>
    <row r="353" customFormat="false" ht="12.8" hidden="false" customHeight="false" outlineLevel="0" collapsed="false">
      <c r="A353" s="4" t="s">
        <v>10</v>
      </c>
      <c r="B353" s="4" t="s">
        <v>11</v>
      </c>
      <c r="C353" s="4" t="n">
        <v>1</v>
      </c>
      <c r="D353" s="5" t="n">
        <v>38</v>
      </c>
      <c r="E353" s="6" t="n">
        <f aca="false">DATE(2024,3,15)</f>
        <v>45366</v>
      </c>
      <c r="F353" s="7" t="n">
        <f aca="false">C353*D353</f>
        <v>38</v>
      </c>
      <c r="G353" s="7" t="n">
        <f aca="false">ROUND(F353*0.2,2)</f>
        <v>7.6</v>
      </c>
      <c r="H353" s="4" t="str">
        <f aca="false">IF(F353&gt;500,"Yüksek",IF(F353&gt;100,"Orta","Düşük"))</f>
        <v>Düşük</v>
      </c>
    </row>
    <row r="354" customFormat="false" ht="12.8" hidden="false" customHeight="false" outlineLevel="0" collapsed="false">
      <c r="A354" s="4" t="s">
        <v>12</v>
      </c>
      <c r="B354" s="4" t="s">
        <v>13</v>
      </c>
      <c r="C354" s="4" t="n">
        <v>8</v>
      </c>
      <c r="D354" s="5" t="n">
        <v>5</v>
      </c>
      <c r="E354" s="6" t="n">
        <f aca="false">DATE(2024,4,16)</f>
        <v>45398</v>
      </c>
      <c r="F354" s="7" t="n">
        <f aca="false">C354*D354</f>
        <v>40</v>
      </c>
      <c r="G354" s="7" t="n">
        <f aca="false">ROUND(F354*0.2,2)</f>
        <v>8</v>
      </c>
      <c r="H354" s="4" t="str">
        <f aca="false">IF(F354&gt;500,"Yüksek",IF(F354&gt;100,"Orta","Düşük"))</f>
        <v>Düşük</v>
      </c>
    </row>
    <row r="355" customFormat="false" ht="12.8" hidden="false" customHeight="false" outlineLevel="0" collapsed="false">
      <c r="A355" s="4" t="s">
        <v>14</v>
      </c>
      <c r="B355" s="4" t="s">
        <v>15</v>
      </c>
      <c r="C355" s="4" t="n">
        <v>15</v>
      </c>
      <c r="D355" s="5" t="n">
        <v>7.75</v>
      </c>
      <c r="E355" s="6" t="n">
        <f aca="false">DATE(2024,5,17)</f>
        <v>45429</v>
      </c>
      <c r="F355" s="7" t="n">
        <f aca="false">C355*D355</f>
        <v>116.25</v>
      </c>
      <c r="G355" s="7" t="n">
        <f aca="false">ROUND(F355*0.2,2)</f>
        <v>23.25</v>
      </c>
      <c r="H355" s="4" t="str">
        <f aca="false">IF(F355&gt;500,"Yüksek",IF(F355&gt;100,"Orta","Düşük"))</f>
        <v>Orta</v>
      </c>
    </row>
    <row r="356" customFormat="false" ht="12.8" hidden="false" customHeight="false" outlineLevel="0" collapsed="false">
      <c r="A356" s="4" t="s">
        <v>16</v>
      </c>
      <c r="B356" s="4" t="s">
        <v>17</v>
      </c>
      <c r="C356" s="4" t="n">
        <v>22</v>
      </c>
      <c r="D356" s="5" t="n">
        <v>10.5</v>
      </c>
      <c r="E356" s="6" t="n">
        <f aca="false">DATE(2024,6,18)</f>
        <v>45461</v>
      </c>
      <c r="F356" s="7" t="n">
        <f aca="false">C356*D356</f>
        <v>231</v>
      </c>
      <c r="G356" s="7" t="n">
        <f aca="false">ROUND(F356*0.2,2)</f>
        <v>46.2</v>
      </c>
      <c r="H356" s="4" t="str">
        <f aca="false">IF(F356&gt;500,"Yüksek",IF(F356&gt;100,"Orta","Düşük"))</f>
        <v>Orta</v>
      </c>
    </row>
    <row r="357" customFormat="false" ht="12.8" hidden="false" customHeight="false" outlineLevel="0" collapsed="false">
      <c r="A357" s="4" t="s">
        <v>18</v>
      </c>
      <c r="B357" s="4" t="s">
        <v>19</v>
      </c>
      <c r="C357" s="4" t="n">
        <v>29</v>
      </c>
      <c r="D357" s="5" t="n">
        <v>13.25</v>
      </c>
      <c r="E357" s="6" t="n">
        <f aca="false">DATE(2024,7,19)</f>
        <v>45492</v>
      </c>
      <c r="F357" s="7" t="n">
        <f aca="false">C357*D357</f>
        <v>384.25</v>
      </c>
      <c r="G357" s="7" t="n">
        <f aca="false">ROUND(F357*0.2,2)</f>
        <v>76.85</v>
      </c>
      <c r="H357" s="4" t="str">
        <f aca="false">IF(F357&gt;500,"Yüksek",IF(F357&gt;100,"Orta","Düşük"))</f>
        <v>Orta</v>
      </c>
    </row>
    <row r="358" customFormat="false" ht="12.8" hidden="false" customHeight="false" outlineLevel="0" collapsed="false">
      <c r="A358" s="4" t="s">
        <v>20</v>
      </c>
      <c r="B358" s="4" t="s">
        <v>11</v>
      </c>
      <c r="C358" s="4" t="n">
        <v>36</v>
      </c>
      <c r="D358" s="5" t="n">
        <v>16</v>
      </c>
      <c r="E358" s="6" t="n">
        <f aca="false">DATE(2024,8,20)</f>
        <v>45524</v>
      </c>
      <c r="F358" s="7" t="n">
        <f aca="false">C358*D358</f>
        <v>576</v>
      </c>
      <c r="G358" s="7" t="n">
        <f aca="false">ROUND(F358*0.2,2)</f>
        <v>115.2</v>
      </c>
      <c r="H358" s="4" t="str">
        <f aca="false">IF(F358&gt;500,"Yüksek",IF(F358&gt;100,"Orta","Düşük"))</f>
        <v>Yüksek</v>
      </c>
    </row>
    <row r="359" customFormat="false" ht="12.8" hidden="false" customHeight="false" outlineLevel="0" collapsed="false">
      <c r="A359" s="4" t="s">
        <v>21</v>
      </c>
      <c r="B359" s="4" t="s">
        <v>13</v>
      </c>
      <c r="C359" s="4" t="n">
        <v>43</v>
      </c>
      <c r="D359" s="5" t="n">
        <v>18.75</v>
      </c>
      <c r="E359" s="6" t="n">
        <f aca="false">DATE(2024,9,21)</f>
        <v>45556</v>
      </c>
      <c r="F359" s="7" t="n">
        <f aca="false">C359*D359</f>
        <v>806.25</v>
      </c>
      <c r="G359" s="7" t="n">
        <f aca="false">ROUND(F359*0.2,2)</f>
        <v>161.25</v>
      </c>
      <c r="H359" s="4" t="str">
        <f aca="false">IF(F359&gt;500,"Yüksek",IF(F359&gt;100,"Orta","Düşük"))</f>
        <v>Yüksek</v>
      </c>
    </row>
    <row r="360" customFormat="false" ht="12.8" hidden="false" customHeight="false" outlineLevel="0" collapsed="false">
      <c r="A360" s="4" t="s">
        <v>22</v>
      </c>
      <c r="B360" s="4" t="s">
        <v>15</v>
      </c>
      <c r="C360" s="4" t="n">
        <v>50</v>
      </c>
      <c r="D360" s="5" t="n">
        <v>21.5</v>
      </c>
      <c r="E360" s="6" t="n">
        <f aca="false">DATE(2024,10,22)</f>
        <v>45587</v>
      </c>
      <c r="F360" s="7" t="n">
        <f aca="false">C360*D360</f>
        <v>1075</v>
      </c>
      <c r="G360" s="7" t="n">
        <f aca="false">ROUND(F360*0.2,2)</f>
        <v>215</v>
      </c>
      <c r="H360" s="4" t="str">
        <f aca="false">IF(F360&gt;500,"Yüksek",IF(F360&gt;100,"Orta","Düşük"))</f>
        <v>Yüksek</v>
      </c>
    </row>
    <row r="361" customFormat="false" ht="12.8" hidden="false" customHeight="false" outlineLevel="0" collapsed="false">
      <c r="A361" s="4" t="s">
        <v>23</v>
      </c>
      <c r="B361" s="4" t="s">
        <v>17</v>
      </c>
      <c r="C361" s="4" t="n">
        <v>7</v>
      </c>
      <c r="D361" s="5" t="n">
        <v>24.25</v>
      </c>
      <c r="E361" s="6" t="n">
        <f aca="false">DATE(2024,11,23)</f>
        <v>45619</v>
      </c>
      <c r="F361" s="7" t="n">
        <f aca="false">C361*D361</f>
        <v>169.75</v>
      </c>
      <c r="G361" s="7" t="n">
        <f aca="false">ROUND(F361*0.2,2)</f>
        <v>33.95</v>
      </c>
      <c r="H361" s="4" t="str">
        <f aca="false">IF(F361&gt;500,"Yüksek",IF(F361&gt;100,"Orta","Düşük"))</f>
        <v>Orta</v>
      </c>
    </row>
    <row r="362" customFormat="false" ht="12.8" hidden="false" customHeight="false" outlineLevel="0" collapsed="false">
      <c r="A362" s="4" t="s">
        <v>24</v>
      </c>
      <c r="B362" s="4" t="s">
        <v>19</v>
      </c>
      <c r="C362" s="4" t="n">
        <v>14</v>
      </c>
      <c r="D362" s="5" t="n">
        <v>27</v>
      </c>
      <c r="E362" s="6" t="n">
        <f aca="false">DATE(2024,12,24)</f>
        <v>45650</v>
      </c>
      <c r="F362" s="7" t="n">
        <f aca="false">C362*D362</f>
        <v>378</v>
      </c>
      <c r="G362" s="7" t="n">
        <f aca="false">ROUND(F362*0.2,2)</f>
        <v>75.6</v>
      </c>
      <c r="H362" s="4" t="str">
        <f aca="false">IF(F362&gt;500,"Yüksek",IF(F362&gt;100,"Orta","Düşük"))</f>
        <v>Orta</v>
      </c>
    </row>
    <row r="363" customFormat="false" ht="12.8" hidden="false" customHeight="false" outlineLevel="0" collapsed="false">
      <c r="A363" s="4" t="s">
        <v>10</v>
      </c>
      <c r="B363" s="4" t="s">
        <v>11</v>
      </c>
      <c r="C363" s="4" t="n">
        <v>21</v>
      </c>
      <c r="D363" s="5" t="n">
        <v>29.75</v>
      </c>
      <c r="E363" s="6" t="n">
        <f aca="false">DATE(2024,1,25)</f>
        <v>45316</v>
      </c>
      <c r="F363" s="7" t="n">
        <f aca="false">C363*D363</f>
        <v>624.75</v>
      </c>
      <c r="G363" s="7" t="n">
        <f aca="false">ROUND(F363*0.2,2)</f>
        <v>124.95</v>
      </c>
      <c r="H363" s="4" t="str">
        <f aca="false">IF(F363&gt;500,"Yüksek",IF(F363&gt;100,"Orta","Düşük"))</f>
        <v>Yüksek</v>
      </c>
    </row>
    <row r="364" customFormat="false" ht="12.8" hidden="false" customHeight="false" outlineLevel="0" collapsed="false">
      <c r="A364" s="4" t="s">
        <v>12</v>
      </c>
      <c r="B364" s="4" t="s">
        <v>13</v>
      </c>
      <c r="C364" s="4" t="n">
        <v>28</v>
      </c>
      <c r="D364" s="5" t="n">
        <v>32.5</v>
      </c>
      <c r="E364" s="6" t="n">
        <f aca="false">DATE(2024,2,26)</f>
        <v>45348</v>
      </c>
      <c r="F364" s="7" t="n">
        <f aca="false">C364*D364</f>
        <v>910</v>
      </c>
      <c r="G364" s="7" t="n">
        <f aca="false">ROUND(F364*0.2,2)</f>
        <v>182</v>
      </c>
      <c r="H364" s="4" t="str">
        <f aca="false">IF(F364&gt;500,"Yüksek",IF(F364&gt;100,"Orta","Düşük"))</f>
        <v>Yüksek</v>
      </c>
    </row>
    <row r="365" customFormat="false" ht="12.8" hidden="false" customHeight="false" outlineLevel="0" collapsed="false">
      <c r="A365" s="4" t="s">
        <v>14</v>
      </c>
      <c r="B365" s="4" t="s">
        <v>15</v>
      </c>
      <c r="C365" s="4" t="n">
        <v>35</v>
      </c>
      <c r="D365" s="5" t="n">
        <v>35.25</v>
      </c>
      <c r="E365" s="6" t="n">
        <f aca="false">DATE(2024,3,27)</f>
        <v>45378</v>
      </c>
      <c r="F365" s="7" t="n">
        <f aca="false">C365*D365</f>
        <v>1233.75</v>
      </c>
      <c r="G365" s="7" t="n">
        <f aca="false">ROUND(F365*0.2,2)</f>
        <v>246.75</v>
      </c>
      <c r="H365" s="4" t="str">
        <f aca="false">IF(F365&gt;500,"Yüksek",IF(F365&gt;100,"Orta","Düşük"))</f>
        <v>Yüksek</v>
      </c>
    </row>
    <row r="366" customFormat="false" ht="12.8" hidden="false" customHeight="false" outlineLevel="0" collapsed="false">
      <c r="A366" s="4" t="s">
        <v>16</v>
      </c>
      <c r="B366" s="4" t="s">
        <v>17</v>
      </c>
      <c r="C366" s="4" t="n">
        <v>42</v>
      </c>
      <c r="D366" s="5" t="n">
        <v>38</v>
      </c>
      <c r="E366" s="6" t="n">
        <f aca="false">DATE(2024,4,28)</f>
        <v>45410</v>
      </c>
      <c r="F366" s="7" t="n">
        <f aca="false">C366*D366</f>
        <v>1596</v>
      </c>
      <c r="G366" s="7" t="n">
        <f aca="false">ROUND(F366*0.2,2)</f>
        <v>319.2</v>
      </c>
      <c r="H366" s="4" t="str">
        <f aca="false">IF(F366&gt;500,"Yüksek",IF(F366&gt;100,"Orta","Düşük"))</f>
        <v>Yüksek</v>
      </c>
    </row>
    <row r="367" customFormat="false" ht="12.8" hidden="false" customHeight="false" outlineLevel="0" collapsed="false">
      <c r="A367" s="4" t="s">
        <v>18</v>
      </c>
      <c r="B367" s="4" t="s">
        <v>19</v>
      </c>
      <c r="C367" s="4" t="n">
        <v>49</v>
      </c>
      <c r="D367" s="5" t="n">
        <v>5</v>
      </c>
      <c r="E367" s="6" t="n">
        <f aca="false">DATE(2024,5,1)</f>
        <v>45413</v>
      </c>
      <c r="F367" s="7" t="n">
        <f aca="false">C367*D367</f>
        <v>245</v>
      </c>
      <c r="G367" s="7" t="n">
        <f aca="false">ROUND(F367*0.2,2)</f>
        <v>49</v>
      </c>
      <c r="H367" s="4" t="str">
        <f aca="false">IF(F367&gt;500,"Yüksek",IF(F367&gt;100,"Orta","Düşük"))</f>
        <v>Orta</v>
      </c>
    </row>
    <row r="368" customFormat="false" ht="12.8" hidden="false" customHeight="false" outlineLevel="0" collapsed="false">
      <c r="A368" s="4" t="s">
        <v>20</v>
      </c>
      <c r="B368" s="4" t="s">
        <v>11</v>
      </c>
      <c r="C368" s="4" t="n">
        <v>6</v>
      </c>
      <c r="D368" s="5" t="n">
        <v>7.75</v>
      </c>
      <c r="E368" s="6" t="n">
        <f aca="false">DATE(2024,6,2)</f>
        <v>45445</v>
      </c>
      <c r="F368" s="7" t="n">
        <f aca="false">C368*D368</f>
        <v>46.5</v>
      </c>
      <c r="G368" s="7" t="n">
        <f aca="false">ROUND(F368*0.2,2)</f>
        <v>9.3</v>
      </c>
      <c r="H368" s="4" t="str">
        <f aca="false">IF(F368&gt;500,"Yüksek",IF(F368&gt;100,"Orta","Düşük"))</f>
        <v>Düşük</v>
      </c>
    </row>
    <row r="369" customFormat="false" ht="12.8" hidden="false" customHeight="false" outlineLevel="0" collapsed="false">
      <c r="A369" s="4" t="s">
        <v>21</v>
      </c>
      <c r="B369" s="4" t="s">
        <v>13</v>
      </c>
      <c r="C369" s="4" t="n">
        <v>13</v>
      </c>
      <c r="D369" s="5" t="n">
        <v>10.5</v>
      </c>
      <c r="E369" s="6" t="n">
        <f aca="false">DATE(2024,7,3)</f>
        <v>45476</v>
      </c>
      <c r="F369" s="7" t="n">
        <f aca="false">C369*D369</f>
        <v>136.5</v>
      </c>
      <c r="G369" s="7" t="n">
        <f aca="false">ROUND(F369*0.2,2)</f>
        <v>27.3</v>
      </c>
      <c r="H369" s="4" t="str">
        <f aca="false">IF(F369&gt;500,"Yüksek",IF(F369&gt;100,"Orta","Düşük"))</f>
        <v>Orta</v>
      </c>
    </row>
    <row r="370" customFormat="false" ht="12.8" hidden="false" customHeight="false" outlineLevel="0" collapsed="false">
      <c r="A370" s="4" t="s">
        <v>22</v>
      </c>
      <c r="B370" s="4" t="s">
        <v>15</v>
      </c>
      <c r="C370" s="4" t="n">
        <v>20</v>
      </c>
      <c r="D370" s="5" t="n">
        <v>13.25</v>
      </c>
      <c r="E370" s="6" t="n">
        <f aca="false">DATE(2024,8,4)</f>
        <v>45508</v>
      </c>
      <c r="F370" s="7" t="n">
        <f aca="false">C370*D370</f>
        <v>265</v>
      </c>
      <c r="G370" s="7" t="n">
        <f aca="false">ROUND(F370*0.2,2)</f>
        <v>53</v>
      </c>
      <c r="H370" s="4" t="str">
        <f aca="false">IF(F370&gt;500,"Yüksek",IF(F370&gt;100,"Orta","Düşük"))</f>
        <v>Orta</v>
      </c>
    </row>
    <row r="371" customFormat="false" ht="12.8" hidden="false" customHeight="false" outlineLevel="0" collapsed="false">
      <c r="A371" s="4" t="s">
        <v>23</v>
      </c>
      <c r="B371" s="4" t="s">
        <v>17</v>
      </c>
      <c r="C371" s="4" t="n">
        <v>27</v>
      </c>
      <c r="D371" s="5" t="n">
        <v>16</v>
      </c>
      <c r="E371" s="6" t="n">
        <f aca="false">DATE(2024,9,5)</f>
        <v>45540</v>
      </c>
      <c r="F371" s="7" t="n">
        <f aca="false">C371*D371</f>
        <v>432</v>
      </c>
      <c r="G371" s="7" t="n">
        <f aca="false">ROUND(F371*0.2,2)</f>
        <v>86.4</v>
      </c>
      <c r="H371" s="4" t="str">
        <f aca="false">IF(F371&gt;500,"Yüksek",IF(F371&gt;100,"Orta","Düşük"))</f>
        <v>Orta</v>
      </c>
    </row>
    <row r="372" customFormat="false" ht="12.8" hidden="false" customHeight="false" outlineLevel="0" collapsed="false">
      <c r="A372" s="4" t="s">
        <v>24</v>
      </c>
      <c r="B372" s="4" t="s">
        <v>19</v>
      </c>
      <c r="C372" s="4" t="n">
        <v>34</v>
      </c>
      <c r="D372" s="5" t="n">
        <v>18.75</v>
      </c>
      <c r="E372" s="6" t="n">
        <f aca="false">DATE(2024,10,6)</f>
        <v>45571</v>
      </c>
      <c r="F372" s="7" t="n">
        <f aca="false">C372*D372</f>
        <v>637.5</v>
      </c>
      <c r="G372" s="7" t="n">
        <f aca="false">ROUND(F372*0.2,2)</f>
        <v>127.5</v>
      </c>
      <c r="H372" s="4" t="str">
        <f aca="false">IF(F372&gt;500,"Yüksek",IF(F372&gt;100,"Orta","Düşük"))</f>
        <v>Yüksek</v>
      </c>
    </row>
    <row r="373" customFormat="false" ht="12.8" hidden="false" customHeight="false" outlineLevel="0" collapsed="false">
      <c r="A373" s="4" t="s">
        <v>10</v>
      </c>
      <c r="B373" s="4" t="s">
        <v>11</v>
      </c>
      <c r="C373" s="4" t="n">
        <v>41</v>
      </c>
      <c r="D373" s="5" t="n">
        <v>21.5</v>
      </c>
      <c r="E373" s="6" t="n">
        <f aca="false">DATE(2024,11,7)</f>
        <v>45603</v>
      </c>
      <c r="F373" s="7" t="n">
        <f aca="false">C373*D373</f>
        <v>881.5</v>
      </c>
      <c r="G373" s="7" t="n">
        <f aca="false">ROUND(F373*0.2,2)</f>
        <v>176.3</v>
      </c>
      <c r="H373" s="4" t="str">
        <f aca="false">IF(F373&gt;500,"Yüksek",IF(F373&gt;100,"Orta","Düşük"))</f>
        <v>Yüksek</v>
      </c>
    </row>
    <row r="374" customFormat="false" ht="12.8" hidden="false" customHeight="false" outlineLevel="0" collapsed="false">
      <c r="A374" s="4" t="s">
        <v>12</v>
      </c>
      <c r="B374" s="4" t="s">
        <v>13</v>
      </c>
      <c r="C374" s="4" t="n">
        <v>48</v>
      </c>
      <c r="D374" s="5" t="n">
        <v>24.25</v>
      </c>
      <c r="E374" s="6" t="n">
        <f aca="false">DATE(2024,12,8)</f>
        <v>45634</v>
      </c>
      <c r="F374" s="7" t="n">
        <f aca="false">C374*D374</f>
        <v>1164</v>
      </c>
      <c r="G374" s="7" t="n">
        <f aca="false">ROUND(F374*0.2,2)</f>
        <v>232.8</v>
      </c>
      <c r="H374" s="4" t="str">
        <f aca="false">IF(F374&gt;500,"Yüksek",IF(F374&gt;100,"Orta","Düşük"))</f>
        <v>Yüksek</v>
      </c>
    </row>
    <row r="375" customFormat="false" ht="12.8" hidden="false" customHeight="false" outlineLevel="0" collapsed="false">
      <c r="A375" s="4" t="s">
        <v>14</v>
      </c>
      <c r="B375" s="4" t="s">
        <v>15</v>
      </c>
      <c r="C375" s="4" t="n">
        <v>5</v>
      </c>
      <c r="D375" s="5" t="n">
        <v>27</v>
      </c>
      <c r="E375" s="6" t="n">
        <f aca="false">DATE(2024,1,9)</f>
        <v>45300</v>
      </c>
      <c r="F375" s="7" t="n">
        <f aca="false">C375*D375</f>
        <v>135</v>
      </c>
      <c r="G375" s="7" t="n">
        <f aca="false">ROUND(F375*0.2,2)</f>
        <v>27</v>
      </c>
      <c r="H375" s="4" t="str">
        <f aca="false">IF(F375&gt;500,"Yüksek",IF(F375&gt;100,"Orta","Düşük"))</f>
        <v>Orta</v>
      </c>
    </row>
    <row r="376" customFormat="false" ht="12.8" hidden="false" customHeight="false" outlineLevel="0" collapsed="false">
      <c r="A376" s="4" t="s">
        <v>16</v>
      </c>
      <c r="B376" s="4" t="s">
        <v>17</v>
      </c>
      <c r="C376" s="4" t="n">
        <v>12</v>
      </c>
      <c r="D376" s="5" t="n">
        <v>29.75</v>
      </c>
      <c r="E376" s="6" t="n">
        <f aca="false">DATE(2024,2,10)</f>
        <v>45332</v>
      </c>
      <c r="F376" s="7" t="n">
        <f aca="false">C376*D376</f>
        <v>357</v>
      </c>
      <c r="G376" s="7" t="n">
        <f aca="false">ROUND(F376*0.2,2)</f>
        <v>71.4</v>
      </c>
      <c r="H376" s="4" t="str">
        <f aca="false">IF(F376&gt;500,"Yüksek",IF(F376&gt;100,"Orta","Düşük"))</f>
        <v>Orta</v>
      </c>
    </row>
    <row r="377" customFormat="false" ht="12.8" hidden="false" customHeight="false" outlineLevel="0" collapsed="false">
      <c r="A377" s="4" t="s">
        <v>18</v>
      </c>
      <c r="B377" s="4" t="s">
        <v>19</v>
      </c>
      <c r="C377" s="4" t="n">
        <v>19</v>
      </c>
      <c r="D377" s="5" t="n">
        <v>32.5</v>
      </c>
      <c r="E377" s="6" t="n">
        <f aca="false">DATE(2024,3,11)</f>
        <v>45362</v>
      </c>
      <c r="F377" s="7" t="n">
        <f aca="false">C377*D377</f>
        <v>617.5</v>
      </c>
      <c r="G377" s="7" t="n">
        <f aca="false">ROUND(F377*0.2,2)</f>
        <v>123.5</v>
      </c>
      <c r="H377" s="4" t="str">
        <f aca="false">IF(F377&gt;500,"Yüksek",IF(F377&gt;100,"Orta","Düşük"))</f>
        <v>Yüksek</v>
      </c>
    </row>
    <row r="378" customFormat="false" ht="12.8" hidden="false" customHeight="false" outlineLevel="0" collapsed="false">
      <c r="A378" s="4" t="s">
        <v>20</v>
      </c>
      <c r="B378" s="4" t="s">
        <v>11</v>
      </c>
      <c r="C378" s="4" t="n">
        <v>26</v>
      </c>
      <c r="D378" s="5" t="n">
        <v>35.25</v>
      </c>
      <c r="E378" s="6" t="n">
        <f aca="false">DATE(2024,4,12)</f>
        <v>45394</v>
      </c>
      <c r="F378" s="7" t="n">
        <f aca="false">C378*D378</f>
        <v>916.5</v>
      </c>
      <c r="G378" s="7" t="n">
        <f aca="false">ROUND(F378*0.2,2)</f>
        <v>183.3</v>
      </c>
      <c r="H378" s="4" t="str">
        <f aca="false">IF(F378&gt;500,"Yüksek",IF(F378&gt;100,"Orta","Düşük"))</f>
        <v>Yüksek</v>
      </c>
    </row>
    <row r="379" customFormat="false" ht="12.8" hidden="false" customHeight="false" outlineLevel="0" collapsed="false">
      <c r="A379" s="4" t="s">
        <v>21</v>
      </c>
      <c r="B379" s="4" t="s">
        <v>13</v>
      </c>
      <c r="C379" s="4" t="n">
        <v>33</v>
      </c>
      <c r="D379" s="5" t="n">
        <v>38</v>
      </c>
      <c r="E379" s="6" t="n">
        <f aca="false">DATE(2024,5,13)</f>
        <v>45425</v>
      </c>
      <c r="F379" s="7" t="n">
        <f aca="false">C379*D379</f>
        <v>1254</v>
      </c>
      <c r="G379" s="7" t="n">
        <f aca="false">ROUND(F379*0.2,2)</f>
        <v>250.8</v>
      </c>
      <c r="H379" s="4" t="str">
        <f aca="false">IF(F379&gt;500,"Yüksek",IF(F379&gt;100,"Orta","Düşük"))</f>
        <v>Yüksek</v>
      </c>
    </row>
    <row r="380" customFormat="false" ht="12.8" hidden="false" customHeight="false" outlineLevel="0" collapsed="false">
      <c r="A380" s="4" t="s">
        <v>22</v>
      </c>
      <c r="B380" s="4" t="s">
        <v>15</v>
      </c>
      <c r="C380" s="4" t="n">
        <v>40</v>
      </c>
      <c r="D380" s="5" t="n">
        <v>5</v>
      </c>
      <c r="E380" s="6" t="n">
        <f aca="false">DATE(2024,6,14)</f>
        <v>45457</v>
      </c>
      <c r="F380" s="7" t="n">
        <f aca="false">C380*D380</f>
        <v>200</v>
      </c>
      <c r="G380" s="7" t="n">
        <f aca="false">ROUND(F380*0.2,2)</f>
        <v>40</v>
      </c>
      <c r="H380" s="4" t="str">
        <f aca="false">IF(F380&gt;500,"Yüksek",IF(F380&gt;100,"Orta","Düşük"))</f>
        <v>Orta</v>
      </c>
    </row>
    <row r="381" customFormat="false" ht="12.8" hidden="false" customHeight="false" outlineLevel="0" collapsed="false">
      <c r="A381" s="4" t="s">
        <v>23</v>
      </c>
      <c r="B381" s="4" t="s">
        <v>17</v>
      </c>
      <c r="C381" s="4" t="n">
        <v>47</v>
      </c>
      <c r="D381" s="5" t="n">
        <v>7.75</v>
      </c>
      <c r="E381" s="6" t="n">
        <f aca="false">DATE(2024,7,15)</f>
        <v>45488</v>
      </c>
      <c r="F381" s="7" t="n">
        <f aca="false">C381*D381</f>
        <v>364.25</v>
      </c>
      <c r="G381" s="7" t="n">
        <f aca="false">ROUND(F381*0.2,2)</f>
        <v>72.85</v>
      </c>
      <c r="H381" s="4" t="str">
        <f aca="false">IF(F381&gt;500,"Yüksek",IF(F381&gt;100,"Orta","Düşük"))</f>
        <v>Orta</v>
      </c>
    </row>
    <row r="382" customFormat="false" ht="12.8" hidden="false" customHeight="false" outlineLevel="0" collapsed="false">
      <c r="A382" s="4" t="s">
        <v>24</v>
      </c>
      <c r="B382" s="4" t="s">
        <v>19</v>
      </c>
      <c r="C382" s="4" t="n">
        <v>4</v>
      </c>
      <c r="D382" s="5" t="n">
        <v>10.5</v>
      </c>
      <c r="E382" s="6" t="n">
        <f aca="false">DATE(2024,8,16)</f>
        <v>45520</v>
      </c>
      <c r="F382" s="7" t="n">
        <f aca="false">C382*D382</f>
        <v>42</v>
      </c>
      <c r="G382" s="7" t="n">
        <f aca="false">ROUND(F382*0.2,2)</f>
        <v>8.4</v>
      </c>
      <c r="H382" s="4" t="str">
        <f aca="false">IF(F382&gt;500,"Yüksek",IF(F382&gt;100,"Orta","Düşük"))</f>
        <v>Düşük</v>
      </c>
    </row>
    <row r="383" customFormat="false" ht="12.8" hidden="false" customHeight="false" outlineLevel="0" collapsed="false">
      <c r="A383" s="4" t="s">
        <v>10</v>
      </c>
      <c r="B383" s="4" t="s">
        <v>11</v>
      </c>
      <c r="C383" s="4" t="n">
        <v>11</v>
      </c>
      <c r="D383" s="5" t="n">
        <v>13.25</v>
      </c>
      <c r="E383" s="6" t="n">
        <f aca="false">DATE(2024,9,17)</f>
        <v>45552</v>
      </c>
      <c r="F383" s="7" t="n">
        <f aca="false">C383*D383</f>
        <v>145.75</v>
      </c>
      <c r="G383" s="7" t="n">
        <f aca="false">ROUND(F383*0.2,2)</f>
        <v>29.15</v>
      </c>
      <c r="H383" s="4" t="str">
        <f aca="false">IF(F383&gt;500,"Yüksek",IF(F383&gt;100,"Orta","Düşük"))</f>
        <v>Orta</v>
      </c>
    </row>
    <row r="384" customFormat="false" ht="12.8" hidden="false" customHeight="false" outlineLevel="0" collapsed="false">
      <c r="A384" s="4" t="s">
        <v>12</v>
      </c>
      <c r="B384" s="4" t="s">
        <v>13</v>
      </c>
      <c r="C384" s="4" t="n">
        <v>18</v>
      </c>
      <c r="D384" s="5" t="n">
        <v>16</v>
      </c>
      <c r="E384" s="6" t="n">
        <f aca="false">DATE(2024,10,18)</f>
        <v>45583</v>
      </c>
      <c r="F384" s="7" t="n">
        <f aca="false">C384*D384</f>
        <v>288</v>
      </c>
      <c r="G384" s="7" t="n">
        <f aca="false">ROUND(F384*0.2,2)</f>
        <v>57.6</v>
      </c>
      <c r="H384" s="4" t="str">
        <f aca="false">IF(F384&gt;500,"Yüksek",IF(F384&gt;100,"Orta","Düşük"))</f>
        <v>Orta</v>
      </c>
    </row>
    <row r="385" customFormat="false" ht="12.8" hidden="false" customHeight="false" outlineLevel="0" collapsed="false">
      <c r="A385" s="4" t="s">
        <v>14</v>
      </c>
      <c r="B385" s="4" t="s">
        <v>15</v>
      </c>
      <c r="C385" s="4" t="n">
        <v>25</v>
      </c>
      <c r="D385" s="5" t="n">
        <v>18.75</v>
      </c>
      <c r="E385" s="6" t="n">
        <f aca="false">DATE(2024,11,19)</f>
        <v>45615</v>
      </c>
      <c r="F385" s="7" t="n">
        <f aca="false">C385*D385</f>
        <v>468.75</v>
      </c>
      <c r="G385" s="7" t="n">
        <f aca="false">ROUND(F385*0.2,2)</f>
        <v>93.75</v>
      </c>
      <c r="H385" s="4" t="str">
        <f aca="false">IF(F385&gt;500,"Yüksek",IF(F385&gt;100,"Orta","Düşük"))</f>
        <v>Orta</v>
      </c>
    </row>
    <row r="386" customFormat="false" ht="12.8" hidden="false" customHeight="false" outlineLevel="0" collapsed="false">
      <c r="A386" s="4" t="s">
        <v>16</v>
      </c>
      <c r="B386" s="4" t="s">
        <v>17</v>
      </c>
      <c r="C386" s="4" t="n">
        <v>32</v>
      </c>
      <c r="D386" s="5" t="n">
        <v>21.5</v>
      </c>
      <c r="E386" s="6" t="n">
        <f aca="false">DATE(2024,12,20)</f>
        <v>45646</v>
      </c>
      <c r="F386" s="7" t="n">
        <f aca="false">C386*D386</f>
        <v>688</v>
      </c>
      <c r="G386" s="7" t="n">
        <f aca="false">ROUND(F386*0.2,2)</f>
        <v>137.6</v>
      </c>
      <c r="H386" s="4" t="str">
        <f aca="false">IF(F386&gt;500,"Yüksek",IF(F386&gt;100,"Orta","Düşük"))</f>
        <v>Yüksek</v>
      </c>
    </row>
    <row r="387" customFormat="false" ht="12.8" hidden="false" customHeight="false" outlineLevel="0" collapsed="false">
      <c r="A387" s="4" t="s">
        <v>18</v>
      </c>
      <c r="B387" s="4" t="s">
        <v>19</v>
      </c>
      <c r="C387" s="4" t="n">
        <v>39</v>
      </c>
      <c r="D387" s="5" t="n">
        <v>24.25</v>
      </c>
      <c r="E387" s="6" t="n">
        <f aca="false">DATE(2024,1,21)</f>
        <v>45312</v>
      </c>
      <c r="F387" s="7" t="n">
        <f aca="false">C387*D387</f>
        <v>945.75</v>
      </c>
      <c r="G387" s="7" t="n">
        <f aca="false">ROUND(F387*0.2,2)</f>
        <v>189.15</v>
      </c>
      <c r="H387" s="4" t="str">
        <f aca="false">IF(F387&gt;500,"Yüksek",IF(F387&gt;100,"Orta","Düşük"))</f>
        <v>Yüksek</v>
      </c>
    </row>
    <row r="388" customFormat="false" ht="12.8" hidden="false" customHeight="false" outlineLevel="0" collapsed="false">
      <c r="A388" s="4" t="s">
        <v>20</v>
      </c>
      <c r="B388" s="4" t="s">
        <v>11</v>
      </c>
      <c r="C388" s="4" t="n">
        <v>46</v>
      </c>
      <c r="D388" s="5" t="n">
        <v>27</v>
      </c>
      <c r="E388" s="6" t="n">
        <f aca="false">DATE(2024,2,22)</f>
        <v>45344</v>
      </c>
      <c r="F388" s="7" t="n">
        <f aca="false">C388*D388</f>
        <v>1242</v>
      </c>
      <c r="G388" s="7" t="n">
        <f aca="false">ROUND(F388*0.2,2)</f>
        <v>248.4</v>
      </c>
      <c r="H388" s="4" t="str">
        <f aca="false">IF(F388&gt;500,"Yüksek",IF(F388&gt;100,"Orta","Düşük"))</f>
        <v>Yüksek</v>
      </c>
    </row>
    <row r="389" customFormat="false" ht="12.8" hidden="false" customHeight="false" outlineLevel="0" collapsed="false">
      <c r="A389" s="4" t="s">
        <v>21</v>
      </c>
      <c r="B389" s="4" t="s">
        <v>13</v>
      </c>
      <c r="C389" s="4" t="n">
        <v>3</v>
      </c>
      <c r="D389" s="5" t="n">
        <v>29.75</v>
      </c>
      <c r="E389" s="6" t="n">
        <f aca="false">DATE(2024,3,23)</f>
        <v>45374</v>
      </c>
      <c r="F389" s="7" t="n">
        <f aca="false">C389*D389</f>
        <v>89.25</v>
      </c>
      <c r="G389" s="7" t="n">
        <f aca="false">ROUND(F389*0.2,2)</f>
        <v>17.85</v>
      </c>
      <c r="H389" s="4" t="str">
        <f aca="false">IF(F389&gt;500,"Yüksek",IF(F389&gt;100,"Orta","Düşük"))</f>
        <v>Düşük</v>
      </c>
    </row>
    <row r="390" customFormat="false" ht="12.8" hidden="false" customHeight="false" outlineLevel="0" collapsed="false">
      <c r="A390" s="4" t="s">
        <v>22</v>
      </c>
      <c r="B390" s="4" t="s">
        <v>15</v>
      </c>
      <c r="C390" s="4" t="n">
        <v>10</v>
      </c>
      <c r="D390" s="5" t="n">
        <v>32.5</v>
      </c>
      <c r="E390" s="6" t="n">
        <f aca="false">DATE(2024,4,24)</f>
        <v>45406</v>
      </c>
      <c r="F390" s="7" t="n">
        <f aca="false">C390*D390</f>
        <v>325</v>
      </c>
      <c r="G390" s="7" t="n">
        <f aca="false">ROUND(F390*0.2,2)</f>
        <v>65</v>
      </c>
      <c r="H390" s="4" t="str">
        <f aca="false">IF(F390&gt;500,"Yüksek",IF(F390&gt;100,"Orta","Düşük"))</f>
        <v>Orta</v>
      </c>
    </row>
    <row r="391" customFormat="false" ht="12.8" hidden="false" customHeight="false" outlineLevel="0" collapsed="false">
      <c r="A391" s="4" t="s">
        <v>23</v>
      </c>
      <c r="B391" s="4" t="s">
        <v>17</v>
      </c>
      <c r="C391" s="4" t="n">
        <v>17</v>
      </c>
      <c r="D391" s="5" t="n">
        <v>35.25</v>
      </c>
      <c r="E391" s="6" t="n">
        <f aca="false">DATE(2024,5,25)</f>
        <v>45437</v>
      </c>
      <c r="F391" s="7" t="n">
        <f aca="false">C391*D391</f>
        <v>599.25</v>
      </c>
      <c r="G391" s="7" t="n">
        <f aca="false">ROUND(F391*0.2,2)</f>
        <v>119.85</v>
      </c>
      <c r="H391" s="4" t="str">
        <f aca="false">IF(F391&gt;500,"Yüksek",IF(F391&gt;100,"Orta","Düşük"))</f>
        <v>Yüksek</v>
      </c>
    </row>
    <row r="392" customFormat="false" ht="12.8" hidden="false" customHeight="false" outlineLevel="0" collapsed="false">
      <c r="A392" s="4" t="s">
        <v>24</v>
      </c>
      <c r="B392" s="4" t="s">
        <v>19</v>
      </c>
      <c r="C392" s="4" t="n">
        <v>24</v>
      </c>
      <c r="D392" s="5" t="n">
        <v>38</v>
      </c>
      <c r="E392" s="6" t="n">
        <f aca="false">DATE(2024,6,26)</f>
        <v>45469</v>
      </c>
      <c r="F392" s="7" t="n">
        <f aca="false">C392*D392</f>
        <v>912</v>
      </c>
      <c r="G392" s="7" t="n">
        <f aca="false">ROUND(F392*0.2,2)</f>
        <v>182.4</v>
      </c>
      <c r="H392" s="4" t="str">
        <f aca="false">IF(F392&gt;500,"Yüksek",IF(F392&gt;100,"Orta","Düşük"))</f>
        <v>Yüksek</v>
      </c>
    </row>
    <row r="393" customFormat="false" ht="12.8" hidden="false" customHeight="false" outlineLevel="0" collapsed="false">
      <c r="A393" s="4" t="s">
        <v>10</v>
      </c>
      <c r="B393" s="4" t="s">
        <v>11</v>
      </c>
      <c r="C393" s="4" t="n">
        <v>31</v>
      </c>
      <c r="D393" s="5" t="n">
        <v>5</v>
      </c>
      <c r="E393" s="6" t="n">
        <f aca="false">DATE(2024,7,27)</f>
        <v>45500</v>
      </c>
      <c r="F393" s="7" t="n">
        <f aca="false">C393*D393</f>
        <v>155</v>
      </c>
      <c r="G393" s="7" t="n">
        <f aca="false">ROUND(F393*0.2,2)</f>
        <v>31</v>
      </c>
      <c r="H393" s="4" t="str">
        <f aca="false">IF(F393&gt;500,"Yüksek",IF(F393&gt;100,"Orta","Düşük"))</f>
        <v>Orta</v>
      </c>
    </row>
    <row r="394" customFormat="false" ht="12.8" hidden="false" customHeight="false" outlineLevel="0" collapsed="false">
      <c r="A394" s="4" t="s">
        <v>12</v>
      </c>
      <c r="B394" s="4" t="s">
        <v>13</v>
      </c>
      <c r="C394" s="4" t="n">
        <v>38</v>
      </c>
      <c r="D394" s="5" t="n">
        <v>7.75</v>
      </c>
      <c r="E394" s="6" t="n">
        <f aca="false">DATE(2024,8,28)</f>
        <v>45532</v>
      </c>
      <c r="F394" s="7" t="n">
        <f aca="false">C394*D394</f>
        <v>294.5</v>
      </c>
      <c r="G394" s="7" t="n">
        <f aca="false">ROUND(F394*0.2,2)</f>
        <v>58.9</v>
      </c>
      <c r="H394" s="4" t="str">
        <f aca="false">IF(F394&gt;500,"Yüksek",IF(F394&gt;100,"Orta","Düşük"))</f>
        <v>Orta</v>
      </c>
    </row>
    <row r="395" customFormat="false" ht="12.8" hidden="false" customHeight="false" outlineLevel="0" collapsed="false">
      <c r="A395" s="4" t="s">
        <v>14</v>
      </c>
      <c r="B395" s="4" t="s">
        <v>15</v>
      </c>
      <c r="C395" s="4" t="n">
        <v>45</v>
      </c>
      <c r="D395" s="5" t="n">
        <v>10.5</v>
      </c>
      <c r="E395" s="6" t="n">
        <f aca="false">DATE(2024,9,1)</f>
        <v>45536</v>
      </c>
      <c r="F395" s="7" t="n">
        <f aca="false">C395*D395</f>
        <v>472.5</v>
      </c>
      <c r="G395" s="7" t="n">
        <f aca="false">ROUND(F395*0.2,2)</f>
        <v>94.5</v>
      </c>
      <c r="H395" s="4" t="str">
        <f aca="false">IF(F395&gt;500,"Yüksek",IF(F395&gt;100,"Orta","Düşük"))</f>
        <v>Orta</v>
      </c>
    </row>
    <row r="396" customFormat="false" ht="12.8" hidden="false" customHeight="false" outlineLevel="0" collapsed="false">
      <c r="A396" s="4" t="s">
        <v>16</v>
      </c>
      <c r="B396" s="4" t="s">
        <v>17</v>
      </c>
      <c r="C396" s="4" t="n">
        <v>2</v>
      </c>
      <c r="D396" s="5" t="n">
        <v>13.25</v>
      </c>
      <c r="E396" s="6" t="n">
        <f aca="false">DATE(2024,10,2)</f>
        <v>45567</v>
      </c>
      <c r="F396" s="7" t="n">
        <f aca="false">C396*D396</f>
        <v>26.5</v>
      </c>
      <c r="G396" s="7" t="n">
        <f aca="false">ROUND(F396*0.2,2)</f>
        <v>5.3</v>
      </c>
      <c r="H396" s="4" t="str">
        <f aca="false">IF(F396&gt;500,"Yüksek",IF(F396&gt;100,"Orta","Düşük"))</f>
        <v>Düşük</v>
      </c>
    </row>
    <row r="397" customFormat="false" ht="12.8" hidden="false" customHeight="false" outlineLevel="0" collapsed="false">
      <c r="A397" s="4" t="s">
        <v>18</v>
      </c>
      <c r="B397" s="4" t="s">
        <v>19</v>
      </c>
      <c r="C397" s="4" t="n">
        <v>9</v>
      </c>
      <c r="D397" s="5" t="n">
        <v>16</v>
      </c>
      <c r="E397" s="6" t="n">
        <f aca="false">DATE(2024,11,3)</f>
        <v>45599</v>
      </c>
      <c r="F397" s="7" t="n">
        <f aca="false">C397*D397</f>
        <v>144</v>
      </c>
      <c r="G397" s="7" t="n">
        <f aca="false">ROUND(F397*0.2,2)</f>
        <v>28.8</v>
      </c>
      <c r="H397" s="4" t="str">
        <f aca="false">IF(F397&gt;500,"Yüksek",IF(F397&gt;100,"Orta","Düşük"))</f>
        <v>Orta</v>
      </c>
    </row>
    <row r="398" customFormat="false" ht="12.8" hidden="false" customHeight="false" outlineLevel="0" collapsed="false">
      <c r="A398" s="4" t="s">
        <v>20</v>
      </c>
      <c r="B398" s="4" t="s">
        <v>11</v>
      </c>
      <c r="C398" s="4" t="n">
        <v>16</v>
      </c>
      <c r="D398" s="5" t="n">
        <v>18.75</v>
      </c>
      <c r="E398" s="6" t="n">
        <f aca="false">DATE(2024,12,4)</f>
        <v>45630</v>
      </c>
      <c r="F398" s="7" t="n">
        <f aca="false">C398*D398</f>
        <v>300</v>
      </c>
      <c r="G398" s="7" t="n">
        <f aca="false">ROUND(F398*0.2,2)</f>
        <v>60</v>
      </c>
      <c r="H398" s="4" t="str">
        <f aca="false">IF(F398&gt;500,"Yüksek",IF(F398&gt;100,"Orta","Düşük"))</f>
        <v>Orta</v>
      </c>
    </row>
    <row r="399" customFormat="false" ht="12.8" hidden="false" customHeight="false" outlineLevel="0" collapsed="false">
      <c r="A399" s="4" t="s">
        <v>21</v>
      </c>
      <c r="B399" s="4" t="s">
        <v>13</v>
      </c>
      <c r="C399" s="4" t="n">
        <v>23</v>
      </c>
      <c r="D399" s="5" t="n">
        <v>21.5</v>
      </c>
      <c r="E399" s="6" t="n">
        <f aca="false">DATE(2024,1,5)</f>
        <v>45296</v>
      </c>
      <c r="F399" s="7" t="n">
        <f aca="false">C399*D399</f>
        <v>494.5</v>
      </c>
      <c r="G399" s="7" t="n">
        <f aca="false">ROUND(F399*0.2,2)</f>
        <v>98.9</v>
      </c>
      <c r="H399" s="4" t="str">
        <f aca="false">IF(F399&gt;500,"Yüksek",IF(F399&gt;100,"Orta","Düşük"))</f>
        <v>Orta</v>
      </c>
    </row>
    <row r="400" customFormat="false" ht="12.8" hidden="false" customHeight="false" outlineLevel="0" collapsed="false">
      <c r="A400" s="4" t="s">
        <v>22</v>
      </c>
      <c r="B400" s="4" t="s">
        <v>15</v>
      </c>
      <c r="C400" s="4" t="n">
        <v>30</v>
      </c>
      <c r="D400" s="5" t="n">
        <v>24.25</v>
      </c>
      <c r="E400" s="6" t="n">
        <f aca="false">DATE(2024,2,6)</f>
        <v>45328</v>
      </c>
      <c r="F400" s="7" t="n">
        <f aca="false">C400*D400</f>
        <v>727.5</v>
      </c>
      <c r="G400" s="7" t="n">
        <f aca="false">ROUND(F400*0.2,2)</f>
        <v>145.5</v>
      </c>
      <c r="H400" s="4" t="str">
        <f aca="false">IF(F400&gt;500,"Yüksek",IF(F400&gt;100,"Orta","Düşük"))</f>
        <v>Yüksek</v>
      </c>
    </row>
    <row r="401" customFormat="false" ht="12.8" hidden="false" customHeight="false" outlineLevel="0" collapsed="false">
      <c r="A401" s="4" t="s">
        <v>23</v>
      </c>
      <c r="B401" s="4" t="s">
        <v>17</v>
      </c>
      <c r="C401" s="4" t="n">
        <v>37</v>
      </c>
      <c r="D401" s="5" t="n">
        <v>27</v>
      </c>
      <c r="E401" s="6" t="n">
        <f aca="false">DATE(2024,3,7)</f>
        <v>45358</v>
      </c>
      <c r="F401" s="7" t="n">
        <f aca="false">C401*D401</f>
        <v>999</v>
      </c>
      <c r="G401" s="7" t="n">
        <f aca="false">ROUND(F401*0.2,2)</f>
        <v>199.8</v>
      </c>
      <c r="H401" s="4" t="str">
        <f aca="false">IF(F401&gt;500,"Yüksek",IF(F401&gt;100,"Orta","Düşük"))</f>
        <v>Yüksek</v>
      </c>
    </row>
    <row r="402" customFormat="false" ht="12.8" hidden="false" customHeight="false" outlineLevel="0" collapsed="false">
      <c r="A402" s="4" t="s">
        <v>24</v>
      </c>
      <c r="B402" s="4" t="s">
        <v>19</v>
      </c>
      <c r="C402" s="4" t="n">
        <v>44</v>
      </c>
      <c r="D402" s="5" t="n">
        <v>29.75</v>
      </c>
      <c r="E402" s="6" t="n">
        <f aca="false">DATE(2024,4,8)</f>
        <v>45390</v>
      </c>
      <c r="F402" s="7" t="n">
        <f aca="false">C402*D402</f>
        <v>1309</v>
      </c>
      <c r="G402" s="7" t="n">
        <f aca="false">ROUND(F402*0.2,2)</f>
        <v>261.8</v>
      </c>
      <c r="H402" s="4" t="str">
        <f aca="false">IF(F402&gt;500,"Yüksek",IF(F402&gt;100,"Orta","Düşük"))</f>
        <v>Yüksek</v>
      </c>
    </row>
    <row r="403" customFormat="false" ht="12.8" hidden="false" customHeight="false" outlineLevel="0" collapsed="false">
      <c r="A403" s="4" t="s">
        <v>10</v>
      </c>
      <c r="B403" s="4" t="s">
        <v>11</v>
      </c>
      <c r="C403" s="4" t="n">
        <v>1</v>
      </c>
      <c r="D403" s="5" t="n">
        <v>32.5</v>
      </c>
      <c r="E403" s="6" t="n">
        <f aca="false">DATE(2024,5,9)</f>
        <v>45421</v>
      </c>
      <c r="F403" s="7" t="n">
        <f aca="false">C403*D403</f>
        <v>32.5</v>
      </c>
      <c r="G403" s="7" t="n">
        <f aca="false">ROUND(F403*0.2,2)</f>
        <v>6.5</v>
      </c>
      <c r="H403" s="4" t="str">
        <f aca="false">IF(F403&gt;500,"Yüksek",IF(F403&gt;100,"Orta","Düşük"))</f>
        <v>Düşük</v>
      </c>
    </row>
    <row r="404" customFormat="false" ht="12.8" hidden="false" customHeight="false" outlineLevel="0" collapsed="false">
      <c r="A404" s="4" t="s">
        <v>12</v>
      </c>
      <c r="B404" s="4" t="s">
        <v>13</v>
      </c>
      <c r="C404" s="4" t="n">
        <v>8</v>
      </c>
      <c r="D404" s="5" t="n">
        <v>35.25</v>
      </c>
      <c r="E404" s="6" t="n">
        <f aca="false">DATE(2024,6,10)</f>
        <v>45453</v>
      </c>
      <c r="F404" s="7" t="n">
        <f aca="false">C404*D404</f>
        <v>282</v>
      </c>
      <c r="G404" s="7" t="n">
        <f aca="false">ROUND(F404*0.2,2)</f>
        <v>56.4</v>
      </c>
      <c r="H404" s="4" t="str">
        <f aca="false">IF(F404&gt;500,"Yüksek",IF(F404&gt;100,"Orta","Düşük"))</f>
        <v>Orta</v>
      </c>
    </row>
    <row r="405" customFormat="false" ht="12.8" hidden="false" customHeight="false" outlineLevel="0" collapsed="false">
      <c r="A405" s="4" t="s">
        <v>14</v>
      </c>
      <c r="B405" s="4" t="s">
        <v>15</v>
      </c>
      <c r="C405" s="4" t="n">
        <v>15</v>
      </c>
      <c r="D405" s="5" t="n">
        <v>38</v>
      </c>
      <c r="E405" s="6" t="n">
        <f aca="false">DATE(2024,7,11)</f>
        <v>45484</v>
      </c>
      <c r="F405" s="7" t="n">
        <f aca="false">C405*D405</f>
        <v>570</v>
      </c>
      <c r="G405" s="7" t="n">
        <f aca="false">ROUND(F405*0.2,2)</f>
        <v>114</v>
      </c>
      <c r="H405" s="4" t="str">
        <f aca="false">IF(F405&gt;500,"Yüksek",IF(F405&gt;100,"Orta","Düşük"))</f>
        <v>Yüksek</v>
      </c>
    </row>
    <row r="406" customFormat="false" ht="12.8" hidden="false" customHeight="false" outlineLevel="0" collapsed="false">
      <c r="A406" s="4" t="s">
        <v>16</v>
      </c>
      <c r="B406" s="4" t="s">
        <v>17</v>
      </c>
      <c r="C406" s="4" t="n">
        <v>22</v>
      </c>
      <c r="D406" s="5" t="n">
        <v>5</v>
      </c>
      <c r="E406" s="6" t="n">
        <f aca="false">DATE(2024,8,12)</f>
        <v>45516</v>
      </c>
      <c r="F406" s="7" t="n">
        <f aca="false">C406*D406</f>
        <v>110</v>
      </c>
      <c r="G406" s="7" t="n">
        <f aca="false">ROUND(F406*0.2,2)</f>
        <v>22</v>
      </c>
      <c r="H406" s="4" t="str">
        <f aca="false">IF(F406&gt;500,"Yüksek",IF(F406&gt;100,"Orta","Düşük"))</f>
        <v>Orta</v>
      </c>
    </row>
    <row r="407" customFormat="false" ht="12.8" hidden="false" customHeight="false" outlineLevel="0" collapsed="false">
      <c r="A407" s="4" t="s">
        <v>18</v>
      </c>
      <c r="B407" s="4" t="s">
        <v>19</v>
      </c>
      <c r="C407" s="4" t="n">
        <v>29</v>
      </c>
      <c r="D407" s="5" t="n">
        <v>7.75</v>
      </c>
      <c r="E407" s="6" t="n">
        <f aca="false">DATE(2024,9,13)</f>
        <v>45548</v>
      </c>
      <c r="F407" s="7" t="n">
        <f aca="false">C407*D407</f>
        <v>224.75</v>
      </c>
      <c r="G407" s="7" t="n">
        <f aca="false">ROUND(F407*0.2,2)</f>
        <v>44.95</v>
      </c>
      <c r="H407" s="4" t="str">
        <f aca="false">IF(F407&gt;500,"Yüksek",IF(F407&gt;100,"Orta","Düşük"))</f>
        <v>Orta</v>
      </c>
    </row>
    <row r="408" customFormat="false" ht="12.8" hidden="false" customHeight="false" outlineLevel="0" collapsed="false">
      <c r="A408" s="4" t="s">
        <v>20</v>
      </c>
      <c r="B408" s="4" t="s">
        <v>11</v>
      </c>
      <c r="C408" s="4" t="n">
        <v>36</v>
      </c>
      <c r="D408" s="5" t="n">
        <v>10.5</v>
      </c>
      <c r="E408" s="6" t="n">
        <f aca="false">DATE(2024,10,14)</f>
        <v>45579</v>
      </c>
      <c r="F408" s="7" t="n">
        <f aca="false">C408*D408</f>
        <v>378</v>
      </c>
      <c r="G408" s="7" t="n">
        <f aca="false">ROUND(F408*0.2,2)</f>
        <v>75.6</v>
      </c>
      <c r="H408" s="4" t="str">
        <f aca="false">IF(F408&gt;500,"Yüksek",IF(F408&gt;100,"Orta","Düşük"))</f>
        <v>Orta</v>
      </c>
    </row>
    <row r="409" customFormat="false" ht="12.8" hidden="false" customHeight="false" outlineLevel="0" collapsed="false">
      <c r="A409" s="4" t="s">
        <v>21</v>
      </c>
      <c r="B409" s="4" t="s">
        <v>13</v>
      </c>
      <c r="C409" s="4" t="n">
        <v>43</v>
      </c>
      <c r="D409" s="5" t="n">
        <v>13.25</v>
      </c>
      <c r="E409" s="6" t="n">
        <f aca="false">DATE(2024,11,15)</f>
        <v>45611</v>
      </c>
      <c r="F409" s="7" t="n">
        <f aca="false">C409*D409</f>
        <v>569.75</v>
      </c>
      <c r="G409" s="7" t="n">
        <f aca="false">ROUND(F409*0.2,2)</f>
        <v>113.95</v>
      </c>
      <c r="H409" s="4" t="str">
        <f aca="false">IF(F409&gt;500,"Yüksek",IF(F409&gt;100,"Orta","Düşük"))</f>
        <v>Yüksek</v>
      </c>
    </row>
    <row r="410" customFormat="false" ht="12.8" hidden="false" customHeight="false" outlineLevel="0" collapsed="false">
      <c r="A410" s="4" t="s">
        <v>22</v>
      </c>
      <c r="B410" s="4" t="s">
        <v>15</v>
      </c>
      <c r="C410" s="4" t="n">
        <v>50</v>
      </c>
      <c r="D410" s="5" t="n">
        <v>16</v>
      </c>
      <c r="E410" s="6" t="n">
        <f aca="false">DATE(2024,12,16)</f>
        <v>45642</v>
      </c>
      <c r="F410" s="7" t="n">
        <f aca="false">C410*D410</f>
        <v>800</v>
      </c>
      <c r="G410" s="7" t="n">
        <f aca="false">ROUND(F410*0.2,2)</f>
        <v>160</v>
      </c>
      <c r="H410" s="4" t="str">
        <f aca="false">IF(F410&gt;500,"Yüksek",IF(F410&gt;100,"Orta","Düşük"))</f>
        <v>Yüksek</v>
      </c>
    </row>
    <row r="411" customFormat="false" ht="12.8" hidden="false" customHeight="false" outlineLevel="0" collapsed="false">
      <c r="A411" s="4" t="s">
        <v>23</v>
      </c>
      <c r="B411" s="4" t="s">
        <v>17</v>
      </c>
      <c r="C411" s="4" t="n">
        <v>7</v>
      </c>
      <c r="D411" s="5" t="n">
        <v>18.75</v>
      </c>
      <c r="E411" s="6" t="n">
        <f aca="false">DATE(2024,1,17)</f>
        <v>45308</v>
      </c>
      <c r="F411" s="7" t="n">
        <f aca="false">C411*D411</f>
        <v>131.25</v>
      </c>
      <c r="G411" s="7" t="n">
        <f aca="false">ROUND(F411*0.2,2)</f>
        <v>26.25</v>
      </c>
      <c r="H411" s="4" t="str">
        <f aca="false">IF(F411&gt;500,"Yüksek",IF(F411&gt;100,"Orta","Düşük"))</f>
        <v>Orta</v>
      </c>
    </row>
    <row r="412" customFormat="false" ht="12.8" hidden="false" customHeight="false" outlineLevel="0" collapsed="false">
      <c r="A412" s="4" t="s">
        <v>24</v>
      </c>
      <c r="B412" s="4" t="s">
        <v>19</v>
      </c>
      <c r="C412" s="4" t="n">
        <v>14</v>
      </c>
      <c r="D412" s="5" t="n">
        <v>21.5</v>
      </c>
      <c r="E412" s="6" t="n">
        <f aca="false">DATE(2024,2,18)</f>
        <v>45340</v>
      </c>
      <c r="F412" s="7" t="n">
        <f aca="false">C412*D412</f>
        <v>301</v>
      </c>
      <c r="G412" s="7" t="n">
        <f aca="false">ROUND(F412*0.2,2)</f>
        <v>60.2</v>
      </c>
      <c r="H412" s="4" t="str">
        <f aca="false">IF(F412&gt;500,"Yüksek",IF(F412&gt;100,"Orta","Düşük"))</f>
        <v>Orta</v>
      </c>
    </row>
    <row r="413" customFormat="false" ht="12.8" hidden="false" customHeight="false" outlineLevel="0" collapsed="false">
      <c r="A413" s="4" t="s">
        <v>10</v>
      </c>
      <c r="B413" s="4" t="s">
        <v>11</v>
      </c>
      <c r="C413" s="4" t="n">
        <v>21</v>
      </c>
      <c r="D413" s="5" t="n">
        <v>24.25</v>
      </c>
      <c r="E413" s="6" t="n">
        <f aca="false">DATE(2024,3,19)</f>
        <v>45370</v>
      </c>
      <c r="F413" s="7" t="n">
        <f aca="false">C413*D413</f>
        <v>509.25</v>
      </c>
      <c r="G413" s="7" t="n">
        <f aca="false">ROUND(F413*0.2,2)</f>
        <v>101.85</v>
      </c>
      <c r="H413" s="4" t="str">
        <f aca="false">IF(F413&gt;500,"Yüksek",IF(F413&gt;100,"Orta","Düşük"))</f>
        <v>Yüksek</v>
      </c>
    </row>
    <row r="414" customFormat="false" ht="12.8" hidden="false" customHeight="false" outlineLevel="0" collapsed="false">
      <c r="A414" s="4" t="s">
        <v>12</v>
      </c>
      <c r="B414" s="4" t="s">
        <v>13</v>
      </c>
      <c r="C414" s="4" t="n">
        <v>28</v>
      </c>
      <c r="D414" s="5" t="n">
        <v>27</v>
      </c>
      <c r="E414" s="6" t="n">
        <f aca="false">DATE(2024,4,20)</f>
        <v>45402</v>
      </c>
      <c r="F414" s="7" t="n">
        <f aca="false">C414*D414</f>
        <v>756</v>
      </c>
      <c r="G414" s="7" t="n">
        <f aca="false">ROUND(F414*0.2,2)</f>
        <v>151.2</v>
      </c>
      <c r="H414" s="4" t="str">
        <f aca="false">IF(F414&gt;500,"Yüksek",IF(F414&gt;100,"Orta","Düşük"))</f>
        <v>Yüksek</v>
      </c>
    </row>
    <row r="415" customFormat="false" ht="12.8" hidden="false" customHeight="false" outlineLevel="0" collapsed="false">
      <c r="A415" s="4" t="s">
        <v>14</v>
      </c>
      <c r="B415" s="4" t="s">
        <v>15</v>
      </c>
      <c r="C415" s="4" t="n">
        <v>35</v>
      </c>
      <c r="D415" s="5" t="n">
        <v>29.75</v>
      </c>
      <c r="E415" s="6" t="n">
        <f aca="false">DATE(2024,5,21)</f>
        <v>45433</v>
      </c>
      <c r="F415" s="7" t="n">
        <f aca="false">C415*D415</f>
        <v>1041.25</v>
      </c>
      <c r="G415" s="7" t="n">
        <f aca="false">ROUND(F415*0.2,2)</f>
        <v>208.25</v>
      </c>
      <c r="H415" s="4" t="str">
        <f aca="false">IF(F415&gt;500,"Yüksek",IF(F415&gt;100,"Orta","Düşük"))</f>
        <v>Yüksek</v>
      </c>
    </row>
    <row r="416" customFormat="false" ht="12.8" hidden="false" customHeight="false" outlineLevel="0" collapsed="false">
      <c r="A416" s="4" t="s">
        <v>16</v>
      </c>
      <c r="B416" s="4" t="s">
        <v>17</v>
      </c>
      <c r="C416" s="4" t="n">
        <v>42</v>
      </c>
      <c r="D416" s="5" t="n">
        <v>32.5</v>
      </c>
      <c r="E416" s="6" t="n">
        <f aca="false">DATE(2024,6,22)</f>
        <v>45465</v>
      </c>
      <c r="F416" s="7" t="n">
        <f aca="false">C416*D416</f>
        <v>1365</v>
      </c>
      <c r="G416" s="7" t="n">
        <f aca="false">ROUND(F416*0.2,2)</f>
        <v>273</v>
      </c>
      <c r="H416" s="4" t="str">
        <f aca="false">IF(F416&gt;500,"Yüksek",IF(F416&gt;100,"Orta","Düşük"))</f>
        <v>Yüksek</v>
      </c>
    </row>
    <row r="417" customFormat="false" ht="12.8" hidden="false" customHeight="false" outlineLevel="0" collapsed="false">
      <c r="A417" s="4" t="s">
        <v>18</v>
      </c>
      <c r="B417" s="4" t="s">
        <v>19</v>
      </c>
      <c r="C417" s="4" t="n">
        <v>49</v>
      </c>
      <c r="D417" s="5" t="n">
        <v>35.25</v>
      </c>
      <c r="E417" s="6" t="n">
        <f aca="false">DATE(2024,7,23)</f>
        <v>45496</v>
      </c>
      <c r="F417" s="7" t="n">
        <f aca="false">C417*D417</f>
        <v>1727.25</v>
      </c>
      <c r="G417" s="7" t="n">
        <f aca="false">ROUND(F417*0.2,2)</f>
        <v>345.45</v>
      </c>
      <c r="H417" s="4" t="str">
        <f aca="false">IF(F417&gt;500,"Yüksek",IF(F417&gt;100,"Orta","Düşük"))</f>
        <v>Yüksek</v>
      </c>
    </row>
    <row r="418" customFormat="false" ht="12.8" hidden="false" customHeight="false" outlineLevel="0" collapsed="false">
      <c r="A418" s="4" t="s">
        <v>20</v>
      </c>
      <c r="B418" s="4" t="s">
        <v>11</v>
      </c>
      <c r="C418" s="4" t="n">
        <v>6</v>
      </c>
      <c r="D418" s="5" t="n">
        <v>38</v>
      </c>
      <c r="E418" s="6" t="n">
        <f aca="false">DATE(2024,8,24)</f>
        <v>45528</v>
      </c>
      <c r="F418" s="7" t="n">
        <f aca="false">C418*D418</f>
        <v>228</v>
      </c>
      <c r="G418" s="7" t="n">
        <f aca="false">ROUND(F418*0.2,2)</f>
        <v>45.6</v>
      </c>
      <c r="H418" s="4" t="str">
        <f aca="false">IF(F418&gt;500,"Yüksek",IF(F418&gt;100,"Orta","Düşük"))</f>
        <v>Orta</v>
      </c>
    </row>
    <row r="419" customFormat="false" ht="12.8" hidden="false" customHeight="false" outlineLevel="0" collapsed="false">
      <c r="A419" s="4" t="s">
        <v>21</v>
      </c>
      <c r="B419" s="4" t="s">
        <v>13</v>
      </c>
      <c r="C419" s="4" t="n">
        <v>13</v>
      </c>
      <c r="D419" s="5" t="n">
        <v>5</v>
      </c>
      <c r="E419" s="6" t="n">
        <f aca="false">DATE(2024,9,25)</f>
        <v>45560</v>
      </c>
      <c r="F419" s="7" t="n">
        <f aca="false">C419*D419</f>
        <v>65</v>
      </c>
      <c r="G419" s="7" t="n">
        <f aca="false">ROUND(F419*0.2,2)</f>
        <v>13</v>
      </c>
      <c r="H419" s="4" t="str">
        <f aca="false">IF(F419&gt;500,"Yüksek",IF(F419&gt;100,"Orta","Düşük"))</f>
        <v>Düşük</v>
      </c>
    </row>
    <row r="420" customFormat="false" ht="12.8" hidden="false" customHeight="false" outlineLevel="0" collapsed="false">
      <c r="A420" s="4" t="s">
        <v>22</v>
      </c>
      <c r="B420" s="4" t="s">
        <v>15</v>
      </c>
      <c r="C420" s="4" t="n">
        <v>20</v>
      </c>
      <c r="D420" s="5" t="n">
        <v>7.75</v>
      </c>
      <c r="E420" s="6" t="n">
        <f aca="false">DATE(2024,10,26)</f>
        <v>45591</v>
      </c>
      <c r="F420" s="7" t="n">
        <f aca="false">C420*D420</f>
        <v>155</v>
      </c>
      <c r="G420" s="7" t="n">
        <f aca="false">ROUND(F420*0.2,2)</f>
        <v>31</v>
      </c>
      <c r="H420" s="4" t="str">
        <f aca="false">IF(F420&gt;500,"Yüksek",IF(F420&gt;100,"Orta","Düşük"))</f>
        <v>Orta</v>
      </c>
    </row>
    <row r="421" customFormat="false" ht="12.8" hidden="false" customHeight="false" outlineLevel="0" collapsed="false">
      <c r="A421" s="4" t="s">
        <v>23</v>
      </c>
      <c r="B421" s="4" t="s">
        <v>17</v>
      </c>
      <c r="C421" s="4" t="n">
        <v>27</v>
      </c>
      <c r="D421" s="5" t="n">
        <v>10.5</v>
      </c>
      <c r="E421" s="6" t="n">
        <f aca="false">DATE(2024,11,27)</f>
        <v>45623</v>
      </c>
      <c r="F421" s="7" t="n">
        <f aca="false">C421*D421</f>
        <v>283.5</v>
      </c>
      <c r="G421" s="7" t="n">
        <f aca="false">ROUND(F421*0.2,2)</f>
        <v>56.7</v>
      </c>
      <c r="H421" s="4" t="str">
        <f aca="false">IF(F421&gt;500,"Yüksek",IF(F421&gt;100,"Orta","Düşük"))</f>
        <v>Orta</v>
      </c>
    </row>
    <row r="422" customFormat="false" ht="12.8" hidden="false" customHeight="false" outlineLevel="0" collapsed="false">
      <c r="A422" s="4" t="s">
        <v>24</v>
      </c>
      <c r="B422" s="4" t="s">
        <v>19</v>
      </c>
      <c r="C422" s="4" t="n">
        <v>34</v>
      </c>
      <c r="D422" s="5" t="n">
        <v>13.25</v>
      </c>
      <c r="E422" s="6" t="n">
        <f aca="false">DATE(2024,12,28)</f>
        <v>45654</v>
      </c>
      <c r="F422" s="7" t="n">
        <f aca="false">C422*D422</f>
        <v>450.5</v>
      </c>
      <c r="G422" s="7" t="n">
        <f aca="false">ROUND(F422*0.2,2)</f>
        <v>90.1</v>
      </c>
      <c r="H422" s="4" t="str">
        <f aca="false">IF(F422&gt;500,"Yüksek",IF(F422&gt;100,"Orta","Düşük"))</f>
        <v>Orta</v>
      </c>
    </row>
    <row r="423" customFormat="false" ht="12.8" hidden="false" customHeight="false" outlineLevel="0" collapsed="false">
      <c r="A423" s="4" t="s">
        <v>10</v>
      </c>
      <c r="B423" s="4" t="s">
        <v>11</v>
      </c>
      <c r="C423" s="4" t="n">
        <v>41</v>
      </c>
      <c r="D423" s="5" t="n">
        <v>16</v>
      </c>
      <c r="E423" s="6" t="n">
        <f aca="false">DATE(2024,1,1)</f>
        <v>45292</v>
      </c>
      <c r="F423" s="7" t="n">
        <f aca="false">C423*D423</f>
        <v>656</v>
      </c>
      <c r="G423" s="7" t="n">
        <f aca="false">ROUND(F423*0.2,2)</f>
        <v>131.2</v>
      </c>
      <c r="H423" s="4" t="str">
        <f aca="false">IF(F423&gt;500,"Yüksek",IF(F423&gt;100,"Orta","Düşük"))</f>
        <v>Yüksek</v>
      </c>
    </row>
    <row r="424" customFormat="false" ht="12.8" hidden="false" customHeight="false" outlineLevel="0" collapsed="false">
      <c r="A424" s="4" t="s">
        <v>12</v>
      </c>
      <c r="B424" s="4" t="s">
        <v>13</v>
      </c>
      <c r="C424" s="4" t="n">
        <v>48</v>
      </c>
      <c r="D424" s="5" t="n">
        <v>18.75</v>
      </c>
      <c r="E424" s="6" t="n">
        <f aca="false">DATE(2024,2,2)</f>
        <v>45324</v>
      </c>
      <c r="F424" s="7" t="n">
        <f aca="false">C424*D424</f>
        <v>900</v>
      </c>
      <c r="G424" s="7" t="n">
        <f aca="false">ROUND(F424*0.2,2)</f>
        <v>180</v>
      </c>
      <c r="H424" s="4" t="str">
        <f aca="false">IF(F424&gt;500,"Yüksek",IF(F424&gt;100,"Orta","Düşük"))</f>
        <v>Yüksek</v>
      </c>
    </row>
    <row r="425" customFormat="false" ht="12.8" hidden="false" customHeight="false" outlineLevel="0" collapsed="false">
      <c r="A425" s="4" t="s">
        <v>14</v>
      </c>
      <c r="B425" s="4" t="s">
        <v>15</v>
      </c>
      <c r="C425" s="4" t="n">
        <v>5</v>
      </c>
      <c r="D425" s="5" t="n">
        <v>21.5</v>
      </c>
      <c r="E425" s="6" t="n">
        <f aca="false">DATE(2024,3,3)</f>
        <v>45354</v>
      </c>
      <c r="F425" s="7" t="n">
        <f aca="false">C425*D425</f>
        <v>107.5</v>
      </c>
      <c r="G425" s="7" t="n">
        <f aca="false">ROUND(F425*0.2,2)</f>
        <v>21.5</v>
      </c>
      <c r="H425" s="4" t="str">
        <f aca="false">IF(F425&gt;500,"Yüksek",IF(F425&gt;100,"Orta","Düşük"))</f>
        <v>Orta</v>
      </c>
    </row>
    <row r="426" customFormat="false" ht="12.8" hidden="false" customHeight="false" outlineLevel="0" collapsed="false">
      <c r="A426" s="4" t="s">
        <v>16</v>
      </c>
      <c r="B426" s="4" t="s">
        <v>17</v>
      </c>
      <c r="C426" s="4" t="n">
        <v>12</v>
      </c>
      <c r="D426" s="5" t="n">
        <v>24.25</v>
      </c>
      <c r="E426" s="6" t="n">
        <f aca="false">DATE(2024,4,4)</f>
        <v>45386</v>
      </c>
      <c r="F426" s="7" t="n">
        <f aca="false">C426*D426</f>
        <v>291</v>
      </c>
      <c r="G426" s="7" t="n">
        <f aca="false">ROUND(F426*0.2,2)</f>
        <v>58.2</v>
      </c>
      <c r="H426" s="4" t="str">
        <f aca="false">IF(F426&gt;500,"Yüksek",IF(F426&gt;100,"Orta","Düşük"))</f>
        <v>Orta</v>
      </c>
    </row>
    <row r="427" customFormat="false" ht="12.8" hidden="false" customHeight="false" outlineLevel="0" collapsed="false">
      <c r="A427" s="4" t="s">
        <v>18</v>
      </c>
      <c r="B427" s="4" t="s">
        <v>19</v>
      </c>
      <c r="C427" s="4" t="n">
        <v>19</v>
      </c>
      <c r="D427" s="5" t="n">
        <v>27</v>
      </c>
      <c r="E427" s="6" t="n">
        <f aca="false">DATE(2024,5,5)</f>
        <v>45417</v>
      </c>
      <c r="F427" s="7" t="n">
        <f aca="false">C427*D427</f>
        <v>513</v>
      </c>
      <c r="G427" s="7" t="n">
        <f aca="false">ROUND(F427*0.2,2)</f>
        <v>102.6</v>
      </c>
      <c r="H427" s="4" t="str">
        <f aca="false">IF(F427&gt;500,"Yüksek",IF(F427&gt;100,"Orta","Düşük"))</f>
        <v>Yüksek</v>
      </c>
    </row>
    <row r="428" customFormat="false" ht="12.8" hidden="false" customHeight="false" outlineLevel="0" collapsed="false">
      <c r="A428" s="4" t="s">
        <v>20</v>
      </c>
      <c r="B428" s="4" t="s">
        <v>11</v>
      </c>
      <c r="C428" s="4" t="n">
        <v>26</v>
      </c>
      <c r="D428" s="5" t="n">
        <v>29.75</v>
      </c>
      <c r="E428" s="6" t="n">
        <f aca="false">DATE(2024,6,6)</f>
        <v>45449</v>
      </c>
      <c r="F428" s="7" t="n">
        <f aca="false">C428*D428</f>
        <v>773.5</v>
      </c>
      <c r="G428" s="7" t="n">
        <f aca="false">ROUND(F428*0.2,2)</f>
        <v>154.7</v>
      </c>
      <c r="H428" s="4" t="str">
        <f aca="false">IF(F428&gt;500,"Yüksek",IF(F428&gt;100,"Orta","Düşük"))</f>
        <v>Yüksek</v>
      </c>
    </row>
    <row r="429" customFormat="false" ht="12.8" hidden="false" customHeight="false" outlineLevel="0" collapsed="false">
      <c r="A429" s="4" t="s">
        <v>21</v>
      </c>
      <c r="B429" s="4" t="s">
        <v>13</v>
      </c>
      <c r="C429" s="4" t="n">
        <v>33</v>
      </c>
      <c r="D429" s="5" t="n">
        <v>32.5</v>
      </c>
      <c r="E429" s="6" t="n">
        <f aca="false">DATE(2024,7,7)</f>
        <v>45480</v>
      </c>
      <c r="F429" s="7" t="n">
        <f aca="false">C429*D429</f>
        <v>1072.5</v>
      </c>
      <c r="G429" s="7" t="n">
        <f aca="false">ROUND(F429*0.2,2)</f>
        <v>214.5</v>
      </c>
      <c r="H429" s="4" t="str">
        <f aca="false">IF(F429&gt;500,"Yüksek",IF(F429&gt;100,"Orta","Düşük"))</f>
        <v>Yüksek</v>
      </c>
    </row>
    <row r="430" customFormat="false" ht="12.8" hidden="false" customHeight="false" outlineLevel="0" collapsed="false">
      <c r="A430" s="4" t="s">
        <v>22</v>
      </c>
      <c r="B430" s="4" t="s">
        <v>15</v>
      </c>
      <c r="C430" s="4" t="n">
        <v>40</v>
      </c>
      <c r="D430" s="5" t="n">
        <v>35.25</v>
      </c>
      <c r="E430" s="6" t="n">
        <f aca="false">DATE(2024,8,8)</f>
        <v>45512</v>
      </c>
      <c r="F430" s="7" t="n">
        <f aca="false">C430*D430</f>
        <v>1410</v>
      </c>
      <c r="G430" s="7" t="n">
        <f aca="false">ROUND(F430*0.2,2)</f>
        <v>282</v>
      </c>
      <c r="H430" s="4" t="str">
        <f aca="false">IF(F430&gt;500,"Yüksek",IF(F430&gt;100,"Orta","Düşük"))</f>
        <v>Yüksek</v>
      </c>
    </row>
    <row r="431" customFormat="false" ht="12.8" hidden="false" customHeight="false" outlineLevel="0" collapsed="false">
      <c r="A431" s="4" t="s">
        <v>23</v>
      </c>
      <c r="B431" s="4" t="s">
        <v>17</v>
      </c>
      <c r="C431" s="4" t="n">
        <v>47</v>
      </c>
      <c r="D431" s="5" t="n">
        <v>38</v>
      </c>
      <c r="E431" s="6" t="n">
        <f aca="false">DATE(2024,9,9)</f>
        <v>45544</v>
      </c>
      <c r="F431" s="7" t="n">
        <f aca="false">C431*D431</f>
        <v>1786</v>
      </c>
      <c r="G431" s="7" t="n">
        <f aca="false">ROUND(F431*0.2,2)</f>
        <v>357.2</v>
      </c>
      <c r="H431" s="4" t="str">
        <f aca="false">IF(F431&gt;500,"Yüksek",IF(F431&gt;100,"Orta","Düşük"))</f>
        <v>Yüksek</v>
      </c>
    </row>
    <row r="432" customFormat="false" ht="12.8" hidden="false" customHeight="false" outlineLevel="0" collapsed="false">
      <c r="A432" s="4" t="s">
        <v>24</v>
      </c>
      <c r="B432" s="4" t="s">
        <v>19</v>
      </c>
      <c r="C432" s="4" t="n">
        <v>4</v>
      </c>
      <c r="D432" s="5" t="n">
        <v>5</v>
      </c>
      <c r="E432" s="6" t="n">
        <f aca="false">DATE(2024,10,10)</f>
        <v>45575</v>
      </c>
      <c r="F432" s="7" t="n">
        <f aca="false">C432*D432</f>
        <v>20</v>
      </c>
      <c r="G432" s="7" t="n">
        <f aca="false">ROUND(F432*0.2,2)</f>
        <v>4</v>
      </c>
      <c r="H432" s="4" t="str">
        <f aca="false">IF(F432&gt;500,"Yüksek",IF(F432&gt;100,"Orta","Düşük"))</f>
        <v>Düşük</v>
      </c>
    </row>
    <row r="433" customFormat="false" ht="12.8" hidden="false" customHeight="false" outlineLevel="0" collapsed="false">
      <c r="A433" s="4" t="s">
        <v>10</v>
      </c>
      <c r="B433" s="4" t="s">
        <v>11</v>
      </c>
      <c r="C433" s="4" t="n">
        <v>11</v>
      </c>
      <c r="D433" s="5" t="n">
        <v>7.75</v>
      </c>
      <c r="E433" s="6" t="n">
        <f aca="false">DATE(2024,11,11)</f>
        <v>45607</v>
      </c>
      <c r="F433" s="7" t="n">
        <f aca="false">C433*D433</f>
        <v>85.25</v>
      </c>
      <c r="G433" s="7" t="n">
        <f aca="false">ROUND(F433*0.2,2)</f>
        <v>17.05</v>
      </c>
      <c r="H433" s="4" t="str">
        <f aca="false">IF(F433&gt;500,"Yüksek",IF(F433&gt;100,"Orta","Düşük"))</f>
        <v>Düşük</v>
      </c>
    </row>
    <row r="434" customFormat="false" ht="12.8" hidden="false" customHeight="false" outlineLevel="0" collapsed="false">
      <c r="A434" s="4" t="s">
        <v>12</v>
      </c>
      <c r="B434" s="4" t="s">
        <v>13</v>
      </c>
      <c r="C434" s="4" t="n">
        <v>18</v>
      </c>
      <c r="D434" s="5" t="n">
        <v>10.5</v>
      </c>
      <c r="E434" s="6" t="n">
        <f aca="false">DATE(2024,12,12)</f>
        <v>45638</v>
      </c>
      <c r="F434" s="7" t="n">
        <f aca="false">C434*D434</f>
        <v>189</v>
      </c>
      <c r="G434" s="7" t="n">
        <f aca="false">ROUND(F434*0.2,2)</f>
        <v>37.8</v>
      </c>
      <c r="H434" s="4" t="str">
        <f aca="false">IF(F434&gt;500,"Yüksek",IF(F434&gt;100,"Orta","Düşük"))</f>
        <v>Orta</v>
      </c>
    </row>
    <row r="435" customFormat="false" ht="12.8" hidden="false" customHeight="false" outlineLevel="0" collapsed="false">
      <c r="A435" s="4" t="s">
        <v>14</v>
      </c>
      <c r="B435" s="4" t="s">
        <v>15</v>
      </c>
      <c r="C435" s="4" t="n">
        <v>25</v>
      </c>
      <c r="D435" s="5" t="n">
        <v>13.25</v>
      </c>
      <c r="E435" s="6" t="n">
        <f aca="false">DATE(2024,1,13)</f>
        <v>45304</v>
      </c>
      <c r="F435" s="7" t="n">
        <f aca="false">C435*D435</f>
        <v>331.25</v>
      </c>
      <c r="G435" s="7" t="n">
        <f aca="false">ROUND(F435*0.2,2)</f>
        <v>66.25</v>
      </c>
      <c r="H435" s="4" t="str">
        <f aca="false">IF(F435&gt;500,"Yüksek",IF(F435&gt;100,"Orta","Düşük"))</f>
        <v>Orta</v>
      </c>
    </row>
    <row r="436" customFormat="false" ht="12.8" hidden="false" customHeight="false" outlineLevel="0" collapsed="false">
      <c r="A436" s="4" t="s">
        <v>16</v>
      </c>
      <c r="B436" s="4" t="s">
        <v>17</v>
      </c>
      <c r="C436" s="4" t="n">
        <v>32</v>
      </c>
      <c r="D436" s="5" t="n">
        <v>16</v>
      </c>
      <c r="E436" s="6" t="n">
        <f aca="false">DATE(2024,2,14)</f>
        <v>45336</v>
      </c>
      <c r="F436" s="7" t="n">
        <f aca="false">C436*D436</f>
        <v>512</v>
      </c>
      <c r="G436" s="7" t="n">
        <f aca="false">ROUND(F436*0.2,2)</f>
        <v>102.4</v>
      </c>
      <c r="H436" s="4" t="str">
        <f aca="false">IF(F436&gt;500,"Yüksek",IF(F436&gt;100,"Orta","Düşük"))</f>
        <v>Yüksek</v>
      </c>
    </row>
    <row r="437" customFormat="false" ht="12.8" hidden="false" customHeight="false" outlineLevel="0" collapsed="false">
      <c r="A437" s="4" t="s">
        <v>18</v>
      </c>
      <c r="B437" s="4" t="s">
        <v>19</v>
      </c>
      <c r="C437" s="4" t="n">
        <v>39</v>
      </c>
      <c r="D437" s="5" t="n">
        <v>18.75</v>
      </c>
      <c r="E437" s="6" t="n">
        <f aca="false">DATE(2024,3,15)</f>
        <v>45366</v>
      </c>
      <c r="F437" s="7" t="n">
        <f aca="false">C437*D437</f>
        <v>731.25</v>
      </c>
      <c r="G437" s="7" t="n">
        <f aca="false">ROUND(F437*0.2,2)</f>
        <v>146.25</v>
      </c>
      <c r="H437" s="4" t="str">
        <f aca="false">IF(F437&gt;500,"Yüksek",IF(F437&gt;100,"Orta","Düşük"))</f>
        <v>Yüksek</v>
      </c>
    </row>
    <row r="438" customFormat="false" ht="12.8" hidden="false" customHeight="false" outlineLevel="0" collapsed="false">
      <c r="A438" s="4" t="s">
        <v>20</v>
      </c>
      <c r="B438" s="4" t="s">
        <v>11</v>
      </c>
      <c r="C438" s="4" t="n">
        <v>46</v>
      </c>
      <c r="D438" s="5" t="n">
        <v>21.5</v>
      </c>
      <c r="E438" s="6" t="n">
        <f aca="false">DATE(2024,4,16)</f>
        <v>45398</v>
      </c>
      <c r="F438" s="7" t="n">
        <f aca="false">C438*D438</f>
        <v>989</v>
      </c>
      <c r="G438" s="7" t="n">
        <f aca="false">ROUND(F438*0.2,2)</f>
        <v>197.8</v>
      </c>
      <c r="H438" s="4" t="str">
        <f aca="false">IF(F438&gt;500,"Yüksek",IF(F438&gt;100,"Orta","Düşük"))</f>
        <v>Yüksek</v>
      </c>
    </row>
    <row r="439" customFormat="false" ht="12.8" hidden="false" customHeight="false" outlineLevel="0" collapsed="false">
      <c r="A439" s="4" t="s">
        <v>21</v>
      </c>
      <c r="B439" s="4" t="s">
        <v>13</v>
      </c>
      <c r="C439" s="4" t="n">
        <v>3</v>
      </c>
      <c r="D439" s="5" t="n">
        <v>24.25</v>
      </c>
      <c r="E439" s="6" t="n">
        <f aca="false">DATE(2024,5,17)</f>
        <v>45429</v>
      </c>
      <c r="F439" s="7" t="n">
        <f aca="false">C439*D439</f>
        <v>72.75</v>
      </c>
      <c r="G439" s="7" t="n">
        <f aca="false">ROUND(F439*0.2,2)</f>
        <v>14.55</v>
      </c>
      <c r="H439" s="4" t="str">
        <f aca="false">IF(F439&gt;500,"Yüksek",IF(F439&gt;100,"Orta","Düşük"))</f>
        <v>Düşük</v>
      </c>
    </row>
    <row r="440" customFormat="false" ht="12.8" hidden="false" customHeight="false" outlineLevel="0" collapsed="false">
      <c r="A440" s="4" t="s">
        <v>22</v>
      </c>
      <c r="B440" s="4" t="s">
        <v>15</v>
      </c>
      <c r="C440" s="4" t="n">
        <v>10</v>
      </c>
      <c r="D440" s="5" t="n">
        <v>27</v>
      </c>
      <c r="E440" s="6" t="n">
        <f aca="false">DATE(2024,6,18)</f>
        <v>45461</v>
      </c>
      <c r="F440" s="7" t="n">
        <f aca="false">C440*D440</f>
        <v>270</v>
      </c>
      <c r="G440" s="7" t="n">
        <f aca="false">ROUND(F440*0.2,2)</f>
        <v>54</v>
      </c>
      <c r="H440" s="4" t="str">
        <f aca="false">IF(F440&gt;500,"Yüksek",IF(F440&gt;100,"Orta","Düşük"))</f>
        <v>Orta</v>
      </c>
    </row>
    <row r="441" customFormat="false" ht="12.8" hidden="false" customHeight="false" outlineLevel="0" collapsed="false">
      <c r="A441" s="4" t="s">
        <v>23</v>
      </c>
      <c r="B441" s="4" t="s">
        <v>17</v>
      </c>
      <c r="C441" s="4" t="n">
        <v>17</v>
      </c>
      <c r="D441" s="5" t="n">
        <v>29.75</v>
      </c>
      <c r="E441" s="6" t="n">
        <f aca="false">DATE(2024,7,19)</f>
        <v>45492</v>
      </c>
      <c r="F441" s="7" t="n">
        <f aca="false">C441*D441</f>
        <v>505.75</v>
      </c>
      <c r="G441" s="7" t="n">
        <f aca="false">ROUND(F441*0.2,2)</f>
        <v>101.15</v>
      </c>
      <c r="H441" s="4" t="str">
        <f aca="false">IF(F441&gt;500,"Yüksek",IF(F441&gt;100,"Orta","Düşük"))</f>
        <v>Yüksek</v>
      </c>
    </row>
    <row r="442" customFormat="false" ht="12.8" hidden="false" customHeight="false" outlineLevel="0" collapsed="false">
      <c r="A442" s="4" t="s">
        <v>24</v>
      </c>
      <c r="B442" s="4" t="s">
        <v>19</v>
      </c>
      <c r="C442" s="4" t="n">
        <v>24</v>
      </c>
      <c r="D442" s="5" t="n">
        <v>32.5</v>
      </c>
      <c r="E442" s="6" t="n">
        <f aca="false">DATE(2024,8,20)</f>
        <v>45524</v>
      </c>
      <c r="F442" s="7" t="n">
        <f aca="false">C442*D442</f>
        <v>780</v>
      </c>
      <c r="G442" s="7" t="n">
        <f aca="false">ROUND(F442*0.2,2)</f>
        <v>156</v>
      </c>
      <c r="H442" s="4" t="str">
        <f aca="false">IF(F442&gt;500,"Yüksek",IF(F442&gt;100,"Orta","Düşük"))</f>
        <v>Yüksek</v>
      </c>
    </row>
    <row r="443" customFormat="false" ht="12.8" hidden="false" customHeight="false" outlineLevel="0" collapsed="false">
      <c r="A443" s="4" t="s">
        <v>10</v>
      </c>
      <c r="B443" s="4" t="s">
        <v>11</v>
      </c>
      <c r="C443" s="4" t="n">
        <v>31</v>
      </c>
      <c r="D443" s="5" t="n">
        <v>35.25</v>
      </c>
      <c r="E443" s="6" t="n">
        <f aca="false">DATE(2024,9,21)</f>
        <v>45556</v>
      </c>
      <c r="F443" s="7" t="n">
        <f aca="false">C443*D443</f>
        <v>1092.75</v>
      </c>
      <c r="G443" s="7" t="n">
        <f aca="false">ROUND(F443*0.2,2)</f>
        <v>218.55</v>
      </c>
      <c r="H443" s="4" t="str">
        <f aca="false">IF(F443&gt;500,"Yüksek",IF(F443&gt;100,"Orta","Düşük"))</f>
        <v>Yüksek</v>
      </c>
    </row>
    <row r="444" customFormat="false" ht="12.8" hidden="false" customHeight="false" outlineLevel="0" collapsed="false">
      <c r="A444" s="4" t="s">
        <v>12</v>
      </c>
      <c r="B444" s="4" t="s">
        <v>13</v>
      </c>
      <c r="C444" s="4" t="n">
        <v>38</v>
      </c>
      <c r="D444" s="5" t="n">
        <v>38</v>
      </c>
      <c r="E444" s="6" t="n">
        <f aca="false">DATE(2024,10,22)</f>
        <v>45587</v>
      </c>
      <c r="F444" s="7" t="n">
        <f aca="false">C444*D444</f>
        <v>1444</v>
      </c>
      <c r="G444" s="7" t="n">
        <f aca="false">ROUND(F444*0.2,2)</f>
        <v>288.8</v>
      </c>
      <c r="H444" s="4" t="str">
        <f aca="false">IF(F444&gt;500,"Yüksek",IF(F444&gt;100,"Orta","Düşük"))</f>
        <v>Yüksek</v>
      </c>
    </row>
    <row r="445" customFormat="false" ht="12.8" hidden="false" customHeight="false" outlineLevel="0" collapsed="false">
      <c r="A445" s="4" t="s">
        <v>14</v>
      </c>
      <c r="B445" s="4" t="s">
        <v>15</v>
      </c>
      <c r="C445" s="4" t="n">
        <v>45</v>
      </c>
      <c r="D445" s="5" t="n">
        <v>5</v>
      </c>
      <c r="E445" s="6" t="n">
        <f aca="false">DATE(2024,11,23)</f>
        <v>45619</v>
      </c>
      <c r="F445" s="7" t="n">
        <f aca="false">C445*D445</f>
        <v>225</v>
      </c>
      <c r="G445" s="7" t="n">
        <f aca="false">ROUND(F445*0.2,2)</f>
        <v>45</v>
      </c>
      <c r="H445" s="4" t="str">
        <f aca="false">IF(F445&gt;500,"Yüksek",IF(F445&gt;100,"Orta","Düşük"))</f>
        <v>Orta</v>
      </c>
    </row>
    <row r="446" customFormat="false" ht="12.8" hidden="false" customHeight="false" outlineLevel="0" collapsed="false">
      <c r="A446" s="4" t="s">
        <v>16</v>
      </c>
      <c r="B446" s="4" t="s">
        <v>17</v>
      </c>
      <c r="C446" s="4" t="n">
        <v>2</v>
      </c>
      <c r="D446" s="5" t="n">
        <v>7.75</v>
      </c>
      <c r="E446" s="6" t="n">
        <f aca="false">DATE(2024,12,24)</f>
        <v>45650</v>
      </c>
      <c r="F446" s="7" t="n">
        <f aca="false">C446*D446</f>
        <v>15.5</v>
      </c>
      <c r="G446" s="7" t="n">
        <f aca="false">ROUND(F446*0.2,2)</f>
        <v>3.1</v>
      </c>
      <c r="H446" s="4" t="str">
        <f aca="false">IF(F446&gt;500,"Yüksek",IF(F446&gt;100,"Orta","Düşük"))</f>
        <v>Düşük</v>
      </c>
    </row>
    <row r="447" customFormat="false" ht="12.8" hidden="false" customHeight="false" outlineLevel="0" collapsed="false">
      <c r="A447" s="4" t="s">
        <v>18</v>
      </c>
      <c r="B447" s="4" t="s">
        <v>19</v>
      </c>
      <c r="C447" s="4" t="n">
        <v>9</v>
      </c>
      <c r="D447" s="5" t="n">
        <v>10.5</v>
      </c>
      <c r="E447" s="6" t="n">
        <f aca="false">DATE(2024,1,25)</f>
        <v>45316</v>
      </c>
      <c r="F447" s="7" t="n">
        <f aca="false">C447*D447</f>
        <v>94.5</v>
      </c>
      <c r="G447" s="7" t="n">
        <f aca="false">ROUND(F447*0.2,2)</f>
        <v>18.9</v>
      </c>
      <c r="H447" s="4" t="str">
        <f aca="false">IF(F447&gt;500,"Yüksek",IF(F447&gt;100,"Orta","Düşük"))</f>
        <v>Düşük</v>
      </c>
    </row>
    <row r="448" customFormat="false" ht="12.8" hidden="false" customHeight="false" outlineLevel="0" collapsed="false">
      <c r="A448" s="4" t="s">
        <v>20</v>
      </c>
      <c r="B448" s="4" t="s">
        <v>11</v>
      </c>
      <c r="C448" s="4" t="n">
        <v>16</v>
      </c>
      <c r="D448" s="5" t="n">
        <v>13.25</v>
      </c>
      <c r="E448" s="6" t="n">
        <f aca="false">DATE(2024,2,26)</f>
        <v>45348</v>
      </c>
      <c r="F448" s="7" t="n">
        <f aca="false">C448*D448</f>
        <v>212</v>
      </c>
      <c r="G448" s="7" t="n">
        <f aca="false">ROUND(F448*0.2,2)</f>
        <v>42.4</v>
      </c>
      <c r="H448" s="4" t="str">
        <f aca="false">IF(F448&gt;500,"Yüksek",IF(F448&gt;100,"Orta","Düşük"))</f>
        <v>Orta</v>
      </c>
    </row>
    <row r="449" customFormat="false" ht="12.8" hidden="false" customHeight="false" outlineLevel="0" collapsed="false">
      <c r="A449" s="4" t="s">
        <v>21</v>
      </c>
      <c r="B449" s="4" t="s">
        <v>13</v>
      </c>
      <c r="C449" s="4" t="n">
        <v>23</v>
      </c>
      <c r="D449" s="5" t="n">
        <v>16</v>
      </c>
      <c r="E449" s="6" t="n">
        <f aca="false">DATE(2024,3,27)</f>
        <v>45378</v>
      </c>
      <c r="F449" s="7" t="n">
        <f aca="false">C449*D449</f>
        <v>368</v>
      </c>
      <c r="G449" s="7" t="n">
        <f aca="false">ROUND(F449*0.2,2)</f>
        <v>73.6</v>
      </c>
      <c r="H449" s="4" t="str">
        <f aca="false">IF(F449&gt;500,"Yüksek",IF(F449&gt;100,"Orta","Düşük"))</f>
        <v>Orta</v>
      </c>
    </row>
    <row r="450" customFormat="false" ht="12.8" hidden="false" customHeight="false" outlineLevel="0" collapsed="false">
      <c r="A450" s="4" t="s">
        <v>22</v>
      </c>
      <c r="B450" s="4" t="s">
        <v>15</v>
      </c>
      <c r="C450" s="4" t="n">
        <v>30</v>
      </c>
      <c r="D450" s="5" t="n">
        <v>18.75</v>
      </c>
      <c r="E450" s="6" t="n">
        <f aca="false">DATE(2024,4,28)</f>
        <v>45410</v>
      </c>
      <c r="F450" s="7" t="n">
        <f aca="false">C450*D450</f>
        <v>562.5</v>
      </c>
      <c r="G450" s="7" t="n">
        <f aca="false">ROUND(F450*0.2,2)</f>
        <v>112.5</v>
      </c>
      <c r="H450" s="4" t="str">
        <f aca="false">IF(F450&gt;500,"Yüksek",IF(F450&gt;100,"Orta","Düşük"))</f>
        <v>Yüksek</v>
      </c>
    </row>
    <row r="451" customFormat="false" ht="12.8" hidden="false" customHeight="false" outlineLevel="0" collapsed="false">
      <c r="A451" s="4" t="s">
        <v>23</v>
      </c>
      <c r="B451" s="4" t="s">
        <v>17</v>
      </c>
      <c r="C451" s="4" t="n">
        <v>37</v>
      </c>
      <c r="D451" s="5" t="n">
        <v>21.5</v>
      </c>
      <c r="E451" s="6" t="n">
        <f aca="false">DATE(2024,5,1)</f>
        <v>45413</v>
      </c>
      <c r="F451" s="7" t="n">
        <f aca="false">C451*D451</f>
        <v>795.5</v>
      </c>
      <c r="G451" s="7" t="n">
        <f aca="false">ROUND(F451*0.2,2)</f>
        <v>159.1</v>
      </c>
      <c r="H451" s="4" t="str">
        <f aca="false">IF(F451&gt;500,"Yüksek",IF(F451&gt;100,"Orta","Düşük"))</f>
        <v>Yüksek</v>
      </c>
    </row>
    <row r="452" customFormat="false" ht="12.8" hidden="false" customHeight="false" outlineLevel="0" collapsed="false">
      <c r="A452" s="4" t="s">
        <v>24</v>
      </c>
      <c r="B452" s="4" t="s">
        <v>19</v>
      </c>
      <c r="C452" s="4" t="n">
        <v>44</v>
      </c>
      <c r="D452" s="5" t="n">
        <v>24.25</v>
      </c>
      <c r="E452" s="6" t="n">
        <f aca="false">DATE(2024,6,2)</f>
        <v>45445</v>
      </c>
      <c r="F452" s="7" t="n">
        <f aca="false">C452*D452</f>
        <v>1067</v>
      </c>
      <c r="G452" s="7" t="n">
        <f aca="false">ROUND(F452*0.2,2)</f>
        <v>213.4</v>
      </c>
      <c r="H452" s="4" t="str">
        <f aca="false">IF(F452&gt;500,"Yüksek",IF(F452&gt;100,"Orta","Düşük"))</f>
        <v>Yüksek</v>
      </c>
    </row>
    <row r="453" customFormat="false" ht="12.8" hidden="false" customHeight="false" outlineLevel="0" collapsed="false">
      <c r="A453" s="4" t="s">
        <v>10</v>
      </c>
      <c r="B453" s="4" t="s">
        <v>11</v>
      </c>
      <c r="C453" s="4" t="n">
        <v>1</v>
      </c>
      <c r="D453" s="5" t="n">
        <v>27</v>
      </c>
      <c r="E453" s="6" t="n">
        <f aca="false">DATE(2024,7,3)</f>
        <v>45476</v>
      </c>
      <c r="F453" s="7" t="n">
        <f aca="false">C453*D453</f>
        <v>27</v>
      </c>
      <c r="G453" s="7" t="n">
        <f aca="false">ROUND(F453*0.2,2)</f>
        <v>5.4</v>
      </c>
      <c r="H453" s="4" t="str">
        <f aca="false">IF(F453&gt;500,"Yüksek",IF(F453&gt;100,"Orta","Düşük"))</f>
        <v>Düşük</v>
      </c>
    </row>
    <row r="454" customFormat="false" ht="12.8" hidden="false" customHeight="false" outlineLevel="0" collapsed="false">
      <c r="A454" s="4" t="s">
        <v>12</v>
      </c>
      <c r="B454" s="4" t="s">
        <v>13</v>
      </c>
      <c r="C454" s="4" t="n">
        <v>8</v>
      </c>
      <c r="D454" s="5" t="n">
        <v>29.75</v>
      </c>
      <c r="E454" s="6" t="n">
        <f aca="false">DATE(2024,8,4)</f>
        <v>45508</v>
      </c>
      <c r="F454" s="7" t="n">
        <f aca="false">C454*D454</f>
        <v>238</v>
      </c>
      <c r="G454" s="7" t="n">
        <f aca="false">ROUND(F454*0.2,2)</f>
        <v>47.6</v>
      </c>
      <c r="H454" s="4" t="str">
        <f aca="false">IF(F454&gt;500,"Yüksek",IF(F454&gt;100,"Orta","Düşük"))</f>
        <v>Orta</v>
      </c>
    </row>
    <row r="455" customFormat="false" ht="12.8" hidden="false" customHeight="false" outlineLevel="0" collapsed="false">
      <c r="A455" s="4" t="s">
        <v>14</v>
      </c>
      <c r="B455" s="4" t="s">
        <v>15</v>
      </c>
      <c r="C455" s="4" t="n">
        <v>15</v>
      </c>
      <c r="D455" s="5" t="n">
        <v>32.5</v>
      </c>
      <c r="E455" s="6" t="n">
        <f aca="false">DATE(2024,9,5)</f>
        <v>45540</v>
      </c>
      <c r="F455" s="7" t="n">
        <f aca="false">C455*D455</f>
        <v>487.5</v>
      </c>
      <c r="G455" s="7" t="n">
        <f aca="false">ROUND(F455*0.2,2)</f>
        <v>97.5</v>
      </c>
      <c r="H455" s="4" t="str">
        <f aca="false">IF(F455&gt;500,"Yüksek",IF(F455&gt;100,"Orta","Düşük"))</f>
        <v>Orta</v>
      </c>
    </row>
    <row r="456" customFormat="false" ht="12.8" hidden="false" customHeight="false" outlineLevel="0" collapsed="false">
      <c r="A456" s="4" t="s">
        <v>16</v>
      </c>
      <c r="B456" s="4" t="s">
        <v>17</v>
      </c>
      <c r="C456" s="4" t="n">
        <v>22</v>
      </c>
      <c r="D456" s="5" t="n">
        <v>35.25</v>
      </c>
      <c r="E456" s="6" t="n">
        <f aca="false">DATE(2024,10,6)</f>
        <v>45571</v>
      </c>
      <c r="F456" s="7" t="n">
        <f aca="false">C456*D456</f>
        <v>775.5</v>
      </c>
      <c r="G456" s="7" t="n">
        <f aca="false">ROUND(F456*0.2,2)</f>
        <v>155.1</v>
      </c>
      <c r="H456" s="4" t="str">
        <f aca="false">IF(F456&gt;500,"Yüksek",IF(F456&gt;100,"Orta","Düşük"))</f>
        <v>Yüksek</v>
      </c>
    </row>
    <row r="457" customFormat="false" ht="12.8" hidden="false" customHeight="false" outlineLevel="0" collapsed="false">
      <c r="A457" s="4" t="s">
        <v>18</v>
      </c>
      <c r="B457" s="4" t="s">
        <v>19</v>
      </c>
      <c r="C457" s="4" t="n">
        <v>29</v>
      </c>
      <c r="D457" s="5" t="n">
        <v>38</v>
      </c>
      <c r="E457" s="6" t="n">
        <f aca="false">DATE(2024,11,7)</f>
        <v>45603</v>
      </c>
      <c r="F457" s="7" t="n">
        <f aca="false">C457*D457</f>
        <v>1102</v>
      </c>
      <c r="G457" s="7" t="n">
        <f aca="false">ROUND(F457*0.2,2)</f>
        <v>220.4</v>
      </c>
      <c r="H457" s="4" t="str">
        <f aca="false">IF(F457&gt;500,"Yüksek",IF(F457&gt;100,"Orta","Düşük"))</f>
        <v>Yüksek</v>
      </c>
    </row>
    <row r="458" customFormat="false" ht="12.8" hidden="false" customHeight="false" outlineLevel="0" collapsed="false">
      <c r="A458" s="4" t="s">
        <v>20</v>
      </c>
      <c r="B458" s="4" t="s">
        <v>11</v>
      </c>
      <c r="C458" s="4" t="n">
        <v>36</v>
      </c>
      <c r="D458" s="5" t="n">
        <v>5</v>
      </c>
      <c r="E458" s="6" t="n">
        <f aca="false">DATE(2024,12,8)</f>
        <v>45634</v>
      </c>
      <c r="F458" s="7" t="n">
        <f aca="false">C458*D458</f>
        <v>180</v>
      </c>
      <c r="G458" s="7" t="n">
        <f aca="false">ROUND(F458*0.2,2)</f>
        <v>36</v>
      </c>
      <c r="H458" s="4" t="str">
        <f aca="false">IF(F458&gt;500,"Yüksek",IF(F458&gt;100,"Orta","Düşük"))</f>
        <v>Orta</v>
      </c>
    </row>
    <row r="459" customFormat="false" ht="12.8" hidden="false" customHeight="false" outlineLevel="0" collapsed="false">
      <c r="A459" s="4" t="s">
        <v>21</v>
      </c>
      <c r="B459" s="4" t="s">
        <v>13</v>
      </c>
      <c r="C459" s="4" t="n">
        <v>43</v>
      </c>
      <c r="D459" s="5" t="n">
        <v>7.75</v>
      </c>
      <c r="E459" s="6" t="n">
        <f aca="false">DATE(2024,1,9)</f>
        <v>45300</v>
      </c>
      <c r="F459" s="7" t="n">
        <f aca="false">C459*D459</f>
        <v>333.25</v>
      </c>
      <c r="G459" s="7" t="n">
        <f aca="false">ROUND(F459*0.2,2)</f>
        <v>66.65</v>
      </c>
      <c r="H459" s="4" t="str">
        <f aca="false">IF(F459&gt;500,"Yüksek",IF(F459&gt;100,"Orta","Düşük"))</f>
        <v>Orta</v>
      </c>
    </row>
    <row r="460" customFormat="false" ht="12.8" hidden="false" customHeight="false" outlineLevel="0" collapsed="false">
      <c r="A460" s="4" t="s">
        <v>22</v>
      </c>
      <c r="B460" s="4" t="s">
        <v>15</v>
      </c>
      <c r="C460" s="4" t="n">
        <v>50</v>
      </c>
      <c r="D460" s="5" t="n">
        <v>10.5</v>
      </c>
      <c r="E460" s="6" t="n">
        <f aca="false">DATE(2024,2,10)</f>
        <v>45332</v>
      </c>
      <c r="F460" s="7" t="n">
        <f aca="false">C460*D460</f>
        <v>525</v>
      </c>
      <c r="G460" s="7" t="n">
        <f aca="false">ROUND(F460*0.2,2)</f>
        <v>105</v>
      </c>
      <c r="H460" s="4" t="str">
        <f aca="false">IF(F460&gt;500,"Yüksek",IF(F460&gt;100,"Orta","Düşük"))</f>
        <v>Yüksek</v>
      </c>
    </row>
    <row r="461" customFormat="false" ht="12.8" hidden="false" customHeight="false" outlineLevel="0" collapsed="false">
      <c r="A461" s="4" t="s">
        <v>23</v>
      </c>
      <c r="B461" s="4" t="s">
        <v>17</v>
      </c>
      <c r="C461" s="4" t="n">
        <v>7</v>
      </c>
      <c r="D461" s="5" t="n">
        <v>13.25</v>
      </c>
      <c r="E461" s="6" t="n">
        <f aca="false">DATE(2024,3,11)</f>
        <v>45362</v>
      </c>
      <c r="F461" s="7" t="n">
        <f aca="false">C461*D461</f>
        <v>92.75</v>
      </c>
      <c r="G461" s="7" t="n">
        <f aca="false">ROUND(F461*0.2,2)</f>
        <v>18.55</v>
      </c>
      <c r="H461" s="4" t="str">
        <f aca="false">IF(F461&gt;500,"Yüksek",IF(F461&gt;100,"Orta","Düşük"))</f>
        <v>Düşük</v>
      </c>
    </row>
    <row r="462" customFormat="false" ht="12.8" hidden="false" customHeight="false" outlineLevel="0" collapsed="false">
      <c r="A462" s="4" t="s">
        <v>24</v>
      </c>
      <c r="B462" s="4" t="s">
        <v>19</v>
      </c>
      <c r="C462" s="4" t="n">
        <v>14</v>
      </c>
      <c r="D462" s="5" t="n">
        <v>16</v>
      </c>
      <c r="E462" s="6" t="n">
        <f aca="false">DATE(2024,4,12)</f>
        <v>45394</v>
      </c>
      <c r="F462" s="7" t="n">
        <f aca="false">C462*D462</f>
        <v>224</v>
      </c>
      <c r="G462" s="7" t="n">
        <f aca="false">ROUND(F462*0.2,2)</f>
        <v>44.8</v>
      </c>
      <c r="H462" s="4" t="str">
        <f aca="false">IF(F462&gt;500,"Yüksek",IF(F462&gt;100,"Orta","Düşük"))</f>
        <v>Orta</v>
      </c>
    </row>
    <row r="463" customFormat="false" ht="12.8" hidden="false" customHeight="false" outlineLevel="0" collapsed="false">
      <c r="A463" s="4" t="s">
        <v>10</v>
      </c>
      <c r="B463" s="4" t="s">
        <v>11</v>
      </c>
      <c r="C463" s="4" t="n">
        <v>21</v>
      </c>
      <c r="D463" s="5" t="n">
        <v>18.75</v>
      </c>
      <c r="E463" s="6" t="n">
        <f aca="false">DATE(2024,5,13)</f>
        <v>45425</v>
      </c>
      <c r="F463" s="7" t="n">
        <f aca="false">C463*D463</f>
        <v>393.75</v>
      </c>
      <c r="G463" s="7" t="n">
        <f aca="false">ROUND(F463*0.2,2)</f>
        <v>78.75</v>
      </c>
      <c r="H463" s="4" t="str">
        <f aca="false">IF(F463&gt;500,"Yüksek",IF(F463&gt;100,"Orta","Düşük"))</f>
        <v>Orta</v>
      </c>
    </row>
    <row r="464" customFormat="false" ht="12.8" hidden="false" customHeight="false" outlineLevel="0" collapsed="false">
      <c r="A464" s="4" t="s">
        <v>12</v>
      </c>
      <c r="B464" s="4" t="s">
        <v>13</v>
      </c>
      <c r="C464" s="4" t="n">
        <v>28</v>
      </c>
      <c r="D464" s="5" t="n">
        <v>21.5</v>
      </c>
      <c r="E464" s="6" t="n">
        <f aca="false">DATE(2024,6,14)</f>
        <v>45457</v>
      </c>
      <c r="F464" s="7" t="n">
        <f aca="false">C464*D464</f>
        <v>602</v>
      </c>
      <c r="G464" s="7" t="n">
        <f aca="false">ROUND(F464*0.2,2)</f>
        <v>120.4</v>
      </c>
      <c r="H464" s="4" t="str">
        <f aca="false">IF(F464&gt;500,"Yüksek",IF(F464&gt;100,"Orta","Düşük"))</f>
        <v>Yüksek</v>
      </c>
    </row>
    <row r="465" customFormat="false" ht="12.8" hidden="false" customHeight="false" outlineLevel="0" collapsed="false">
      <c r="A465" s="4" t="s">
        <v>14</v>
      </c>
      <c r="B465" s="4" t="s">
        <v>15</v>
      </c>
      <c r="C465" s="4" t="n">
        <v>35</v>
      </c>
      <c r="D465" s="5" t="n">
        <v>24.25</v>
      </c>
      <c r="E465" s="6" t="n">
        <f aca="false">DATE(2024,7,15)</f>
        <v>45488</v>
      </c>
      <c r="F465" s="7" t="n">
        <f aca="false">C465*D465</f>
        <v>848.75</v>
      </c>
      <c r="G465" s="7" t="n">
        <f aca="false">ROUND(F465*0.2,2)</f>
        <v>169.75</v>
      </c>
      <c r="H465" s="4" t="str">
        <f aca="false">IF(F465&gt;500,"Yüksek",IF(F465&gt;100,"Orta","Düşük"))</f>
        <v>Yüksek</v>
      </c>
    </row>
    <row r="466" customFormat="false" ht="12.8" hidden="false" customHeight="false" outlineLevel="0" collapsed="false">
      <c r="A466" s="4" t="s">
        <v>16</v>
      </c>
      <c r="B466" s="4" t="s">
        <v>17</v>
      </c>
      <c r="C466" s="4" t="n">
        <v>42</v>
      </c>
      <c r="D466" s="5" t="n">
        <v>27</v>
      </c>
      <c r="E466" s="6" t="n">
        <f aca="false">DATE(2024,8,16)</f>
        <v>45520</v>
      </c>
      <c r="F466" s="7" t="n">
        <f aca="false">C466*D466</f>
        <v>1134</v>
      </c>
      <c r="G466" s="7" t="n">
        <f aca="false">ROUND(F466*0.2,2)</f>
        <v>226.8</v>
      </c>
      <c r="H466" s="4" t="str">
        <f aca="false">IF(F466&gt;500,"Yüksek",IF(F466&gt;100,"Orta","Düşük"))</f>
        <v>Yüksek</v>
      </c>
    </row>
    <row r="467" customFormat="false" ht="12.8" hidden="false" customHeight="false" outlineLevel="0" collapsed="false">
      <c r="A467" s="4" t="s">
        <v>18</v>
      </c>
      <c r="B467" s="4" t="s">
        <v>19</v>
      </c>
      <c r="C467" s="4" t="n">
        <v>49</v>
      </c>
      <c r="D467" s="5" t="n">
        <v>29.75</v>
      </c>
      <c r="E467" s="6" t="n">
        <f aca="false">DATE(2024,9,17)</f>
        <v>45552</v>
      </c>
      <c r="F467" s="7" t="n">
        <f aca="false">C467*D467</f>
        <v>1457.75</v>
      </c>
      <c r="G467" s="7" t="n">
        <f aca="false">ROUND(F467*0.2,2)</f>
        <v>291.55</v>
      </c>
      <c r="H467" s="4" t="str">
        <f aca="false">IF(F467&gt;500,"Yüksek",IF(F467&gt;100,"Orta","Düşük"))</f>
        <v>Yüksek</v>
      </c>
    </row>
    <row r="468" customFormat="false" ht="12.8" hidden="false" customHeight="false" outlineLevel="0" collapsed="false">
      <c r="A468" s="4" t="s">
        <v>20</v>
      </c>
      <c r="B468" s="4" t="s">
        <v>11</v>
      </c>
      <c r="C468" s="4" t="n">
        <v>6</v>
      </c>
      <c r="D468" s="5" t="n">
        <v>32.5</v>
      </c>
      <c r="E468" s="6" t="n">
        <f aca="false">DATE(2024,10,18)</f>
        <v>45583</v>
      </c>
      <c r="F468" s="7" t="n">
        <f aca="false">C468*D468</f>
        <v>195</v>
      </c>
      <c r="G468" s="7" t="n">
        <f aca="false">ROUND(F468*0.2,2)</f>
        <v>39</v>
      </c>
      <c r="H468" s="4" t="str">
        <f aca="false">IF(F468&gt;500,"Yüksek",IF(F468&gt;100,"Orta","Düşük"))</f>
        <v>Orta</v>
      </c>
    </row>
    <row r="469" customFormat="false" ht="12.8" hidden="false" customHeight="false" outlineLevel="0" collapsed="false">
      <c r="A469" s="4" t="s">
        <v>21</v>
      </c>
      <c r="B469" s="4" t="s">
        <v>13</v>
      </c>
      <c r="C469" s="4" t="n">
        <v>13</v>
      </c>
      <c r="D469" s="5" t="n">
        <v>35.25</v>
      </c>
      <c r="E469" s="6" t="n">
        <f aca="false">DATE(2024,11,19)</f>
        <v>45615</v>
      </c>
      <c r="F469" s="7" t="n">
        <f aca="false">C469*D469</f>
        <v>458.25</v>
      </c>
      <c r="G469" s="7" t="n">
        <f aca="false">ROUND(F469*0.2,2)</f>
        <v>91.65</v>
      </c>
      <c r="H469" s="4" t="str">
        <f aca="false">IF(F469&gt;500,"Yüksek",IF(F469&gt;100,"Orta","Düşük"))</f>
        <v>Orta</v>
      </c>
    </row>
    <row r="470" customFormat="false" ht="12.8" hidden="false" customHeight="false" outlineLevel="0" collapsed="false">
      <c r="A470" s="4" t="s">
        <v>22</v>
      </c>
      <c r="B470" s="4" t="s">
        <v>15</v>
      </c>
      <c r="C470" s="4" t="n">
        <v>20</v>
      </c>
      <c r="D470" s="5" t="n">
        <v>38</v>
      </c>
      <c r="E470" s="6" t="n">
        <f aca="false">DATE(2024,12,20)</f>
        <v>45646</v>
      </c>
      <c r="F470" s="7" t="n">
        <f aca="false">C470*D470</f>
        <v>760</v>
      </c>
      <c r="G470" s="7" t="n">
        <f aca="false">ROUND(F470*0.2,2)</f>
        <v>152</v>
      </c>
      <c r="H470" s="4" t="str">
        <f aca="false">IF(F470&gt;500,"Yüksek",IF(F470&gt;100,"Orta","Düşük"))</f>
        <v>Yüksek</v>
      </c>
    </row>
    <row r="471" customFormat="false" ht="12.8" hidden="false" customHeight="false" outlineLevel="0" collapsed="false">
      <c r="A471" s="4" t="s">
        <v>23</v>
      </c>
      <c r="B471" s="4" t="s">
        <v>17</v>
      </c>
      <c r="C471" s="4" t="n">
        <v>27</v>
      </c>
      <c r="D471" s="5" t="n">
        <v>5</v>
      </c>
      <c r="E471" s="6" t="n">
        <f aca="false">DATE(2024,1,21)</f>
        <v>45312</v>
      </c>
      <c r="F471" s="7" t="n">
        <f aca="false">C471*D471</f>
        <v>135</v>
      </c>
      <c r="G471" s="7" t="n">
        <f aca="false">ROUND(F471*0.2,2)</f>
        <v>27</v>
      </c>
      <c r="H471" s="4" t="str">
        <f aca="false">IF(F471&gt;500,"Yüksek",IF(F471&gt;100,"Orta","Düşük"))</f>
        <v>Orta</v>
      </c>
    </row>
    <row r="472" customFormat="false" ht="12.8" hidden="false" customHeight="false" outlineLevel="0" collapsed="false">
      <c r="A472" s="4" t="s">
        <v>24</v>
      </c>
      <c r="B472" s="4" t="s">
        <v>19</v>
      </c>
      <c r="C472" s="4" t="n">
        <v>34</v>
      </c>
      <c r="D472" s="5" t="n">
        <v>7.75</v>
      </c>
      <c r="E472" s="6" t="n">
        <f aca="false">DATE(2024,2,22)</f>
        <v>45344</v>
      </c>
      <c r="F472" s="7" t="n">
        <f aca="false">C472*D472</f>
        <v>263.5</v>
      </c>
      <c r="G472" s="7" t="n">
        <f aca="false">ROUND(F472*0.2,2)</f>
        <v>52.7</v>
      </c>
      <c r="H472" s="4" t="str">
        <f aca="false">IF(F472&gt;500,"Yüksek",IF(F472&gt;100,"Orta","Düşük"))</f>
        <v>Orta</v>
      </c>
    </row>
    <row r="473" customFormat="false" ht="12.8" hidden="false" customHeight="false" outlineLevel="0" collapsed="false">
      <c r="A473" s="4" t="s">
        <v>10</v>
      </c>
      <c r="B473" s="4" t="s">
        <v>11</v>
      </c>
      <c r="C473" s="4" t="n">
        <v>41</v>
      </c>
      <c r="D473" s="5" t="n">
        <v>10.5</v>
      </c>
      <c r="E473" s="6" t="n">
        <f aca="false">DATE(2024,3,23)</f>
        <v>45374</v>
      </c>
      <c r="F473" s="7" t="n">
        <f aca="false">C473*D473</f>
        <v>430.5</v>
      </c>
      <c r="G473" s="7" t="n">
        <f aca="false">ROUND(F473*0.2,2)</f>
        <v>86.1</v>
      </c>
      <c r="H473" s="4" t="str">
        <f aca="false">IF(F473&gt;500,"Yüksek",IF(F473&gt;100,"Orta","Düşük"))</f>
        <v>Orta</v>
      </c>
    </row>
    <row r="474" customFormat="false" ht="12.8" hidden="false" customHeight="false" outlineLevel="0" collapsed="false">
      <c r="A474" s="4" t="s">
        <v>12</v>
      </c>
      <c r="B474" s="4" t="s">
        <v>13</v>
      </c>
      <c r="C474" s="4" t="n">
        <v>48</v>
      </c>
      <c r="D474" s="5" t="n">
        <v>13.25</v>
      </c>
      <c r="E474" s="6" t="n">
        <f aca="false">DATE(2024,4,24)</f>
        <v>45406</v>
      </c>
      <c r="F474" s="7" t="n">
        <f aca="false">C474*D474</f>
        <v>636</v>
      </c>
      <c r="G474" s="7" t="n">
        <f aca="false">ROUND(F474*0.2,2)</f>
        <v>127.2</v>
      </c>
      <c r="H474" s="4" t="str">
        <f aca="false">IF(F474&gt;500,"Yüksek",IF(F474&gt;100,"Orta","Düşük"))</f>
        <v>Yüksek</v>
      </c>
    </row>
    <row r="475" customFormat="false" ht="12.8" hidden="false" customHeight="false" outlineLevel="0" collapsed="false">
      <c r="A475" s="4" t="s">
        <v>14</v>
      </c>
      <c r="B475" s="4" t="s">
        <v>15</v>
      </c>
      <c r="C475" s="4" t="n">
        <v>5</v>
      </c>
      <c r="D475" s="5" t="n">
        <v>16</v>
      </c>
      <c r="E475" s="6" t="n">
        <f aca="false">DATE(2024,5,25)</f>
        <v>45437</v>
      </c>
      <c r="F475" s="7" t="n">
        <f aca="false">C475*D475</f>
        <v>80</v>
      </c>
      <c r="G475" s="7" t="n">
        <f aca="false">ROUND(F475*0.2,2)</f>
        <v>16</v>
      </c>
      <c r="H475" s="4" t="str">
        <f aca="false">IF(F475&gt;500,"Yüksek",IF(F475&gt;100,"Orta","Düşük"))</f>
        <v>Düşük</v>
      </c>
    </row>
    <row r="476" customFormat="false" ht="12.8" hidden="false" customHeight="false" outlineLevel="0" collapsed="false">
      <c r="A476" s="4" t="s">
        <v>16</v>
      </c>
      <c r="B476" s="4" t="s">
        <v>17</v>
      </c>
      <c r="C476" s="4" t="n">
        <v>12</v>
      </c>
      <c r="D476" s="5" t="n">
        <v>18.75</v>
      </c>
      <c r="E476" s="6" t="n">
        <f aca="false">DATE(2024,6,26)</f>
        <v>45469</v>
      </c>
      <c r="F476" s="7" t="n">
        <f aca="false">C476*D476</f>
        <v>225</v>
      </c>
      <c r="G476" s="7" t="n">
        <f aca="false">ROUND(F476*0.2,2)</f>
        <v>45</v>
      </c>
      <c r="H476" s="4" t="str">
        <f aca="false">IF(F476&gt;500,"Yüksek",IF(F476&gt;100,"Orta","Düşük"))</f>
        <v>Orta</v>
      </c>
    </row>
    <row r="477" customFormat="false" ht="12.8" hidden="false" customHeight="false" outlineLevel="0" collapsed="false">
      <c r="A477" s="4" t="s">
        <v>18</v>
      </c>
      <c r="B477" s="4" t="s">
        <v>19</v>
      </c>
      <c r="C477" s="4" t="n">
        <v>19</v>
      </c>
      <c r="D477" s="5" t="n">
        <v>21.5</v>
      </c>
      <c r="E477" s="6" t="n">
        <f aca="false">DATE(2024,7,27)</f>
        <v>45500</v>
      </c>
      <c r="F477" s="7" t="n">
        <f aca="false">C477*D477</f>
        <v>408.5</v>
      </c>
      <c r="G477" s="7" t="n">
        <f aca="false">ROUND(F477*0.2,2)</f>
        <v>81.7</v>
      </c>
      <c r="H477" s="4" t="str">
        <f aca="false">IF(F477&gt;500,"Yüksek",IF(F477&gt;100,"Orta","Düşük"))</f>
        <v>Orta</v>
      </c>
    </row>
    <row r="478" customFormat="false" ht="12.8" hidden="false" customHeight="false" outlineLevel="0" collapsed="false">
      <c r="A478" s="4" t="s">
        <v>20</v>
      </c>
      <c r="B478" s="4" t="s">
        <v>11</v>
      </c>
      <c r="C478" s="4" t="n">
        <v>26</v>
      </c>
      <c r="D478" s="5" t="n">
        <v>24.25</v>
      </c>
      <c r="E478" s="6" t="n">
        <f aca="false">DATE(2024,8,28)</f>
        <v>45532</v>
      </c>
      <c r="F478" s="7" t="n">
        <f aca="false">C478*D478</f>
        <v>630.5</v>
      </c>
      <c r="G478" s="7" t="n">
        <f aca="false">ROUND(F478*0.2,2)</f>
        <v>126.1</v>
      </c>
      <c r="H478" s="4" t="str">
        <f aca="false">IF(F478&gt;500,"Yüksek",IF(F478&gt;100,"Orta","Düşük"))</f>
        <v>Yüksek</v>
      </c>
    </row>
    <row r="479" customFormat="false" ht="12.8" hidden="false" customHeight="false" outlineLevel="0" collapsed="false">
      <c r="A479" s="4" t="s">
        <v>21</v>
      </c>
      <c r="B479" s="4" t="s">
        <v>13</v>
      </c>
      <c r="C479" s="4" t="n">
        <v>33</v>
      </c>
      <c r="D479" s="5" t="n">
        <v>27</v>
      </c>
      <c r="E479" s="6" t="n">
        <f aca="false">DATE(2024,9,1)</f>
        <v>45536</v>
      </c>
      <c r="F479" s="7" t="n">
        <f aca="false">C479*D479</f>
        <v>891</v>
      </c>
      <c r="G479" s="7" t="n">
        <f aca="false">ROUND(F479*0.2,2)</f>
        <v>178.2</v>
      </c>
      <c r="H479" s="4" t="str">
        <f aca="false">IF(F479&gt;500,"Yüksek",IF(F479&gt;100,"Orta","Düşük"))</f>
        <v>Yüksek</v>
      </c>
    </row>
    <row r="480" customFormat="false" ht="12.8" hidden="false" customHeight="false" outlineLevel="0" collapsed="false">
      <c r="A480" s="4" t="s">
        <v>22</v>
      </c>
      <c r="B480" s="4" t="s">
        <v>15</v>
      </c>
      <c r="C480" s="4" t="n">
        <v>40</v>
      </c>
      <c r="D480" s="5" t="n">
        <v>29.75</v>
      </c>
      <c r="E480" s="6" t="n">
        <f aca="false">DATE(2024,10,2)</f>
        <v>45567</v>
      </c>
      <c r="F480" s="7" t="n">
        <f aca="false">C480*D480</f>
        <v>1190</v>
      </c>
      <c r="G480" s="7" t="n">
        <f aca="false">ROUND(F480*0.2,2)</f>
        <v>238</v>
      </c>
      <c r="H480" s="4" t="str">
        <f aca="false">IF(F480&gt;500,"Yüksek",IF(F480&gt;100,"Orta","Düşük"))</f>
        <v>Yüksek</v>
      </c>
    </row>
    <row r="481" customFormat="false" ht="12.8" hidden="false" customHeight="false" outlineLevel="0" collapsed="false">
      <c r="A481" s="4" t="s">
        <v>23</v>
      </c>
      <c r="B481" s="4" t="s">
        <v>17</v>
      </c>
      <c r="C481" s="4" t="n">
        <v>47</v>
      </c>
      <c r="D481" s="5" t="n">
        <v>32.5</v>
      </c>
      <c r="E481" s="6" t="n">
        <f aca="false">DATE(2024,11,3)</f>
        <v>45599</v>
      </c>
      <c r="F481" s="7" t="n">
        <f aca="false">C481*D481</f>
        <v>1527.5</v>
      </c>
      <c r="G481" s="7" t="n">
        <f aca="false">ROUND(F481*0.2,2)</f>
        <v>305.5</v>
      </c>
      <c r="H481" s="4" t="str">
        <f aca="false">IF(F481&gt;500,"Yüksek",IF(F481&gt;100,"Orta","Düşük"))</f>
        <v>Yüksek</v>
      </c>
    </row>
    <row r="482" customFormat="false" ht="12.8" hidden="false" customHeight="false" outlineLevel="0" collapsed="false">
      <c r="A482" s="4" t="s">
        <v>24</v>
      </c>
      <c r="B482" s="4" t="s">
        <v>19</v>
      </c>
      <c r="C482" s="4" t="n">
        <v>4</v>
      </c>
      <c r="D482" s="5" t="n">
        <v>35.25</v>
      </c>
      <c r="E482" s="6" t="n">
        <f aca="false">DATE(2024,12,4)</f>
        <v>45630</v>
      </c>
      <c r="F482" s="7" t="n">
        <f aca="false">C482*D482</f>
        <v>141</v>
      </c>
      <c r="G482" s="7" t="n">
        <f aca="false">ROUND(F482*0.2,2)</f>
        <v>28.2</v>
      </c>
      <c r="H482" s="4" t="str">
        <f aca="false">IF(F482&gt;500,"Yüksek",IF(F482&gt;100,"Orta","Düşük"))</f>
        <v>Orta</v>
      </c>
    </row>
    <row r="483" customFormat="false" ht="12.8" hidden="false" customHeight="false" outlineLevel="0" collapsed="false">
      <c r="A483" s="4" t="s">
        <v>10</v>
      </c>
      <c r="B483" s="4" t="s">
        <v>11</v>
      </c>
      <c r="C483" s="4" t="n">
        <v>11</v>
      </c>
      <c r="D483" s="5" t="n">
        <v>38</v>
      </c>
      <c r="E483" s="6" t="n">
        <f aca="false">DATE(2024,1,5)</f>
        <v>45296</v>
      </c>
      <c r="F483" s="7" t="n">
        <f aca="false">C483*D483</f>
        <v>418</v>
      </c>
      <c r="G483" s="7" t="n">
        <f aca="false">ROUND(F483*0.2,2)</f>
        <v>83.6</v>
      </c>
      <c r="H483" s="4" t="str">
        <f aca="false">IF(F483&gt;500,"Yüksek",IF(F483&gt;100,"Orta","Düşük"))</f>
        <v>Orta</v>
      </c>
    </row>
    <row r="484" customFormat="false" ht="12.8" hidden="false" customHeight="false" outlineLevel="0" collapsed="false">
      <c r="A484" s="4" t="s">
        <v>12</v>
      </c>
      <c r="B484" s="4" t="s">
        <v>13</v>
      </c>
      <c r="C484" s="4" t="n">
        <v>18</v>
      </c>
      <c r="D484" s="5" t="n">
        <v>5</v>
      </c>
      <c r="E484" s="6" t="n">
        <f aca="false">DATE(2024,2,6)</f>
        <v>45328</v>
      </c>
      <c r="F484" s="7" t="n">
        <f aca="false">C484*D484</f>
        <v>90</v>
      </c>
      <c r="G484" s="7" t="n">
        <f aca="false">ROUND(F484*0.2,2)</f>
        <v>18</v>
      </c>
      <c r="H484" s="4" t="str">
        <f aca="false">IF(F484&gt;500,"Yüksek",IF(F484&gt;100,"Orta","Düşük"))</f>
        <v>Düşük</v>
      </c>
    </row>
    <row r="485" customFormat="false" ht="12.8" hidden="false" customHeight="false" outlineLevel="0" collapsed="false">
      <c r="A485" s="4" t="s">
        <v>14</v>
      </c>
      <c r="B485" s="4" t="s">
        <v>15</v>
      </c>
      <c r="C485" s="4" t="n">
        <v>25</v>
      </c>
      <c r="D485" s="5" t="n">
        <v>7.75</v>
      </c>
      <c r="E485" s="6" t="n">
        <f aca="false">DATE(2024,3,7)</f>
        <v>45358</v>
      </c>
      <c r="F485" s="7" t="n">
        <f aca="false">C485*D485</f>
        <v>193.75</v>
      </c>
      <c r="G485" s="7" t="n">
        <f aca="false">ROUND(F485*0.2,2)</f>
        <v>38.75</v>
      </c>
      <c r="H485" s="4" t="str">
        <f aca="false">IF(F485&gt;500,"Yüksek",IF(F485&gt;100,"Orta","Düşük"))</f>
        <v>Orta</v>
      </c>
    </row>
    <row r="486" customFormat="false" ht="12.8" hidden="false" customHeight="false" outlineLevel="0" collapsed="false">
      <c r="A486" s="4" t="s">
        <v>16</v>
      </c>
      <c r="B486" s="4" t="s">
        <v>17</v>
      </c>
      <c r="C486" s="4" t="n">
        <v>32</v>
      </c>
      <c r="D486" s="5" t="n">
        <v>10.5</v>
      </c>
      <c r="E486" s="6" t="n">
        <f aca="false">DATE(2024,4,8)</f>
        <v>45390</v>
      </c>
      <c r="F486" s="7" t="n">
        <f aca="false">C486*D486</f>
        <v>336</v>
      </c>
      <c r="G486" s="7" t="n">
        <f aca="false">ROUND(F486*0.2,2)</f>
        <v>67.2</v>
      </c>
      <c r="H486" s="4" t="str">
        <f aca="false">IF(F486&gt;500,"Yüksek",IF(F486&gt;100,"Orta","Düşük"))</f>
        <v>Orta</v>
      </c>
    </row>
    <row r="487" customFormat="false" ht="12.8" hidden="false" customHeight="false" outlineLevel="0" collapsed="false">
      <c r="A487" s="4" t="s">
        <v>18</v>
      </c>
      <c r="B487" s="4" t="s">
        <v>19</v>
      </c>
      <c r="C487" s="4" t="n">
        <v>39</v>
      </c>
      <c r="D487" s="5" t="n">
        <v>13.25</v>
      </c>
      <c r="E487" s="6" t="n">
        <f aca="false">DATE(2024,5,9)</f>
        <v>45421</v>
      </c>
      <c r="F487" s="7" t="n">
        <f aca="false">C487*D487</f>
        <v>516.75</v>
      </c>
      <c r="G487" s="7" t="n">
        <f aca="false">ROUND(F487*0.2,2)</f>
        <v>103.35</v>
      </c>
      <c r="H487" s="4" t="str">
        <f aca="false">IF(F487&gt;500,"Yüksek",IF(F487&gt;100,"Orta","Düşük"))</f>
        <v>Yüksek</v>
      </c>
    </row>
    <row r="488" customFormat="false" ht="12.8" hidden="false" customHeight="false" outlineLevel="0" collapsed="false">
      <c r="A488" s="4" t="s">
        <v>20</v>
      </c>
      <c r="B488" s="4" t="s">
        <v>11</v>
      </c>
      <c r="C488" s="4" t="n">
        <v>46</v>
      </c>
      <c r="D488" s="5" t="n">
        <v>16</v>
      </c>
      <c r="E488" s="6" t="n">
        <f aca="false">DATE(2024,6,10)</f>
        <v>45453</v>
      </c>
      <c r="F488" s="7" t="n">
        <f aca="false">C488*D488</f>
        <v>736</v>
      </c>
      <c r="G488" s="7" t="n">
        <f aca="false">ROUND(F488*0.2,2)</f>
        <v>147.2</v>
      </c>
      <c r="H488" s="4" t="str">
        <f aca="false">IF(F488&gt;500,"Yüksek",IF(F488&gt;100,"Orta","Düşük"))</f>
        <v>Yüksek</v>
      </c>
    </row>
    <row r="489" customFormat="false" ht="12.8" hidden="false" customHeight="false" outlineLevel="0" collapsed="false">
      <c r="A489" s="4" t="s">
        <v>21</v>
      </c>
      <c r="B489" s="4" t="s">
        <v>13</v>
      </c>
      <c r="C489" s="4" t="n">
        <v>3</v>
      </c>
      <c r="D489" s="5" t="n">
        <v>18.75</v>
      </c>
      <c r="E489" s="6" t="n">
        <f aca="false">DATE(2024,7,11)</f>
        <v>45484</v>
      </c>
      <c r="F489" s="7" t="n">
        <f aca="false">C489*D489</f>
        <v>56.25</v>
      </c>
      <c r="G489" s="7" t="n">
        <f aca="false">ROUND(F489*0.2,2)</f>
        <v>11.25</v>
      </c>
      <c r="H489" s="4" t="str">
        <f aca="false">IF(F489&gt;500,"Yüksek",IF(F489&gt;100,"Orta","Düşük"))</f>
        <v>Düşük</v>
      </c>
    </row>
    <row r="490" customFormat="false" ht="12.8" hidden="false" customHeight="false" outlineLevel="0" collapsed="false">
      <c r="A490" s="4" t="s">
        <v>22</v>
      </c>
      <c r="B490" s="4" t="s">
        <v>15</v>
      </c>
      <c r="C490" s="4" t="n">
        <v>10</v>
      </c>
      <c r="D490" s="5" t="n">
        <v>21.5</v>
      </c>
      <c r="E490" s="6" t="n">
        <f aca="false">DATE(2024,8,12)</f>
        <v>45516</v>
      </c>
      <c r="F490" s="7" t="n">
        <f aca="false">C490*D490</f>
        <v>215</v>
      </c>
      <c r="G490" s="7" t="n">
        <f aca="false">ROUND(F490*0.2,2)</f>
        <v>43</v>
      </c>
      <c r="H490" s="4" t="str">
        <f aca="false">IF(F490&gt;500,"Yüksek",IF(F490&gt;100,"Orta","Düşük"))</f>
        <v>Orta</v>
      </c>
    </row>
    <row r="491" customFormat="false" ht="12.8" hidden="false" customHeight="false" outlineLevel="0" collapsed="false">
      <c r="A491" s="4" t="s">
        <v>23</v>
      </c>
      <c r="B491" s="4" t="s">
        <v>17</v>
      </c>
      <c r="C491" s="4" t="n">
        <v>17</v>
      </c>
      <c r="D491" s="5" t="n">
        <v>24.25</v>
      </c>
      <c r="E491" s="6" t="n">
        <f aca="false">DATE(2024,9,13)</f>
        <v>45548</v>
      </c>
      <c r="F491" s="7" t="n">
        <f aca="false">C491*D491</f>
        <v>412.25</v>
      </c>
      <c r="G491" s="7" t="n">
        <f aca="false">ROUND(F491*0.2,2)</f>
        <v>82.45</v>
      </c>
      <c r="H491" s="4" t="str">
        <f aca="false">IF(F491&gt;500,"Yüksek",IF(F491&gt;100,"Orta","Düşük"))</f>
        <v>Orta</v>
      </c>
    </row>
    <row r="492" customFormat="false" ht="12.8" hidden="false" customHeight="false" outlineLevel="0" collapsed="false">
      <c r="A492" s="4" t="s">
        <v>24</v>
      </c>
      <c r="B492" s="4" t="s">
        <v>19</v>
      </c>
      <c r="C492" s="4" t="n">
        <v>24</v>
      </c>
      <c r="D492" s="5" t="n">
        <v>27</v>
      </c>
      <c r="E492" s="6" t="n">
        <f aca="false">DATE(2024,10,14)</f>
        <v>45579</v>
      </c>
      <c r="F492" s="7" t="n">
        <f aca="false">C492*D492</f>
        <v>648</v>
      </c>
      <c r="G492" s="7" t="n">
        <f aca="false">ROUND(F492*0.2,2)</f>
        <v>129.6</v>
      </c>
      <c r="H492" s="4" t="str">
        <f aca="false">IF(F492&gt;500,"Yüksek",IF(F492&gt;100,"Orta","Düşük"))</f>
        <v>Yüksek</v>
      </c>
    </row>
    <row r="493" customFormat="false" ht="12.8" hidden="false" customHeight="false" outlineLevel="0" collapsed="false">
      <c r="A493" s="4" t="s">
        <v>10</v>
      </c>
      <c r="B493" s="4" t="s">
        <v>11</v>
      </c>
      <c r="C493" s="4" t="n">
        <v>31</v>
      </c>
      <c r="D493" s="5" t="n">
        <v>29.75</v>
      </c>
      <c r="E493" s="6" t="n">
        <f aca="false">DATE(2024,11,15)</f>
        <v>45611</v>
      </c>
      <c r="F493" s="7" t="n">
        <f aca="false">C493*D493</f>
        <v>922.25</v>
      </c>
      <c r="G493" s="7" t="n">
        <f aca="false">ROUND(F493*0.2,2)</f>
        <v>184.45</v>
      </c>
      <c r="H493" s="4" t="str">
        <f aca="false">IF(F493&gt;500,"Yüksek",IF(F493&gt;100,"Orta","Düşük"))</f>
        <v>Yüksek</v>
      </c>
    </row>
    <row r="494" customFormat="false" ht="12.8" hidden="false" customHeight="false" outlineLevel="0" collapsed="false">
      <c r="A494" s="4" t="s">
        <v>12</v>
      </c>
      <c r="B494" s="4" t="s">
        <v>13</v>
      </c>
      <c r="C494" s="4" t="n">
        <v>38</v>
      </c>
      <c r="D494" s="5" t="n">
        <v>32.5</v>
      </c>
      <c r="E494" s="6" t="n">
        <f aca="false">DATE(2024,12,16)</f>
        <v>45642</v>
      </c>
      <c r="F494" s="7" t="n">
        <f aca="false">C494*D494</f>
        <v>1235</v>
      </c>
      <c r="G494" s="7" t="n">
        <f aca="false">ROUND(F494*0.2,2)</f>
        <v>247</v>
      </c>
      <c r="H494" s="4" t="str">
        <f aca="false">IF(F494&gt;500,"Yüksek",IF(F494&gt;100,"Orta","Düşük"))</f>
        <v>Yüksek</v>
      </c>
    </row>
    <row r="495" customFormat="false" ht="12.8" hidden="false" customHeight="false" outlineLevel="0" collapsed="false">
      <c r="A495" s="4" t="s">
        <v>14</v>
      </c>
      <c r="B495" s="4" t="s">
        <v>15</v>
      </c>
      <c r="C495" s="4" t="n">
        <v>45</v>
      </c>
      <c r="D495" s="5" t="n">
        <v>35.25</v>
      </c>
      <c r="E495" s="6" t="n">
        <f aca="false">DATE(2024,1,17)</f>
        <v>45308</v>
      </c>
      <c r="F495" s="7" t="n">
        <f aca="false">C495*D495</f>
        <v>1586.25</v>
      </c>
      <c r="G495" s="7" t="n">
        <f aca="false">ROUND(F495*0.2,2)</f>
        <v>317.25</v>
      </c>
      <c r="H495" s="4" t="str">
        <f aca="false">IF(F495&gt;500,"Yüksek",IF(F495&gt;100,"Orta","Düşük"))</f>
        <v>Yüksek</v>
      </c>
    </row>
    <row r="496" customFormat="false" ht="12.8" hidden="false" customHeight="false" outlineLevel="0" collapsed="false">
      <c r="A496" s="4" t="s">
        <v>16</v>
      </c>
      <c r="B496" s="4" t="s">
        <v>17</v>
      </c>
      <c r="C496" s="4" t="n">
        <v>2</v>
      </c>
      <c r="D496" s="5" t="n">
        <v>38</v>
      </c>
      <c r="E496" s="6" t="n">
        <f aca="false">DATE(2024,2,18)</f>
        <v>45340</v>
      </c>
      <c r="F496" s="7" t="n">
        <f aca="false">C496*D496</f>
        <v>76</v>
      </c>
      <c r="G496" s="7" t="n">
        <f aca="false">ROUND(F496*0.2,2)</f>
        <v>15.2</v>
      </c>
      <c r="H496" s="4" t="str">
        <f aca="false">IF(F496&gt;500,"Yüksek",IF(F496&gt;100,"Orta","Düşük"))</f>
        <v>Düşük</v>
      </c>
    </row>
    <row r="497" customFormat="false" ht="12.8" hidden="false" customHeight="false" outlineLevel="0" collapsed="false">
      <c r="A497" s="4" t="s">
        <v>18</v>
      </c>
      <c r="B497" s="4" t="s">
        <v>19</v>
      </c>
      <c r="C497" s="4" t="n">
        <v>9</v>
      </c>
      <c r="D497" s="5" t="n">
        <v>5</v>
      </c>
      <c r="E497" s="6" t="n">
        <f aca="false">DATE(2024,3,19)</f>
        <v>45370</v>
      </c>
      <c r="F497" s="7" t="n">
        <f aca="false">C497*D497</f>
        <v>45</v>
      </c>
      <c r="G497" s="7" t="n">
        <f aca="false">ROUND(F497*0.2,2)</f>
        <v>9</v>
      </c>
      <c r="H497" s="4" t="str">
        <f aca="false">IF(F497&gt;500,"Yüksek",IF(F497&gt;100,"Orta","Düşük"))</f>
        <v>Düşük</v>
      </c>
    </row>
    <row r="498" customFormat="false" ht="12.8" hidden="false" customHeight="false" outlineLevel="0" collapsed="false">
      <c r="A498" s="4" t="s">
        <v>20</v>
      </c>
      <c r="B498" s="4" t="s">
        <v>11</v>
      </c>
      <c r="C498" s="4" t="n">
        <v>16</v>
      </c>
      <c r="D498" s="5" t="n">
        <v>7.75</v>
      </c>
      <c r="E498" s="6" t="n">
        <f aca="false">DATE(2024,4,20)</f>
        <v>45402</v>
      </c>
      <c r="F498" s="7" t="n">
        <f aca="false">C498*D498</f>
        <v>124</v>
      </c>
      <c r="G498" s="7" t="n">
        <f aca="false">ROUND(F498*0.2,2)</f>
        <v>24.8</v>
      </c>
      <c r="H498" s="4" t="str">
        <f aca="false">IF(F498&gt;500,"Yüksek",IF(F498&gt;100,"Orta","Düşük"))</f>
        <v>Orta</v>
      </c>
    </row>
    <row r="499" customFormat="false" ht="12.8" hidden="false" customHeight="false" outlineLevel="0" collapsed="false">
      <c r="A499" s="4" t="s">
        <v>21</v>
      </c>
      <c r="B499" s="4" t="s">
        <v>13</v>
      </c>
      <c r="C499" s="4" t="n">
        <v>23</v>
      </c>
      <c r="D499" s="5" t="n">
        <v>10.5</v>
      </c>
      <c r="E499" s="6" t="n">
        <f aca="false">DATE(2024,5,21)</f>
        <v>45433</v>
      </c>
      <c r="F499" s="7" t="n">
        <f aca="false">C499*D499</f>
        <v>241.5</v>
      </c>
      <c r="G499" s="7" t="n">
        <f aca="false">ROUND(F499*0.2,2)</f>
        <v>48.3</v>
      </c>
      <c r="H499" s="4" t="str">
        <f aca="false">IF(F499&gt;500,"Yüksek",IF(F499&gt;100,"Orta","Düşük"))</f>
        <v>Orta</v>
      </c>
    </row>
    <row r="500" customFormat="false" ht="12.8" hidden="false" customHeight="false" outlineLevel="0" collapsed="false">
      <c r="A500" s="4" t="s">
        <v>22</v>
      </c>
      <c r="B500" s="4" t="s">
        <v>15</v>
      </c>
      <c r="C500" s="4" t="n">
        <v>30</v>
      </c>
      <c r="D500" s="5" t="n">
        <v>13.25</v>
      </c>
      <c r="E500" s="6" t="n">
        <f aca="false">DATE(2024,6,22)</f>
        <v>45465</v>
      </c>
      <c r="F500" s="7" t="n">
        <f aca="false">C500*D500</f>
        <v>397.5</v>
      </c>
      <c r="G500" s="7" t="n">
        <f aca="false">ROUND(F500*0.2,2)</f>
        <v>79.5</v>
      </c>
      <c r="H500" s="4" t="str">
        <f aca="false">IF(F500&gt;500,"Yüksek",IF(F500&gt;100,"Orta","Düşük"))</f>
        <v>Orta</v>
      </c>
    </row>
    <row r="501" customFormat="false" ht="12.8" hidden="false" customHeight="false" outlineLevel="0" collapsed="false">
      <c r="A501" s="4" t="s">
        <v>23</v>
      </c>
      <c r="B501" s="4" t="s">
        <v>17</v>
      </c>
      <c r="C501" s="4" t="n">
        <v>37</v>
      </c>
      <c r="D501" s="5" t="n">
        <v>16</v>
      </c>
      <c r="E501" s="6" t="n">
        <f aca="false">DATE(2024,7,23)</f>
        <v>45496</v>
      </c>
      <c r="F501" s="7" t="n">
        <f aca="false">C501*D501</f>
        <v>592</v>
      </c>
      <c r="G501" s="7" t="n">
        <f aca="false">ROUND(F501*0.2,2)</f>
        <v>118.4</v>
      </c>
      <c r="H501" s="4" t="str">
        <f aca="false">IF(F501&gt;500,"Yüksek",IF(F501&gt;100,"Orta","Düşük"))</f>
        <v>Yüksek</v>
      </c>
    </row>
    <row r="502" customFormat="false" ht="12.8" hidden="false" customHeight="false" outlineLevel="0" collapsed="false">
      <c r="A502" s="4" t="s">
        <v>24</v>
      </c>
      <c r="B502" s="4" t="s">
        <v>19</v>
      </c>
      <c r="C502" s="4" t="n">
        <v>44</v>
      </c>
      <c r="D502" s="5" t="n">
        <v>18.75</v>
      </c>
      <c r="E502" s="6" t="n">
        <f aca="false">DATE(2024,8,24)</f>
        <v>45528</v>
      </c>
      <c r="F502" s="7" t="n">
        <f aca="false">C502*D502</f>
        <v>825</v>
      </c>
      <c r="G502" s="7" t="n">
        <f aca="false">ROUND(F502*0.2,2)</f>
        <v>165</v>
      </c>
      <c r="H502" s="4" t="str">
        <f aca="false">IF(F502&gt;500,"Yüksek",IF(F502&gt;100,"Orta","Düşük"))</f>
        <v>Yüksek</v>
      </c>
    </row>
    <row r="503" customFormat="false" ht="12.8" hidden="false" customHeight="false" outlineLevel="0" collapsed="false">
      <c r="A503" s="4" t="s">
        <v>10</v>
      </c>
      <c r="B503" s="4" t="s">
        <v>11</v>
      </c>
      <c r="C503" s="4" t="n">
        <v>1</v>
      </c>
      <c r="D503" s="5" t="n">
        <v>21.5</v>
      </c>
      <c r="E503" s="6" t="n">
        <f aca="false">DATE(2024,9,25)</f>
        <v>45560</v>
      </c>
      <c r="F503" s="7" t="n">
        <f aca="false">C503*D503</f>
        <v>21.5</v>
      </c>
      <c r="G503" s="7" t="n">
        <f aca="false">ROUND(F503*0.2,2)</f>
        <v>4.3</v>
      </c>
      <c r="H503" s="4" t="str">
        <f aca="false">IF(F503&gt;500,"Yüksek",IF(F503&gt;100,"Orta","Düşük"))</f>
        <v>Düşük</v>
      </c>
    </row>
    <row r="504" customFormat="false" ht="12.8" hidden="false" customHeight="false" outlineLevel="0" collapsed="false">
      <c r="A504" s="4" t="s">
        <v>12</v>
      </c>
      <c r="B504" s="4" t="s">
        <v>13</v>
      </c>
      <c r="C504" s="4" t="n">
        <v>8</v>
      </c>
      <c r="D504" s="5" t="n">
        <v>24.25</v>
      </c>
      <c r="E504" s="6" t="n">
        <f aca="false">DATE(2024,10,26)</f>
        <v>45591</v>
      </c>
      <c r="F504" s="7" t="n">
        <f aca="false">C504*D504</f>
        <v>194</v>
      </c>
      <c r="G504" s="7" t="n">
        <f aca="false">ROUND(F504*0.2,2)</f>
        <v>38.8</v>
      </c>
      <c r="H504" s="4" t="str">
        <f aca="false">IF(F504&gt;500,"Yüksek",IF(F504&gt;100,"Orta","Düşük"))</f>
        <v>Orta</v>
      </c>
    </row>
    <row r="505" customFormat="false" ht="12.8" hidden="false" customHeight="false" outlineLevel="0" collapsed="false">
      <c r="A505" s="4" t="s">
        <v>14</v>
      </c>
      <c r="B505" s="4" t="s">
        <v>15</v>
      </c>
      <c r="C505" s="4" t="n">
        <v>15</v>
      </c>
      <c r="D505" s="5" t="n">
        <v>27</v>
      </c>
      <c r="E505" s="6" t="n">
        <f aca="false">DATE(2024,11,27)</f>
        <v>45623</v>
      </c>
      <c r="F505" s="7" t="n">
        <f aca="false">C505*D505</f>
        <v>405</v>
      </c>
      <c r="G505" s="7" t="n">
        <f aca="false">ROUND(F505*0.2,2)</f>
        <v>81</v>
      </c>
      <c r="H505" s="4" t="str">
        <f aca="false">IF(F505&gt;500,"Yüksek",IF(F505&gt;100,"Orta","Düşük"))</f>
        <v>Orta</v>
      </c>
    </row>
    <row r="506" customFormat="false" ht="12.8" hidden="false" customHeight="false" outlineLevel="0" collapsed="false">
      <c r="A506" s="4" t="s">
        <v>16</v>
      </c>
      <c r="B506" s="4" t="s">
        <v>17</v>
      </c>
      <c r="C506" s="4" t="n">
        <v>22</v>
      </c>
      <c r="D506" s="5" t="n">
        <v>29.75</v>
      </c>
      <c r="E506" s="6" t="n">
        <f aca="false">DATE(2024,12,28)</f>
        <v>45654</v>
      </c>
      <c r="F506" s="7" t="n">
        <f aca="false">C506*D506</f>
        <v>654.5</v>
      </c>
      <c r="G506" s="7" t="n">
        <f aca="false">ROUND(F506*0.2,2)</f>
        <v>130.9</v>
      </c>
      <c r="H506" s="4" t="str">
        <f aca="false">IF(F506&gt;500,"Yüksek",IF(F506&gt;100,"Orta","Düşük"))</f>
        <v>Yüksek</v>
      </c>
    </row>
    <row r="507" customFormat="false" ht="12.8" hidden="false" customHeight="false" outlineLevel="0" collapsed="false">
      <c r="A507" s="4" t="s">
        <v>18</v>
      </c>
      <c r="B507" s="4" t="s">
        <v>19</v>
      </c>
      <c r="C507" s="4" t="n">
        <v>29</v>
      </c>
      <c r="D507" s="5" t="n">
        <v>32.5</v>
      </c>
      <c r="E507" s="6" t="n">
        <f aca="false">DATE(2024,1,1)</f>
        <v>45292</v>
      </c>
      <c r="F507" s="7" t="n">
        <f aca="false">C507*D507</f>
        <v>942.5</v>
      </c>
      <c r="G507" s="7" t="n">
        <f aca="false">ROUND(F507*0.2,2)</f>
        <v>188.5</v>
      </c>
      <c r="H507" s="4" t="str">
        <f aca="false">IF(F507&gt;500,"Yüksek",IF(F507&gt;100,"Orta","Düşük"))</f>
        <v>Yüksek</v>
      </c>
    </row>
    <row r="508" customFormat="false" ht="12.8" hidden="false" customHeight="false" outlineLevel="0" collapsed="false">
      <c r="A508" s="4" t="s">
        <v>20</v>
      </c>
      <c r="B508" s="4" t="s">
        <v>11</v>
      </c>
      <c r="C508" s="4" t="n">
        <v>36</v>
      </c>
      <c r="D508" s="5" t="n">
        <v>35.25</v>
      </c>
      <c r="E508" s="6" t="n">
        <f aca="false">DATE(2024,2,2)</f>
        <v>45324</v>
      </c>
      <c r="F508" s="7" t="n">
        <f aca="false">C508*D508</f>
        <v>1269</v>
      </c>
      <c r="G508" s="7" t="n">
        <f aca="false">ROUND(F508*0.2,2)</f>
        <v>253.8</v>
      </c>
      <c r="H508" s="4" t="str">
        <f aca="false">IF(F508&gt;500,"Yüksek",IF(F508&gt;100,"Orta","Düşük"))</f>
        <v>Yüksek</v>
      </c>
    </row>
    <row r="509" customFormat="false" ht="12.8" hidden="false" customHeight="false" outlineLevel="0" collapsed="false">
      <c r="A509" s="4" t="s">
        <v>21</v>
      </c>
      <c r="B509" s="4" t="s">
        <v>13</v>
      </c>
      <c r="C509" s="4" t="n">
        <v>43</v>
      </c>
      <c r="D509" s="5" t="n">
        <v>38</v>
      </c>
      <c r="E509" s="6" t="n">
        <f aca="false">DATE(2024,3,3)</f>
        <v>45354</v>
      </c>
      <c r="F509" s="7" t="n">
        <f aca="false">C509*D509</f>
        <v>1634</v>
      </c>
      <c r="G509" s="7" t="n">
        <f aca="false">ROUND(F509*0.2,2)</f>
        <v>326.8</v>
      </c>
      <c r="H509" s="4" t="str">
        <f aca="false">IF(F509&gt;500,"Yüksek",IF(F509&gt;100,"Orta","Düşük"))</f>
        <v>Yüksek</v>
      </c>
    </row>
    <row r="510" customFormat="false" ht="12.8" hidden="false" customHeight="false" outlineLevel="0" collapsed="false">
      <c r="A510" s="4" t="s">
        <v>22</v>
      </c>
      <c r="B510" s="4" t="s">
        <v>15</v>
      </c>
      <c r="C510" s="4" t="n">
        <v>50</v>
      </c>
      <c r="D510" s="5" t="n">
        <v>5</v>
      </c>
      <c r="E510" s="6" t="n">
        <f aca="false">DATE(2024,4,4)</f>
        <v>45386</v>
      </c>
      <c r="F510" s="7" t="n">
        <f aca="false">C510*D510</f>
        <v>250</v>
      </c>
      <c r="G510" s="7" t="n">
        <f aca="false">ROUND(F510*0.2,2)</f>
        <v>50</v>
      </c>
      <c r="H510" s="4" t="str">
        <f aca="false">IF(F510&gt;500,"Yüksek",IF(F510&gt;100,"Orta","Düşük"))</f>
        <v>Orta</v>
      </c>
    </row>
    <row r="511" customFormat="false" ht="12.8" hidden="false" customHeight="false" outlineLevel="0" collapsed="false">
      <c r="A511" s="4" t="s">
        <v>23</v>
      </c>
      <c r="B511" s="4" t="s">
        <v>17</v>
      </c>
      <c r="C511" s="4" t="n">
        <v>7</v>
      </c>
      <c r="D511" s="5" t="n">
        <v>7.75</v>
      </c>
      <c r="E511" s="6" t="n">
        <f aca="false">DATE(2024,5,5)</f>
        <v>45417</v>
      </c>
      <c r="F511" s="7" t="n">
        <f aca="false">C511*D511</f>
        <v>54.25</v>
      </c>
      <c r="G511" s="7" t="n">
        <f aca="false">ROUND(F511*0.2,2)</f>
        <v>10.85</v>
      </c>
      <c r="H511" s="4" t="str">
        <f aca="false">IF(F511&gt;500,"Yüksek",IF(F511&gt;100,"Orta","Düşük"))</f>
        <v>Düşük</v>
      </c>
    </row>
    <row r="512" customFormat="false" ht="12.8" hidden="false" customHeight="false" outlineLevel="0" collapsed="false">
      <c r="A512" s="4" t="s">
        <v>24</v>
      </c>
      <c r="B512" s="4" t="s">
        <v>19</v>
      </c>
      <c r="C512" s="4" t="n">
        <v>14</v>
      </c>
      <c r="D512" s="5" t="n">
        <v>10.5</v>
      </c>
      <c r="E512" s="6" t="n">
        <f aca="false">DATE(2024,6,6)</f>
        <v>45449</v>
      </c>
      <c r="F512" s="7" t="n">
        <f aca="false">C512*D512</f>
        <v>147</v>
      </c>
      <c r="G512" s="7" t="n">
        <f aca="false">ROUND(F512*0.2,2)</f>
        <v>29.4</v>
      </c>
      <c r="H512" s="4" t="str">
        <f aca="false">IF(F512&gt;500,"Yüksek",IF(F512&gt;100,"Orta","Düşük"))</f>
        <v>Orta</v>
      </c>
    </row>
    <row r="513" customFormat="false" ht="12.8" hidden="false" customHeight="false" outlineLevel="0" collapsed="false">
      <c r="A513" s="4" t="s">
        <v>10</v>
      </c>
      <c r="B513" s="4" t="s">
        <v>11</v>
      </c>
      <c r="C513" s="4" t="n">
        <v>21</v>
      </c>
      <c r="D513" s="5" t="n">
        <v>13.25</v>
      </c>
      <c r="E513" s="6" t="n">
        <f aca="false">DATE(2024,7,7)</f>
        <v>45480</v>
      </c>
      <c r="F513" s="7" t="n">
        <f aca="false">C513*D513</f>
        <v>278.25</v>
      </c>
      <c r="G513" s="7" t="n">
        <f aca="false">ROUND(F513*0.2,2)</f>
        <v>55.65</v>
      </c>
      <c r="H513" s="4" t="str">
        <f aca="false">IF(F513&gt;500,"Yüksek",IF(F513&gt;100,"Orta","Düşük"))</f>
        <v>Orta</v>
      </c>
    </row>
    <row r="514" customFormat="false" ht="12.8" hidden="false" customHeight="false" outlineLevel="0" collapsed="false">
      <c r="A514" s="4" t="s">
        <v>12</v>
      </c>
      <c r="B514" s="4" t="s">
        <v>13</v>
      </c>
      <c r="C514" s="4" t="n">
        <v>28</v>
      </c>
      <c r="D514" s="5" t="n">
        <v>16</v>
      </c>
      <c r="E514" s="6" t="n">
        <f aca="false">DATE(2024,8,8)</f>
        <v>45512</v>
      </c>
      <c r="F514" s="7" t="n">
        <f aca="false">C514*D514</f>
        <v>448</v>
      </c>
      <c r="G514" s="7" t="n">
        <f aca="false">ROUND(F514*0.2,2)</f>
        <v>89.6</v>
      </c>
      <c r="H514" s="4" t="str">
        <f aca="false">IF(F514&gt;500,"Yüksek",IF(F514&gt;100,"Orta","Düşük"))</f>
        <v>Orta</v>
      </c>
    </row>
    <row r="515" customFormat="false" ht="12.8" hidden="false" customHeight="false" outlineLevel="0" collapsed="false">
      <c r="A515" s="4" t="s">
        <v>14</v>
      </c>
      <c r="B515" s="4" t="s">
        <v>15</v>
      </c>
      <c r="C515" s="4" t="n">
        <v>35</v>
      </c>
      <c r="D515" s="5" t="n">
        <v>18.75</v>
      </c>
      <c r="E515" s="6" t="n">
        <f aca="false">DATE(2024,9,9)</f>
        <v>45544</v>
      </c>
      <c r="F515" s="7" t="n">
        <f aca="false">C515*D515</f>
        <v>656.25</v>
      </c>
      <c r="G515" s="7" t="n">
        <f aca="false">ROUND(F515*0.2,2)</f>
        <v>131.25</v>
      </c>
      <c r="H515" s="4" t="str">
        <f aca="false">IF(F515&gt;500,"Yüksek",IF(F515&gt;100,"Orta","Düşük"))</f>
        <v>Yüksek</v>
      </c>
    </row>
    <row r="516" customFormat="false" ht="12.8" hidden="false" customHeight="false" outlineLevel="0" collapsed="false">
      <c r="A516" s="4" t="s">
        <v>16</v>
      </c>
      <c r="B516" s="4" t="s">
        <v>17</v>
      </c>
      <c r="C516" s="4" t="n">
        <v>42</v>
      </c>
      <c r="D516" s="5" t="n">
        <v>21.5</v>
      </c>
      <c r="E516" s="6" t="n">
        <f aca="false">DATE(2024,10,10)</f>
        <v>45575</v>
      </c>
      <c r="F516" s="7" t="n">
        <f aca="false">C516*D516</f>
        <v>903</v>
      </c>
      <c r="G516" s="7" t="n">
        <f aca="false">ROUND(F516*0.2,2)</f>
        <v>180.6</v>
      </c>
      <c r="H516" s="4" t="str">
        <f aca="false">IF(F516&gt;500,"Yüksek",IF(F516&gt;100,"Orta","Düşük"))</f>
        <v>Yüksek</v>
      </c>
    </row>
    <row r="517" customFormat="false" ht="12.8" hidden="false" customHeight="false" outlineLevel="0" collapsed="false">
      <c r="A517" s="4" t="s">
        <v>18</v>
      </c>
      <c r="B517" s="4" t="s">
        <v>19</v>
      </c>
      <c r="C517" s="4" t="n">
        <v>49</v>
      </c>
      <c r="D517" s="5" t="n">
        <v>24.25</v>
      </c>
      <c r="E517" s="6" t="n">
        <f aca="false">DATE(2024,11,11)</f>
        <v>45607</v>
      </c>
      <c r="F517" s="7" t="n">
        <f aca="false">C517*D517</f>
        <v>1188.25</v>
      </c>
      <c r="G517" s="7" t="n">
        <f aca="false">ROUND(F517*0.2,2)</f>
        <v>237.65</v>
      </c>
      <c r="H517" s="4" t="str">
        <f aca="false">IF(F517&gt;500,"Yüksek",IF(F517&gt;100,"Orta","Düşük"))</f>
        <v>Yüksek</v>
      </c>
    </row>
    <row r="518" customFormat="false" ht="12.8" hidden="false" customHeight="false" outlineLevel="0" collapsed="false">
      <c r="A518" s="4" t="s">
        <v>20</v>
      </c>
      <c r="B518" s="4" t="s">
        <v>11</v>
      </c>
      <c r="C518" s="4" t="n">
        <v>6</v>
      </c>
      <c r="D518" s="5" t="n">
        <v>27</v>
      </c>
      <c r="E518" s="6" t="n">
        <f aca="false">DATE(2024,12,12)</f>
        <v>45638</v>
      </c>
      <c r="F518" s="7" t="n">
        <f aca="false">C518*D518</f>
        <v>162</v>
      </c>
      <c r="G518" s="7" t="n">
        <f aca="false">ROUND(F518*0.2,2)</f>
        <v>32.4</v>
      </c>
      <c r="H518" s="4" t="str">
        <f aca="false">IF(F518&gt;500,"Yüksek",IF(F518&gt;100,"Orta","Düşük"))</f>
        <v>Orta</v>
      </c>
    </row>
    <row r="519" customFormat="false" ht="12.8" hidden="false" customHeight="false" outlineLevel="0" collapsed="false">
      <c r="A519" s="4" t="s">
        <v>21</v>
      </c>
      <c r="B519" s="4" t="s">
        <v>13</v>
      </c>
      <c r="C519" s="4" t="n">
        <v>13</v>
      </c>
      <c r="D519" s="5" t="n">
        <v>29.75</v>
      </c>
      <c r="E519" s="6" t="n">
        <f aca="false">DATE(2024,1,13)</f>
        <v>45304</v>
      </c>
      <c r="F519" s="7" t="n">
        <f aca="false">C519*D519</f>
        <v>386.75</v>
      </c>
      <c r="G519" s="7" t="n">
        <f aca="false">ROUND(F519*0.2,2)</f>
        <v>77.35</v>
      </c>
      <c r="H519" s="4" t="str">
        <f aca="false">IF(F519&gt;500,"Yüksek",IF(F519&gt;100,"Orta","Düşük"))</f>
        <v>Orta</v>
      </c>
    </row>
    <row r="520" customFormat="false" ht="12.8" hidden="false" customHeight="false" outlineLevel="0" collapsed="false">
      <c r="A520" s="4" t="s">
        <v>22</v>
      </c>
      <c r="B520" s="4" t="s">
        <v>15</v>
      </c>
      <c r="C520" s="4" t="n">
        <v>20</v>
      </c>
      <c r="D520" s="5" t="n">
        <v>32.5</v>
      </c>
      <c r="E520" s="6" t="n">
        <f aca="false">DATE(2024,2,14)</f>
        <v>45336</v>
      </c>
      <c r="F520" s="7" t="n">
        <f aca="false">C520*D520</f>
        <v>650</v>
      </c>
      <c r="G520" s="7" t="n">
        <f aca="false">ROUND(F520*0.2,2)</f>
        <v>130</v>
      </c>
      <c r="H520" s="4" t="str">
        <f aca="false">IF(F520&gt;500,"Yüksek",IF(F520&gt;100,"Orta","Düşük"))</f>
        <v>Yüksek</v>
      </c>
    </row>
    <row r="521" customFormat="false" ht="12.8" hidden="false" customHeight="false" outlineLevel="0" collapsed="false">
      <c r="A521" s="4" t="s">
        <v>23</v>
      </c>
      <c r="B521" s="4" t="s">
        <v>17</v>
      </c>
      <c r="C521" s="4" t="n">
        <v>27</v>
      </c>
      <c r="D521" s="5" t="n">
        <v>35.25</v>
      </c>
      <c r="E521" s="6" t="n">
        <f aca="false">DATE(2024,3,15)</f>
        <v>45366</v>
      </c>
      <c r="F521" s="7" t="n">
        <f aca="false">C521*D521</f>
        <v>951.75</v>
      </c>
      <c r="G521" s="7" t="n">
        <f aca="false">ROUND(F521*0.2,2)</f>
        <v>190.35</v>
      </c>
      <c r="H521" s="4" t="str">
        <f aca="false">IF(F521&gt;500,"Yüksek",IF(F521&gt;100,"Orta","Düşük"))</f>
        <v>Yüksek</v>
      </c>
    </row>
    <row r="522" customFormat="false" ht="12.8" hidden="false" customHeight="false" outlineLevel="0" collapsed="false">
      <c r="A522" s="4" t="s">
        <v>24</v>
      </c>
      <c r="B522" s="4" t="s">
        <v>19</v>
      </c>
      <c r="C522" s="4" t="n">
        <v>34</v>
      </c>
      <c r="D522" s="5" t="n">
        <v>38</v>
      </c>
      <c r="E522" s="6" t="n">
        <f aca="false">DATE(2024,4,16)</f>
        <v>45398</v>
      </c>
      <c r="F522" s="7" t="n">
        <f aca="false">C522*D522</f>
        <v>1292</v>
      </c>
      <c r="G522" s="7" t="n">
        <f aca="false">ROUND(F522*0.2,2)</f>
        <v>258.4</v>
      </c>
      <c r="H522" s="4" t="str">
        <f aca="false">IF(F522&gt;500,"Yüksek",IF(F522&gt;100,"Orta","Düşük"))</f>
        <v>Yüksek</v>
      </c>
    </row>
    <row r="523" customFormat="false" ht="12.8" hidden="false" customHeight="false" outlineLevel="0" collapsed="false">
      <c r="A523" s="4" t="s">
        <v>10</v>
      </c>
      <c r="B523" s="4" t="s">
        <v>11</v>
      </c>
      <c r="C523" s="4" t="n">
        <v>41</v>
      </c>
      <c r="D523" s="5" t="n">
        <v>5</v>
      </c>
      <c r="E523" s="6" t="n">
        <f aca="false">DATE(2024,5,17)</f>
        <v>45429</v>
      </c>
      <c r="F523" s="7" t="n">
        <f aca="false">C523*D523</f>
        <v>205</v>
      </c>
      <c r="G523" s="7" t="n">
        <f aca="false">ROUND(F523*0.2,2)</f>
        <v>41</v>
      </c>
      <c r="H523" s="4" t="str">
        <f aca="false">IF(F523&gt;500,"Yüksek",IF(F523&gt;100,"Orta","Düşük"))</f>
        <v>Orta</v>
      </c>
    </row>
    <row r="524" customFormat="false" ht="12.8" hidden="false" customHeight="false" outlineLevel="0" collapsed="false">
      <c r="A524" s="4" t="s">
        <v>12</v>
      </c>
      <c r="B524" s="4" t="s">
        <v>13</v>
      </c>
      <c r="C524" s="4" t="n">
        <v>48</v>
      </c>
      <c r="D524" s="5" t="n">
        <v>7.75</v>
      </c>
      <c r="E524" s="6" t="n">
        <f aca="false">DATE(2024,6,18)</f>
        <v>45461</v>
      </c>
      <c r="F524" s="7" t="n">
        <f aca="false">C524*D524</f>
        <v>372</v>
      </c>
      <c r="G524" s="7" t="n">
        <f aca="false">ROUND(F524*0.2,2)</f>
        <v>74.4</v>
      </c>
      <c r="H524" s="4" t="str">
        <f aca="false">IF(F524&gt;500,"Yüksek",IF(F524&gt;100,"Orta","Düşük"))</f>
        <v>Orta</v>
      </c>
    </row>
    <row r="525" customFormat="false" ht="12.8" hidden="false" customHeight="false" outlineLevel="0" collapsed="false">
      <c r="A525" s="4" t="s">
        <v>14</v>
      </c>
      <c r="B525" s="4" t="s">
        <v>15</v>
      </c>
      <c r="C525" s="4" t="n">
        <v>5</v>
      </c>
      <c r="D525" s="5" t="n">
        <v>10.5</v>
      </c>
      <c r="E525" s="6" t="n">
        <f aca="false">DATE(2024,7,19)</f>
        <v>45492</v>
      </c>
      <c r="F525" s="7" t="n">
        <f aca="false">C525*D525</f>
        <v>52.5</v>
      </c>
      <c r="G525" s="7" t="n">
        <f aca="false">ROUND(F525*0.2,2)</f>
        <v>10.5</v>
      </c>
      <c r="H525" s="4" t="str">
        <f aca="false">IF(F525&gt;500,"Yüksek",IF(F525&gt;100,"Orta","Düşük"))</f>
        <v>Düşük</v>
      </c>
    </row>
    <row r="526" customFormat="false" ht="12.8" hidden="false" customHeight="false" outlineLevel="0" collapsed="false">
      <c r="A526" s="4" t="s">
        <v>16</v>
      </c>
      <c r="B526" s="4" t="s">
        <v>17</v>
      </c>
      <c r="C526" s="4" t="n">
        <v>12</v>
      </c>
      <c r="D526" s="5" t="n">
        <v>13.25</v>
      </c>
      <c r="E526" s="6" t="n">
        <f aca="false">DATE(2024,8,20)</f>
        <v>45524</v>
      </c>
      <c r="F526" s="7" t="n">
        <f aca="false">C526*D526</f>
        <v>159</v>
      </c>
      <c r="G526" s="7" t="n">
        <f aca="false">ROUND(F526*0.2,2)</f>
        <v>31.8</v>
      </c>
      <c r="H526" s="4" t="str">
        <f aca="false">IF(F526&gt;500,"Yüksek",IF(F526&gt;100,"Orta","Düşük"))</f>
        <v>Orta</v>
      </c>
    </row>
    <row r="527" customFormat="false" ht="12.8" hidden="false" customHeight="false" outlineLevel="0" collapsed="false">
      <c r="A527" s="4" t="s">
        <v>18</v>
      </c>
      <c r="B527" s="4" t="s">
        <v>19</v>
      </c>
      <c r="C527" s="4" t="n">
        <v>19</v>
      </c>
      <c r="D527" s="5" t="n">
        <v>16</v>
      </c>
      <c r="E527" s="6" t="n">
        <f aca="false">DATE(2024,9,21)</f>
        <v>45556</v>
      </c>
      <c r="F527" s="7" t="n">
        <f aca="false">C527*D527</f>
        <v>304</v>
      </c>
      <c r="G527" s="7" t="n">
        <f aca="false">ROUND(F527*0.2,2)</f>
        <v>60.8</v>
      </c>
      <c r="H527" s="4" t="str">
        <f aca="false">IF(F527&gt;500,"Yüksek",IF(F527&gt;100,"Orta","Düşük"))</f>
        <v>Orta</v>
      </c>
    </row>
    <row r="528" customFormat="false" ht="12.8" hidden="false" customHeight="false" outlineLevel="0" collapsed="false">
      <c r="A528" s="4" t="s">
        <v>20</v>
      </c>
      <c r="B528" s="4" t="s">
        <v>11</v>
      </c>
      <c r="C528" s="4" t="n">
        <v>26</v>
      </c>
      <c r="D528" s="5" t="n">
        <v>18.75</v>
      </c>
      <c r="E528" s="6" t="n">
        <f aca="false">DATE(2024,10,22)</f>
        <v>45587</v>
      </c>
      <c r="F528" s="7" t="n">
        <f aca="false">C528*D528</f>
        <v>487.5</v>
      </c>
      <c r="G528" s="7" t="n">
        <f aca="false">ROUND(F528*0.2,2)</f>
        <v>97.5</v>
      </c>
      <c r="H528" s="4" t="str">
        <f aca="false">IF(F528&gt;500,"Yüksek",IF(F528&gt;100,"Orta","Düşük"))</f>
        <v>Orta</v>
      </c>
    </row>
    <row r="529" customFormat="false" ht="12.8" hidden="false" customHeight="false" outlineLevel="0" collapsed="false">
      <c r="A529" s="4" t="s">
        <v>21</v>
      </c>
      <c r="B529" s="4" t="s">
        <v>13</v>
      </c>
      <c r="C529" s="4" t="n">
        <v>33</v>
      </c>
      <c r="D529" s="5" t="n">
        <v>21.5</v>
      </c>
      <c r="E529" s="6" t="n">
        <f aca="false">DATE(2024,11,23)</f>
        <v>45619</v>
      </c>
      <c r="F529" s="7" t="n">
        <f aca="false">C529*D529</f>
        <v>709.5</v>
      </c>
      <c r="G529" s="7" t="n">
        <f aca="false">ROUND(F529*0.2,2)</f>
        <v>141.9</v>
      </c>
      <c r="H529" s="4" t="str">
        <f aca="false">IF(F529&gt;500,"Yüksek",IF(F529&gt;100,"Orta","Düşük"))</f>
        <v>Yüksek</v>
      </c>
    </row>
    <row r="530" customFormat="false" ht="12.8" hidden="false" customHeight="false" outlineLevel="0" collapsed="false">
      <c r="A530" s="4" t="s">
        <v>22</v>
      </c>
      <c r="B530" s="4" t="s">
        <v>15</v>
      </c>
      <c r="C530" s="4" t="n">
        <v>40</v>
      </c>
      <c r="D530" s="5" t="n">
        <v>24.25</v>
      </c>
      <c r="E530" s="6" t="n">
        <f aca="false">DATE(2024,12,24)</f>
        <v>45650</v>
      </c>
      <c r="F530" s="7" t="n">
        <f aca="false">C530*D530</f>
        <v>970</v>
      </c>
      <c r="G530" s="7" t="n">
        <f aca="false">ROUND(F530*0.2,2)</f>
        <v>194</v>
      </c>
      <c r="H530" s="4" t="str">
        <f aca="false">IF(F530&gt;500,"Yüksek",IF(F530&gt;100,"Orta","Düşük"))</f>
        <v>Yüksek</v>
      </c>
    </row>
    <row r="531" customFormat="false" ht="12.8" hidden="false" customHeight="false" outlineLevel="0" collapsed="false">
      <c r="A531" s="4" t="s">
        <v>23</v>
      </c>
      <c r="B531" s="4" t="s">
        <v>17</v>
      </c>
      <c r="C531" s="4" t="n">
        <v>47</v>
      </c>
      <c r="D531" s="5" t="n">
        <v>27</v>
      </c>
      <c r="E531" s="6" t="n">
        <f aca="false">DATE(2024,1,25)</f>
        <v>45316</v>
      </c>
      <c r="F531" s="7" t="n">
        <f aca="false">C531*D531</f>
        <v>1269</v>
      </c>
      <c r="G531" s="7" t="n">
        <f aca="false">ROUND(F531*0.2,2)</f>
        <v>253.8</v>
      </c>
      <c r="H531" s="4" t="str">
        <f aca="false">IF(F531&gt;500,"Yüksek",IF(F531&gt;100,"Orta","Düşük"))</f>
        <v>Yüksek</v>
      </c>
    </row>
    <row r="532" customFormat="false" ht="12.8" hidden="false" customHeight="false" outlineLevel="0" collapsed="false">
      <c r="A532" s="4" t="s">
        <v>24</v>
      </c>
      <c r="B532" s="4" t="s">
        <v>19</v>
      </c>
      <c r="C532" s="4" t="n">
        <v>4</v>
      </c>
      <c r="D532" s="5" t="n">
        <v>29.75</v>
      </c>
      <c r="E532" s="6" t="n">
        <f aca="false">DATE(2024,2,26)</f>
        <v>45348</v>
      </c>
      <c r="F532" s="7" t="n">
        <f aca="false">C532*D532</f>
        <v>119</v>
      </c>
      <c r="G532" s="7" t="n">
        <f aca="false">ROUND(F532*0.2,2)</f>
        <v>23.8</v>
      </c>
      <c r="H532" s="4" t="str">
        <f aca="false">IF(F532&gt;500,"Yüksek",IF(F532&gt;100,"Orta","Düşük"))</f>
        <v>Orta</v>
      </c>
    </row>
    <row r="533" customFormat="false" ht="12.8" hidden="false" customHeight="false" outlineLevel="0" collapsed="false">
      <c r="A533" s="4" t="s">
        <v>10</v>
      </c>
      <c r="B533" s="4" t="s">
        <v>11</v>
      </c>
      <c r="C533" s="4" t="n">
        <v>11</v>
      </c>
      <c r="D533" s="5" t="n">
        <v>32.5</v>
      </c>
      <c r="E533" s="6" t="n">
        <f aca="false">DATE(2024,3,27)</f>
        <v>45378</v>
      </c>
      <c r="F533" s="7" t="n">
        <f aca="false">C533*D533</f>
        <v>357.5</v>
      </c>
      <c r="G533" s="7" t="n">
        <f aca="false">ROUND(F533*0.2,2)</f>
        <v>71.5</v>
      </c>
      <c r="H533" s="4" t="str">
        <f aca="false">IF(F533&gt;500,"Yüksek",IF(F533&gt;100,"Orta","Düşük"))</f>
        <v>Orta</v>
      </c>
    </row>
    <row r="534" customFormat="false" ht="12.8" hidden="false" customHeight="false" outlineLevel="0" collapsed="false">
      <c r="A534" s="4" t="s">
        <v>12</v>
      </c>
      <c r="B534" s="4" t="s">
        <v>13</v>
      </c>
      <c r="C534" s="4" t="n">
        <v>18</v>
      </c>
      <c r="D534" s="5" t="n">
        <v>35.25</v>
      </c>
      <c r="E534" s="6" t="n">
        <f aca="false">DATE(2024,4,28)</f>
        <v>45410</v>
      </c>
      <c r="F534" s="7" t="n">
        <f aca="false">C534*D534</f>
        <v>634.5</v>
      </c>
      <c r="G534" s="7" t="n">
        <f aca="false">ROUND(F534*0.2,2)</f>
        <v>126.9</v>
      </c>
      <c r="H534" s="4" t="str">
        <f aca="false">IF(F534&gt;500,"Yüksek",IF(F534&gt;100,"Orta","Düşük"))</f>
        <v>Yüksek</v>
      </c>
    </row>
    <row r="535" customFormat="false" ht="12.8" hidden="false" customHeight="false" outlineLevel="0" collapsed="false">
      <c r="A535" s="4" t="s">
        <v>14</v>
      </c>
      <c r="B535" s="4" t="s">
        <v>15</v>
      </c>
      <c r="C535" s="4" t="n">
        <v>25</v>
      </c>
      <c r="D535" s="5" t="n">
        <v>38</v>
      </c>
      <c r="E535" s="6" t="n">
        <f aca="false">DATE(2024,5,1)</f>
        <v>45413</v>
      </c>
      <c r="F535" s="7" t="n">
        <f aca="false">C535*D535</f>
        <v>950</v>
      </c>
      <c r="G535" s="7" t="n">
        <f aca="false">ROUND(F535*0.2,2)</f>
        <v>190</v>
      </c>
      <c r="H535" s="4" t="str">
        <f aca="false">IF(F535&gt;500,"Yüksek",IF(F535&gt;100,"Orta","Düşük"))</f>
        <v>Yüksek</v>
      </c>
    </row>
    <row r="536" customFormat="false" ht="12.8" hidden="false" customHeight="false" outlineLevel="0" collapsed="false">
      <c r="A536" s="4" t="s">
        <v>16</v>
      </c>
      <c r="B536" s="4" t="s">
        <v>17</v>
      </c>
      <c r="C536" s="4" t="n">
        <v>32</v>
      </c>
      <c r="D536" s="5" t="n">
        <v>5</v>
      </c>
      <c r="E536" s="6" t="n">
        <f aca="false">DATE(2024,6,2)</f>
        <v>45445</v>
      </c>
      <c r="F536" s="7" t="n">
        <f aca="false">C536*D536</f>
        <v>160</v>
      </c>
      <c r="G536" s="7" t="n">
        <f aca="false">ROUND(F536*0.2,2)</f>
        <v>32</v>
      </c>
      <c r="H536" s="4" t="str">
        <f aca="false">IF(F536&gt;500,"Yüksek",IF(F536&gt;100,"Orta","Düşük"))</f>
        <v>Orta</v>
      </c>
    </row>
    <row r="537" customFormat="false" ht="12.8" hidden="false" customHeight="false" outlineLevel="0" collapsed="false">
      <c r="A537" s="4" t="s">
        <v>18</v>
      </c>
      <c r="B537" s="4" t="s">
        <v>19</v>
      </c>
      <c r="C537" s="4" t="n">
        <v>39</v>
      </c>
      <c r="D537" s="5" t="n">
        <v>7.75</v>
      </c>
      <c r="E537" s="6" t="n">
        <f aca="false">DATE(2024,7,3)</f>
        <v>45476</v>
      </c>
      <c r="F537" s="7" t="n">
        <f aca="false">C537*D537</f>
        <v>302.25</v>
      </c>
      <c r="G537" s="7" t="n">
        <f aca="false">ROUND(F537*0.2,2)</f>
        <v>60.45</v>
      </c>
      <c r="H537" s="4" t="str">
        <f aca="false">IF(F537&gt;500,"Yüksek",IF(F537&gt;100,"Orta","Düşük"))</f>
        <v>Orta</v>
      </c>
    </row>
    <row r="538" customFormat="false" ht="12.8" hidden="false" customHeight="false" outlineLevel="0" collapsed="false">
      <c r="A538" s="4" t="s">
        <v>20</v>
      </c>
      <c r="B538" s="4" t="s">
        <v>11</v>
      </c>
      <c r="C538" s="4" t="n">
        <v>46</v>
      </c>
      <c r="D538" s="5" t="n">
        <v>10.5</v>
      </c>
      <c r="E538" s="6" t="n">
        <f aca="false">DATE(2024,8,4)</f>
        <v>45508</v>
      </c>
      <c r="F538" s="7" t="n">
        <f aca="false">C538*D538</f>
        <v>483</v>
      </c>
      <c r="G538" s="7" t="n">
        <f aca="false">ROUND(F538*0.2,2)</f>
        <v>96.6</v>
      </c>
      <c r="H538" s="4" t="str">
        <f aca="false">IF(F538&gt;500,"Yüksek",IF(F538&gt;100,"Orta","Düşük"))</f>
        <v>Orta</v>
      </c>
    </row>
    <row r="539" customFormat="false" ht="12.8" hidden="false" customHeight="false" outlineLevel="0" collapsed="false">
      <c r="A539" s="4" t="s">
        <v>21</v>
      </c>
      <c r="B539" s="4" t="s">
        <v>13</v>
      </c>
      <c r="C539" s="4" t="n">
        <v>3</v>
      </c>
      <c r="D539" s="5" t="n">
        <v>13.25</v>
      </c>
      <c r="E539" s="6" t="n">
        <f aca="false">DATE(2024,9,5)</f>
        <v>45540</v>
      </c>
      <c r="F539" s="7" t="n">
        <f aca="false">C539*D539</f>
        <v>39.75</v>
      </c>
      <c r="G539" s="7" t="n">
        <f aca="false">ROUND(F539*0.2,2)</f>
        <v>7.95</v>
      </c>
      <c r="H539" s="4" t="str">
        <f aca="false">IF(F539&gt;500,"Yüksek",IF(F539&gt;100,"Orta","Düşük"))</f>
        <v>Düşük</v>
      </c>
    </row>
    <row r="540" customFormat="false" ht="12.8" hidden="false" customHeight="false" outlineLevel="0" collapsed="false">
      <c r="A540" s="4" t="s">
        <v>22</v>
      </c>
      <c r="B540" s="4" t="s">
        <v>15</v>
      </c>
      <c r="C540" s="4" t="n">
        <v>10</v>
      </c>
      <c r="D540" s="5" t="n">
        <v>16</v>
      </c>
      <c r="E540" s="6" t="n">
        <f aca="false">DATE(2024,10,6)</f>
        <v>45571</v>
      </c>
      <c r="F540" s="7" t="n">
        <f aca="false">C540*D540</f>
        <v>160</v>
      </c>
      <c r="G540" s="7" t="n">
        <f aca="false">ROUND(F540*0.2,2)</f>
        <v>32</v>
      </c>
      <c r="H540" s="4" t="str">
        <f aca="false">IF(F540&gt;500,"Yüksek",IF(F540&gt;100,"Orta","Düşük"))</f>
        <v>Orta</v>
      </c>
    </row>
    <row r="541" customFormat="false" ht="12.8" hidden="false" customHeight="false" outlineLevel="0" collapsed="false">
      <c r="A541" s="4" t="s">
        <v>23</v>
      </c>
      <c r="B541" s="4" t="s">
        <v>17</v>
      </c>
      <c r="C541" s="4" t="n">
        <v>17</v>
      </c>
      <c r="D541" s="5" t="n">
        <v>18.75</v>
      </c>
      <c r="E541" s="6" t="n">
        <f aca="false">DATE(2024,11,7)</f>
        <v>45603</v>
      </c>
      <c r="F541" s="7" t="n">
        <f aca="false">C541*D541</f>
        <v>318.75</v>
      </c>
      <c r="G541" s="7" t="n">
        <f aca="false">ROUND(F541*0.2,2)</f>
        <v>63.75</v>
      </c>
      <c r="H541" s="4" t="str">
        <f aca="false">IF(F541&gt;500,"Yüksek",IF(F541&gt;100,"Orta","Düşük"))</f>
        <v>Orta</v>
      </c>
    </row>
    <row r="542" customFormat="false" ht="12.8" hidden="false" customHeight="false" outlineLevel="0" collapsed="false">
      <c r="A542" s="4" t="s">
        <v>24</v>
      </c>
      <c r="B542" s="4" t="s">
        <v>19</v>
      </c>
      <c r="C542" s="4" t="n">
        <v>24</v>
      </c>
      <c r="D542" s="5" t="n">
        <v>21.5</v>
      </c>
      <c r="E542" s="6" t="n">
        <f aca="false">DATE(2024,12,8)</f>
        <v>45634</v>
      </c>
      <c r="F542" s="7" t="n">
        <f aca="false">C542*D542</f>
        <v>516</v>
      </c>
      <c r="G542" s="7" t="n">
        <f aca="false">ROUND(F542*0.2,2)</f>
        <v>103.2</v>
      </c>
      <c r="H542" s="4" t="str">
        <f aca="false">IF(F542&gt;500,"Yüksek",IF(F542&gt;100,"Orta","Düşük"))</f>
        <v>Yüksek</v>
      </c>
    </row>
    <row r="543" customFormat="false" ht="12.8" hidden="false" customHeight="false" outlineLevel="0" collapsed="false">
      <c r="A543" s="4" t="s">
        <v>10</v>
      </c>
      <c r="B543" s="4" t="s">
        <v>11</v>
      </c>
      <c r="C543" s="4" t="n">
        <v>31</v>
      </c>
      <c r="D543" s="5" t="n">
        <v>24.25</v>
      </c>
      <c r="E543" s="6" t="n">
        <f aca="false">DATE(2024,1,9)</f>
        <v>45300</v>
      </c>
      <c r="F543" s="7" t="n">
        <f aca="false">C543*D543</f>
        <v>751.75</v>
      </c>
      <c r="G543" s="7" t="n">
        <f aca="false">ROUND(F543*0.2,2)</f>
        <v>150.35</v>
      </c>
      <c r="H543" s="4" t="str">
        <f aca="false">IF(F543&gt;500,"Yüksek",IF(F543&gt;100,"Orta","Düşük"))</f>
        <v>Yüksek</v>
      </c>
    </row>
    <row r="544" customFormat="false" ht="12.8" hidden="false" customHeight="false" outlineLevel="0" collapsed="false">
      <c r="A544" s="4" t="s">
        <v>12</v>
      </c>
      <c r="B544" s="4" t="s">
        <v>13</v>
      </c>
      <c r="C544" s="4" t="n">
        <v>38</v>
      </c>
      <c r="D544" s="5" t="n">
        <v>27</v>
      </c>
      <c r="E544" s="6" t="n">
        <f aca="false">DATE(2024,2,10)</f>
        <v>45332</v>
      </c>
      <c r="F544" s="7" t="n">
        <f aca="false">C544*D544</f>
        <v>1026</v>
      </c>
      <c r="G544" s="7" t="n">
        <f aca="false">ROUND(F544*0.2,2)</f>
        <v>205.2</v>
      </c>
      <c r="H544" s="4" t="str">
        <f aca="false">IF(F544&gt;500,"Yüksek",IF(F544&gt;100,"Orta","Düşük"))</f>
        <v>Yüksek</v>
      </c>
    </row>
    <row r="545" customFormat="false" ht="12.8" hidden="false" customHeight="false" outlineLevel="0" collapsed="false">
      <c r="A545" s="4" t="s">
        <v>14</v>
      </c>
      <c r="B545" s="4" t="s">
        <v>15</v>
      </c>
      <c r="C545" s="4" t="n">
        <v>45</v>
      </c>
      <c r="D545" s="5" t="n">
        <v>29.75</v>
      </c>
      <c r="E545" s="6" t="n">
        <f aca="false">DATE(2024,3,11)</f>
        <v>45362</v>
      </c>
      <c r="F545" s="7" t="n">
        <f aca="false">C545*D545</f>
        <v>1338.75</v>
      </c>
      <c r="G545" s="7" t="n">
        <f aca="false">ROUND(F545*0.2,2)</f>
        <v>267.75</v>
      </c>
      <c r="H545" s="4" t="str">
        <f aca="false">IF(F545&gt;500,"Yüksek",IF(F545&gt;100,"Orta","Düşük"))</f>
        <v>Yüksek</v>
      </c>
    </row>
    <row r="546" customFormat="false" ht="12.8" hidden="false" customHeight="false" outlineLevel="0" collapsed="false">
      <c r="A546" s="4" t="s">
        <v>16</v>
      </c>
      <c r="B546" s="4" t="s">
        <v>17</v>
      </c>
      <c r="C546" s="4" t="n">
        <v>2</v>
      </c>
      <c r="D546" s="5" t="n">
        <v>32.5</v>
      </c>
      <c r="E546" s="6" t="n">
        <f aca="false">DATE(2024,4,12)</f>
        <v>45394</v>
      </c>
      <c r="F546" s="7" t="n">
        <f aca="false">C546*D546</f>
        <v>65</v>
      </c>
      <c r="G546" s="7" t="n">
        <f aca="false">ROUND(F546*0.2,2)</f>
        <v>13</v>
      </c>
      <c r="H546" s="4" t="str">
        <f aca="false">IF(F546&gt;500,"Yüksek",IF(F546&gt;100,"Orta","Düşük"))</f>
        <v>Düşük</v>
      </c>
    </row>
    <row r="547" customFormat="false" ht="12.8" hidden="false" customHeight="false" outlineLevel="0" collapsed="false">
      <c r="A547" s="4" t="s">
        <v>18</v>
      </c>
      <c r="B547" s="4" t="s">
        <v>19</v>
      </c>
      <c r="C547" s="4" t="n">
        <v>9</v>
      </c>
      <c r="D547" s="5" t="n">
        <v>35.25</v>
      </c>
      <c r="E547" s="6" t="n">
        <f aca="false">DATE(2024,5,13)</f>
        <v>45425</v>
      </c>
      <c r="F547" s="7" t="n">
        <f aca="false">C547*D547</f>
        <v>317.25</v>
      </c>
      <c r="G547" s="7" t="n">
        <f aca="false">ROUND(F547*0.2,2)</f>
        <v>63.45</v>
      </c>
      <c r="H547" s="4" t="str">
        <f aca="false">IF(F547&gt;500,"Yüksek",IF(F547&gt;100,"Orta","Düşük"))</f>
        <v>Orta</v>
      </c>
    </row>
    <row r="548" customFormat="false" ht="12.8" hidden="false" customHeight="false" outlineLevel="0" collapsed="false">
      <c r="A548" s="4" t="s">
        <v>20</v>
      </c>
      <c r="B548" s="4" t="s">
        <v>11</v>
      </c>
      <c r="C548" s="4" t="n">
        <v>16</v>
      </c>
      <c r="D548" s="5" t="n">
        <v>38</v>
      </c>
      <c r="E548" s="6" t="n">
        <f aca="false">DATE(2024,6,14)</f>
        <v>45457</v>
      </c>
      <c r="F548" s="7" t="n">
        <f aca="false">C548*D548</f>
        <v>608</v>
      </c>
      <c r="G548" s="7" t="n">
        <f aca="false">ROUND(F548*0.2,2)</f>
        <v>121.6</v>
      </c>
      <c r="H548" s="4" t="str">
        <f aca="false">IF(F548&gt;500,"Yüksek",IF(F548&gt;100,"Orta","Düşük"))</f>
        <v>Yüksek</v>
      </c>
    </row>
    <row r="549" customFormat="false" ht="12.8" hidden="false" customHeight="false" outlineLevel="0" collapsed="false">
      <c r="A549" s="4" t="s">
        <v>21</v>
      </c>
      <c r="B549" s="4" t="s">
        <v>13</v>
      </c>
      <c r="C549" s="4" t="n">
        <v>23</v>
      </c>
      <c r="D549" s="5" t="n">
        <v>5</v>
      </c>
      <c r="E549" s="6" t="n">
        <f aca="false">DATE(2024,7,15)</f>
        <v>45488</v>
      </c>
      <c r="F549" s="7" t="n">
        <f aca="false">C549*D549</f>
        <v>115</v>
      </c>
      <c r="G549" s="7" t="n">
        <f aca="false">ROUND(F549*0.2,2)</f>
        <v>23</v>
      </c>
      <c r="H549" s="4" t="str">
        <f aca="false">IF(F549&gt;500,"Yüksek",IF(F549&gt;100,"Orta","Düşük"))</f>
        <v>Orta</v>
      </c>
    </row>
    <row r="550" customFormat="false" ht="12.8" hidden="false" customHeight="false" outlineLevel="0" collapsed="false">
      <c r="A550" s="4" t="s">
        <v>22</v>
      </c>
      <c r="B550" s="4" t="s">
        <v>15</v>
      </c>
      <c r="C550" s="4" t="n">
        <v>30</v>
      </c>
      <c r="D550" s="5" t="n">
        <v>7.75</v>
      </c>
      <c r="E550" s="6" t="n">
        <f aca="false">DATE(2024,8,16)</f>
        <v>45520</v>
      </c>
      <c r="F550" s="7" t="n">
        <f aca="false">C550*D550</f>
        <v>232.5</v>
      </c>
      <c r="G550" s="7" t="n">
        <f aca="false">ROUND(F550*0.2,2)</f>
        <v>46.5</v>
      </c>
      <c r="H550" s="4" t="str">
        <f aca="false">IF(F550&gt;500,"Yüksek",IF(F550&gt;100,"Orta","Düşük"))</f>
        <v>Orta</v>
      </c>
    </row>
    <row r="551" customFormat="false" ht="12.8" hidden="false" customHeight="false" outlineLevel="0" collapsed="false">
      <c r="A551" s="4" t="s">
        <v>23</v>
      </c>
      <c r="B551" s="4" t="s">
        <v>17</v>
      </c>
      <c r="C551" s="4" t="n">
        <v>37</v>
      </c>
      <c r="D551" s="5" t="n">
        <v>10.5</v>
      </c>
      <c r="E551" s="6" t="n">
        <f aca="false">DATE(2024,9,17)</f>
        <v>45552</v>
      </c>
      <c r="F551" s="7" t="n">
        <f aca="false">C551*D551</f>
        <v>388.5</v>
      </c>
      <c r="G551" s="7" t="n">
        <f aca="false">ROUND(F551*0.2,2)</f>
        <v>77.7</v>
      </c>
      <c r="H551" s="4" t="str">
        <f aca="false">IF(F551&gt;500,"Yüksek",IF(F551&gt;100,"Orta","Düşük"))</f>
        <v>Orta</v>
      </c>
    </row>
    <row r="552" customFormat="false" ht="12.8" hidden="false" customHeight="false" outlineLevel="0" collapsed="false">
      <c r="A552" s="4" t="s">
        <v>24</v>
      </c>
      <c r="B552" s="4" t="s">
        <v>19</v>
      </c>
      <c r="C552" s="4" t="n">
        <v>44</v>
      </c>
      <c r="D552" s="5" t="n">
        <v>13.25</v>
      </c>
      <c r="E552" s="6" t="n">
        <f aca="false">DATE(2024,10,18)</f>
        <v>45583</v>
      </c>
      <c r="F552" s="7" t="n">
        <f aca="false">C552*D552</f>
        <v>583</v>
      </c>
      <c r="G552" s="7" t="n">
        <f aca="false">ROUND(F552*0.2,2)</f>
        <v>116.6</v>
      </c>
      <c r="H552" s="4" t="str">
        <f aca="false">IF(F552&gt;500,"Yüksek",IF(F552&gt;100,"Orta","Düşük"))</f>
        <v>Yüksek</v>
      </c>
    </row>
    <row r="553" customFormat="false" ht="12.8" hidden="false" customHeight="false" outlineLevel="0" collapsed="false">
      <c r="A553" s="4" t="s">
        <v>10</v>
      </c>
      <c r="B553" s="4" t="s">
        <v>11</v>
      </c>
      <c r="C553" s="4" t="n">
        <v>1</v>
      </c>
      <c r="D553" s="5" t="n">
        <v>16</v>
      </c>
      <c r="E553" s="6" t="n">
        <f aca="false">DATE(2024,11,19)</f>
        <v>45615</v>
      </c>
      <c r="F553" s="7" t="n">
        <f aca="false">C553*D553</f>
        <v>16</v>
      </c>
      <c r="G553" s="7" t="n">
        <f aca="false">ROUND(F553*0.2,2)</f>
        <v>3.2</v>
      </c>
      <c r="H553" s="4" t="str">
        <f aca="false">IF(F553&gt;500,"Yüksek",IF(F553&gt;100,"Orta","Düşük"))</f>
        <v>Düşük</v>
      </c>
    </row>
    <row r="554" customFormat="false" ht="12.8" hidden="false" customHeight="false" outlineLevel="0" collapsed="false">
      <c r="A554" s="4" t="s">
        <v>12</v>
      </c>
      <c r="B554" s="4" t="s">
        <v>13</v>
      </c>
      <c r="C554" s="4" t="n">
        <v>8</v>
      </c>
      <c r="D554" s="5" t="n">
        <v>18.75</v>
      </c>
      <c r="E554" s="6" t="n">
        <f aca="false">DATE(2024,12,20)</f>
        <v>45646</v>
      </c>
      <c r="F554" s="7" t="n">
        <f aca="false">C554*D554</f>
        <v>150</v>
      </c>
      <c r="G554" s="7" t="n">
        <f aca="false">ROUND(F554*0.2,2)</f>
        <v>30</v>
      </c>
      <c r="H554" s="4" t="str">
        <f aca="false">IF(F554&gt;500,"Yüksek",IF(F554&gt;100,"Orta","Düşük"))</f>
        <v>Orta</v>
      </c>
    </row>
    <row r="555" customFormat="false" ht="12.8" hidden="false" customHeight="false" outlineLevel="0" collapsed="false">
      <c r="A555" s="4" t="s">
        <v>14</v>
      </c>
      <c r="B555" s="4" t="s">
        <v>15</v>
      </c>
      <c r="C555" s="4" t="n">
        <v>15</v>
      </c>
      <c r="D555" s="5" t="n">
        <v>21.5</v>
      </c>
      <c r="E555" s="6" t="n">
        <f aca="false">DATE(2024,1,21)</f>
        <v>45312</v>
      </c>
      <c r="F555" s="7" t="n">
        <f aca="false">C555*D555</f>
        <v>322.5</v>
      </c>
      <c r="G555" s="7" t="n">
        <f aca="false">ROUND(F555*0.2,2)</f>
        <v>64.5</v>
      </c>
      <c r="H555" s="4" t="str">
        <f aca="false">IF(F555&gt;500,"Yüksek",IF(F555&gt;100,"Orta","Düşük"))</f>
        <v>Orta</v>
      </c>
    </row>
    <row r="556" customFormat="false" ht="12.8" hidden="false" customHeight="false" outlineLevel="0" collapsed="false">
      <c r="A556" s="4" t="s">
        <v>16</v>
      </c>
      <c r="B556" s="4" t="s">
        <v>17</v>
      </c>
      <c r="C556" s="4" t="n">
        <v>22</v>
      </c>
      <c r="D556" s="5" t="n">
        <v>24.25</v>
      </c>
      <c r="E556" s="6" t="n">
        <f aca="false">DATE(2024,2,22)</f>
        <v>45344</v>
      </c>
      <c r="F556" s="7" t="n">
        <f aca="false">C556*D556</f>
        <v>533.5</v>
      </c>
      <c r="G556" s="7" t="n">
        <f aca="false">ROUND(F556*0.2,2)</f>
        <v>106.7</v>
      </c>
      <c r="H556" s="4" t="str">
        <f aca="false">IF(F556&gt;500,"Yüksek",IF(F556&gt;100,"Orta","Düşük"))</f>
        <v>Yüksek</v>
      </c>
    </row>
    <row r="557" customFormat="false" ht="12.8" hidden="false" customHeight="false" outlineLevel="0" collapsed="false">
      <c r="A557" s="4" t="s">
        <v>18</v>
      </c>
      <c r="B557" s="4" t="s">
        <v>19</v>
      </c>
      <c r="C557" s="4" t="n">
        <v>29</v>
      </c>
      <c r="D557" s="5" t="n">
        <v>27</v>
      </c>
      <c r="E557" s="6" t="n">
        <f aca="false">DATE(2024,3,23)</f>
        <v>45374</v>
      </c>
      <c r="F557" s="7" t="n">
        <f aca="false">C557*D557</f>
        <v>783</v>
      </c>
      <c r="G557" s="7" t="n">
        <f aca="false">ROUND(F557*0.2,2)</f>
        <v>156.6</v>
      </c>
      <c r="H557" s="4" t="str">
        <f aca="false">IF(F557&gt;500,"Yüksek",IF(F557&gt;100,"Orta","Düşük"))</f>
        <v>Yüksek</v>
      </c>
    </row>
    <row r="558" customFormat="false" ht="12.8" hidden="false" customHeight="false" outlineLevel="0" collapsed="false">
      <c r="A558" s="4" t="s">
        <v>20</v>
      </c>
      <c r="B558" s="4" t="s">
        <v>11</v>
      </c>
      <c r="C558" s="4" t="n">
        <v>36</v>
      </c>
      <c r="D558" s="5" t="n">
        <v>29.75</v>
      </c>
      <c r="E558" s="6" t="n">
        <f aca="false">DATE(2024,4,24)</f>
        <v>45406</v>
      </c>
      <c r="F558" s="7" t="n">
        <f aca="false">C558*D558</f>
        <v>1071</v>
      </c>
      <c r="G558" s="7" t="n">
        <f aca="false">ROUND(F558*0.2,2)</f>
        <v>214.2</v>
      </c>
      <c r="H558" s="4" t="str">
        <f aca="false">IF(F558&gt;500,"Yüksek",IF(F558&gt;100,"Orta","Düşük"))</f>
        <v>Yüksek</v>
      </c>
    </row>
    <row r="559" customFormat="false" ht="12.8" hidden="false" customHeight="false" outlineLevel="0" collapsed="false">
      <c r="A559" s="4" t="s">
        <v>21</v>
      </c>
      <c r="B559" s="4" t="s">
        <v>13</v>
      </c>
      <c r="C559" s="4" t="n">
        <v>43</v>
      </c>
      <c r="D559" s="5" t="n">
        <v>32.5</v>
      </c>
      <c r="E559" s="6" t="n">
        <f aca="false">DATE(2024,5,25)</f>
        <v>45437</v>
      </c>
      <c r="F559" s="7" t="n">
        <f aca="false">C559*D559</f>
        <v>1397.5</v>
      </c>
      <c r="G559" s="7" t="n">
        <f aca="false">ROUND(F559*0.2,2)</f>
        <v>279.5</v>
      </c>
      <c r="H559" s="4" t="str">
        <f aca="false">IF(F559&gt;500,"Yüksek",IF(F559&gt;100,"Orta","Düşük"))</f>
        <v>Yüksek</v>
      </c>
    </row>
    <row r="560" customFormat="false" ht="12.8" hidden="false" customHeight="false" outlineLevel="0" collapsed="false">
      <c r="A560" s="4" t="s">
        <v>22</v>
      </c>
      <c r="B560" s="4" t="s">
        <v>15</v>
      </c>
      <c r="C560" s="4" t="n">
        <v>50</v>
      </c>
      <c r="D560" s="5" t="n">
        <v>35.25</v>
      </c>
      <c r="E560" s="6" t="n">
        <f aca="false">DATE(2024,6,26)</f>
        <v>45469</v>
      </c>
      <c r="F560" s="7" t="n">
        <f aca="false">C560*D560</f>
        <v>1762.5</v>
      </c>
      <c r="G560" s="7" t="n">
        <f aca="false">ROUND(F560*0.2,2)</f>
        <v>352.5</v>
      </c>
      <c r="H560" s="4" t="str">
        <f aca="false">IF(F560&gt;500,"Yüksek",IF(F560&gt;100,"Orta","Düşük"))</f>
        <v>Yüksek</v>
      </c>
    </row>
    <row r="561" customFormat="false" ht="12.8" hidden="false" customHeight="false" outlineLevel="0" collapsed="false">
      <c r="A561" s="4" t="s">
        <v>23</v>
      </c>
      <c r="B561" s="4" t="s">
        <v>17</v>
      </c>
      <c r="C561" s="4" t="n">
        <v>7</v>
      </c>
      <c r="D561" s="5" t="n">
        <v>38</v>
      </c>
      <c r="E561" s="6" t="n">
        <f aca="false">DATE(2024,7,27)</f>
        <v>45500</v>
      </c>
      <c r="F561" s="7" t="n">
        <f aca="false">C561*D561</f>
        <v>266</v>
      </c>
      <c r="G561" s="7" t="n">
        <f aca="false">ROUND(F561*0.2,2)</f>
        <v>53.2</v>
      </c>
      <c r="H561" s="4" t="str">
        <f aca="false">IF(F561&gt;500,"Yüksek",IF(F561&gt;100,"Orta","Düşük"))</f>
        <v>Orta</v>
      </c>
    </row>
    <row r="562" customFormat="false" ht="12.8" hidden="false" customHeight="false" outlineLevel="0" collapsed="false">
      <c r="A562" s="4" t="s">
        <v>24</v>
      </c>
      <c r="B562" s="4" t="s">
        <v>19</v>
      </c>
      <c r="C562" s="4" t="n">
        <v>14</v>
      </c>
      <c r="D562" s="5" t="n">
        <v>5</v>
      </c>
      <c r="E562" s="6" t="n">
        <f aca="false">DATE(2024,8,28)</f>
        <v>45532</v>
      </c>
      <c r="F562" s="7" t="n">
        <f aca="false">C562*D562</f>
        <v>70</v>
      </c>
      <c r="G562" s="7" t="n">
        <f aca="false">ROUND(F562*0.2,2)</f>
        <v>14</v>
      </c>
      <c r="H562" s="4" t="str">
        <f aca="false">IF(F562&gt;500,"Yüksek",IF(F562&gt;100,"Orta","Düşük"))</f>
        <v>Düşük</v>
      </c>
    </row>
    <row r="563" customFormat="false" ht="12.8" hidden="false" customHeight="false" outlineLevel="0" collapsed="false">
      <c r="A563" s="4" t="s">
        <v>10</v>
      </c>
      <c r="B563" s="4" t="s">
        <v>11</v>
      </c>
      <c r="C563" s="4" t="n">
        <v>21</v>
      </c>
      <c r="D563" s="5" t="n">
        <v>7.75</v>
      </c>
      <c r="E563" s="6" t="n">
        <f aca="false">DATE(2024,9,1)</f>
        <v>45536</v>
      </c>
      <c r="F563" s="7" t="n">
        <f aca="false">C563*D563</f>
        <v>162.75</v>
      </c>
      <c r="G563" s="7" t="n">
        <f aca="false">ROUND(F563*0.2,2)</f>
        <v>32.55</v>
      </c>
      <c r="H563" s="4" t="str">
        <f aca="false">IF(F563&gt;500,"Yüksek",IF(F563&gt;100,"Orta","Düşük"))</f>
        <v>Orta</v>
      </c>
    </row>
    <row r="564" customFormat="false" ht="12.8" hidden="false" customHeight="false" outlineLevel="0" collapsed="false">
      <c r="A564" s="4" t="s">
        <v>12</v>
      </c>
      <c r="B564" s="4" t="s">
        <v>13</v>
      </c>
      <c r="C564" s="4" t="n">
        <v>28</v>
      </c>
      <c r="D564" s="5" t="n">
        <v>10.5</v>
      </c>
      <c r="E564" s="6" t="n">
        <f aca="false">DATE(2024,10,2)</f>
        <v>45567</v>
      </c>
      <c r="F564" s="7" t="n">
        <f aca="false">C564*D564</f>
        <v>294</v>
      </c>
      <c r="G564" s="7" t="n">
        <f aca="false">ROUND(F564*0.2,2)</f>
        <v>58.8</v>
      </c>
      <c r="H564" s="4" t="str">
        <f aca="false">IF(F564&gt;500,"Yüksek",IF(F564&gt;100,"Orta","Düşük"))</f>
        <v>Orta</v>
      </c>
    </row>
    <row r="565" customFormat="false" ht="12.8" hidden="false" customHeight="false" outlineLevel="0" collapsed="false">
      <c r="A565" s="4" t="s">
        <v>14</v>
      </c>
      <c r="B565" s="4" t="s">
        <v>15</v>
      </c>
      <c r="C565" s="4" t="n">
        <v>35</v>
      </c>
      <c r="D565" s="5" t="n">
        <v>13.25</v>
      </c>
      <c r="E565" s="6" t="n">
        <f aca="false">DATE(2024,11,3)</f>
        <v>45599</v>
      </c>
      <c r="F565" s="7" t="n">
        <f aca="false">C565*D565</f>
        <v>463.75</v>
      </c>
      <c r="G565" s="7" t="n">
        <f aca="false">ROUND(F565*0.2,2)</f>
        <v>92.75</v>
      </c>
      <c r="H565" s="4" t="str">
        <f aca="false">IF(F565&gt;500,"Yüksek",IF(F565&gt;100,"Orta","Düşük"))</f>
        <v>Orta</v>
      </c>
    </row>
    <row r="566" customFormat="false" ht="12.8" hidden="false" customHeight="false" outlineLevel="0" collapsed="false">
      <c r="A566" s="4" t="s">
        <v>16</v>
      </c>
      <c r="B566" s="4" t="s">
        <v>17</v>
      </c>
      <c r="C566" s="4" t="n">
        <v>42</v>
      </c>
      <c r="D566" s="5" t="n">
        <v>16</v>
      </c>
      <c r="E566" s="6" t="n">
        <f aca="false">DATE(2024,12,4)</f>
        <v>45630</v>
      </c>
      <c r="F566" s="7" t="n">
        <f aca="false">C566*D566</f>
        <v>672</v>
      </c>
      <c r="G566" s="7" t="n">
        <f aca="false">ROUND(F566*0.2,2)</f>
        <v>134.4</v>
      </c>
      <c r="H566" s="4" t="str">
        <f aca="false">IF(F566&gt;500,"Yüksek",IF(F566&gt;100,"Orta","Düşük"))</f>
        <v>Yüksek</v>
      </c>
    </row>
    <row r="567" customFormat="false" ht="12.8" hidden="false" customHeight="false" outlineLevel="0" collapsed="false">
      <c r="A567" s="4" t="s">
        <v>18</v>
      </c>
      <c r="B567" s="4" t="s">
        <v>19</v>
      </c>
      <c r="C567" s="4" t="n">
        <v>49</v>
      </c>
      <c r="D567" s="5" t="n">
        <v>18.75</v>
      </c>
      <c r="E567" s="6" t="n">
        <f aca="false">DATE(2024,1,5)</f>
        <v>45296</v>
      </c>
      <c r="F567" s="7" t="n">
        <f aca="false">C567*D567</f>
        <v>918.75</v>
      </c>
      <c r="G567" s="7" t="n">
        <f aca="false">ROUND(F567*0.2,2)</f>
        <v>183.75</v>
      </c>
      <c r="H567" s="4" t="str">
        <f aca="false">IF(F567&gt;500,"Yüksek",IF(F567&gt;100,"Orta","Düşük"))</f>
        <v>Yüksek</v>
      </c>
    </row>
    <row r="568" customFormat="false" ht="12.8" hidden="false" customHeight="false" outlineLevel="0" collapsed="false">
      <c r="A568" s="4" t="s">
        <v>20</v>
      </c>
      <c r="B568" s="4" t="s">
        <v>11</v>
      </c>
      <c r="C568" s="4" t="n">
        <v>6</v>
      </c>
      <c r="D568" s="5" t="n">
        <v>21.5</v>
      </c>
      <c r="E568" s="6" t="n">
        <f aca="false">DATE(2024,2,6)</f>
        <v>45328</v>
      </c>
      <c r="F568" s="7" t="n">
        <f aca="false">C568*D568</f>
        <v>129</v>
      </c>
      <c r="G568" s="7" t="n">
        <f aca="false">ROUND(F568*0.2,2)</f>
        <v>25.8</v>
      </c>
      <c r="H568" s="4" t="str">
        <f aca="false">IF(F568&gt;500,"Yüksek",IF(F568&gt;100,"Orta","Düşük"))</f>
        <v>Orta</v>
      </c>
    </row>
    <row r="569" customFormat="false" ht="12.8" hidden="false" customHeight="false" outlineLevel="0" collapsed="false">
      <c r="A569" s="4" t="s">
        <v>21</v>
      </c>
      <c r="B569" s="4" t="s">
        <v>13</v>
      </c>
      <c r="C569" s="4" t="n">
        <v>13</v>
      </c>
      <c r="D569" s="5" t="n">
        <v>24.25</v>
      </c>
      <c r="E569" s="6" t="n">
        <f aca="false">DATE(2024,3,7)</f>
        <v>45358</v>
      </c>
      <c r="F569" s="7" t="n">
        <f aca="false">C569*D569</f>
        <v>315.25</v>
      </c>
      <c r="G569" s="7" t="n">
        <f aca="false">ROUND(F569*0.2,2)</f>
        <v>63.05</v>
      </c>
      <c r="H569" s="4" t="str">
        <f aca="false">IF(F569&gt;500,"Yüksek",IF(F569&gt;100,"Orta","Düşük"))</f>
        <v>Orta</v>
      </c>
    </row>
    <row r="570" customFormat="false" ht="12.8" hidden="false" customHeight="false" outlineLevel="0" collapsed="false">
      <c r="A570" s="4" t="s">
        <v>22</v>
      </c>
      <c r="B570" s="4" t="s">
        <v>15</v>
      </c>
      <c r="C570" s="4" t="n">
        <v>20</v>
      </c>
      <c r="D570" s="5" t="n">
        <v>27</v>
      </c>
      <c r="E570" s="6" t="n">
        <f aca="false">DATE(2024,4,8)</f>
        <v>45390</v>
      </c>
      <c r="F570" s="7" t="n">
        <f aca="false">C570*D570</f>
        <v>540</v>
      </c>
      <c r="G570" s="7" t="n">
        <f aca="false">ROUND(F570*0.2,2)</f>
        <v>108</v>
      </c>
      <c r="H570" s="4" t="str">
        <f aca="false">IF(F570&gt;500,"Yüksek",IF(F570&gt;100,"Orta","Düşük"))</f>
        <v>Yüksek</v>
      </c>
    </row>
    <row r="571" customFormat="false" ht="12.8" hidden="false" customHeight="false" outlineLevel="0" collapsed="false">
      <c r="A571" s="4" t="s">
        <v>23</v>
      </c>
      <c r="B571" s="4" t="s">
        <v>17</v>
      </c>
      <c r="C571" s="4" t="n">
        <v>27</v>
      </c>
      <c r="D571" s="5" t="n">
        <v>29.75</v>
      </c>
      <c r="E571" s="6" t="n">
        <f aca="false">DATE(2024,5,9)</f>
        <v>45421</v>
      </c>
      <c r="F571" s="7" t="n">
        <f aca="false">C571*D571</f>
        <v>803.25</v>
      </c>
      <c r="G571" s="7" t="n">
        <f aca="false">ROUND(F571*0.2,2)</f>
        <v>160.65</v>
      </c>
      <c r="H571" s="4" t="str">
        <f aca="false">IF(F571&gt;500,"Yüksek",IF(F571&gt;100,"Orta","Düşük"))</f>
        <v>Yüksek</v>
      </c>
    </row>
    <row r="572" customFormat="false" ht="12.8" hidden="false" customHeight="false" outlineLevel="0" collapsed="false">
      <c r="A572" s="4" t="s">
        <v>24</v>
      </c>
      <c r="B572" s="4" t="s">
        <v>19</v>
      </c>
      <c r="C572" s="4" t="n">
        <v>34</v>
      </c>
      <c r="D572" s="5" t="n">
        <v>32.5</v>
      </c>
      <c r="E572" s="6" t="n">
        <f aca="false">DATE(2024,6,10)</f>
        <v>45453</v>
      </c>
      <c r="F572" s="7" t="n">
        <f aca="false">C572*D572</f>
        <v>1105</v>
      </c>
      <c r="G572" s="7" t="n">
        <f aca="false">ROUND(F572*0.2,2)</f>
        <v>221</v>
      </c>
      <c r="H572" s="4" t="str">
        <f aca="false">IF(F572&gt;500,"Yüksek",IF(F572&gt;100,"Orta","Düşük"))</f>
        <v>Yüksek</v>
      </c>
    </row>
    <row r="573" customFormat="false" ht="12.8" hidden="false" customHeight="false" outlineLevel="0" collapsed="false">
      <c r="A573" s="4" t="s">
        <v>10</v>
      </c>
      <c r="B573" s="4" t="s">
        <v>11</v>
      </c>
      <c r="C573" s="4" t="n">
        <v>41</v>
      </c>
      <c r="D573" s="5" t="n">
        <v>35.25</v>
      </c>
      <c r="E573" s="6" t="n">
        <f aca="false">DATE(2024,7,11)</f>
        <v>45484</v>
      </c>
      <c r="F573" s="7" t="n">
        <f aca="false">C573*D573</f>
        <v>1445.25</v>
      </c>
      <c r="G573" s="7" t="n">
        <f aca="false">ROUND(F573*0.2,2)</f>
        <v>289.05</v>
      </c>
      <c r="H573" s="4" t="str">
        <f aca="false">IF(F573&gt;500,"Yüksek",IF(F573&gt;100,"Orta","Düşük"))</f>
        <v>Yüksek</v>
      </c>
    </row>
    <row r="574" customFormat="false" ht="12.8" hidden="false" customHeight="false" outlineLevel="0" collapsed="false">
      <c r="A574" s="4" t="s">
        <v>12</v>
      </c>
      <c r="B574" s="4" t="s">
        <v>13</v>
      </c>
      <c r="C574" s="4" t="n">
        <v>48</v>
      </c>
      <c r="D574" s="5" t="n">
        <v>38</v>
      </c>
      <c r="E574" s="6" t="n">
        <f aca="false">DATE(2024,8,12)</f>
        <v>45516</v>
      </c>
      <c r="F574" s="7" t="n">
        <f aca="false">C574*D574</f>
        <v>1824</v>
      </c>
      <c r="G574" s="7" t="n">
        <f aca="false">ROUND(F574*0.2,2)</f>
        <v>364.8</v>
      </c>
      <c r="H574" s="4" t="str">
        <f aca="false">IF(F574&gt;500,"Yüksek",IF(F574&gt;100,"Orta","Düşük"))</f>
        <v>Yüksek</v>
      </c>
    </row>
    <row r="575" customFormat="false" ht="12.8" hidden="false" customHeight="false" outlineLevel="0" collapsed="false">
      <c r="A575" s="4" t="s">
        <v>14</v>
      </c>
      <c r="B575" s="4" t="s">
        <v>15</v>
      </c>
      <c r="C575" s="4" t="n">
        <v>5</v>
      </c>
      <c r="D575" s="5" t="n">
        <v>5</v>
      </c>
      <c r="E575" s="6" t="n">
        <f aca="false">DATE(2024,9,13)</f>
        <v>45548</v>
      </c>
      <c r="F575" s="7" t="n">
        <f aca="false">C575*D575</f>
        <v>25</v>
      </c>
      <c r="G575" s="7" t="n">
        <f aca="false">ROUND(F575*0.2,2)</f>
        <v>5</v>
      </c>
      <c r="H575" s="4" t="str">
        <f aca="false">IF(F575&gt;500,"Yüksek",IF(F575&gt;100,"Orta","Düşük"))</f>
        <v>Düşük</v>
      </c>
    </row>
    <row r="576" customFormat="false" ht="12.8" hidden="false" customHeight="false" outlineLevel="0" collapsed="false">
      <c r="A576" s="4" t="s">
        <v>16</v>
      </c>
      <c r="B576" s="4" t="s">
        <v>17</v>
      </c>
      <c r="C576" s="4" t="n">
        <v>12</v>
      </c>
      <c r="D576" s="5" t="n">
        <v>7.75</v>
      </c>
      <c r="E576" s="6" t="n">
        <f aca="false">DATE(2024,10,14)</f>
        <v>45579</v>
      </c>
      <c r="F576" s="7" t="n">
        <f aca="false">C576*D576</f>
        <v>93</v>
      </c>
      <c r="G576" s="7" t="n">
        <f aca="false">ROUND(F576*0.2,2)</f>
        <v>18.6</v>
      </c>
      <c r="H576" s="4" t="str">
        <f aca="false">IF(F576&gt;500,"Yüksek",IF(F576&gt;100,"Orta","Düşük"))</f>
        <v>Düşük</v>
      </c>
    </row>
    <row r="577" customFormat="false" ht="12.8" hidden="false" customHeight="false" outlineLevel="0" collapsed="false">
      <c r="A577" s="4" t="s">
        <v>18</v>
      </c>
      <c r="B577" s="4" t="s">
        <v>19</v>
      </c>
      <c r="C577" s="4" t="n">
        <v>19</v>
      </c>
      <c r="D577" s="5" t="n">
        <v>10.5</v>
      </c>
      <c r="E577" s="6" t="n">
        <f aca="false">DATE(2024,11,15)</f>
        <v>45611</v>
      </c>
      <c r="F577" s="7" t="n">
        <f aca="false">C577*D577</f>
        <v>199.5</v>
      </c>
      <c r="G577" s="7" t="n">
        <f aca="false">ROUND(F577*0.2,2)</f>
        <v>39.9</v>
      </c>
      <c r="H577" s="4" t="str">
        <f aca="false">IF(F577&gt;500,"Yüksek",IF(F577&gt;100,"Orta","Düşük"))</f>
        <v>Orta</v>
      </c>
    </row>
    <row r="578" customFormat="false" ht="12.8" hidden="false" customHeight="false" outlineLevel="0" collapsed="false">
      <c r="A578" s="4" t="s">
        <v>20</v>
      </c>
      <c r="B578" s="4" t="s">
        <v>11</v>
      </c>
      <c r="C578" s="4" t="n">
        <v>26</v>
      </c>
      <c r="D578" s="5" t="n">
        <v>13.25</v>
      </c>
      <c r="E578" s="6" t="n">
        <f aca="false">DATE(2024,12,16)</f>
        <v>45642</v>
      </c>
      <c r="F578" s="7" t="n">
        <f aca="false">C578*D578</f>
        <v>344.5</v>
      </c>
      <c r="G578" s="7" t="n">
        <f aca="false">ROUND(F578*0.2,2)</f>
        <v>68.9</v>
      </c>
      <c r="H578" s="4" t="str">
        <f aca="false">IF(F578&gt;500,"Yüksek",IF(F578&gt;100,"Orta","Düşük"))</f>
        <v>Orta</v>
      </c>
    </row>
    <row r="579" customFormat="false" ht="12.8" hidden="false" customHeight="false" outlineLevel="0" collapsed="false">
      <c r="A579" s="4" t="s">
        <v>21</v>
      </c>
      <c r="B579" s="4" t="s">
        <v>13</v>
      </c>
      <c r="C579" s="4" t="n">
        <v>33</v>
      </c>
      <c r="D579" s="5" t="n">
        <v>16</v>
      </c>
      <c r="E579" s="6" t="n">
        <f aca="false">DATE(2024,1,17)</f>
        <v>45308</v>
      </c>
      <c r="F579" s="7" t="n">
        <f aca="false">C579*D579</f>
        <v>528</v>
      </c>
      <c r="G579" s="7" t="n">
        <f aca="false">ROUND(F579*0.2,2)</f>
        <v>105.6</v>
      </c>
      <c r="H579" s="4" t="str">
        <f aca="false">IF(F579&gt;500,"Yüksek",IF(F579&gt;100,"Orta","Düşük"))</f>
        <v>Yüksek</v>
      </c>
    </row>
    <row r="580" customFormat="false" ht="12.8" hidden="false" customHeight="false" outlineLevel="0" collapsed="false">
      <c r="A580" s="4" t="s">
        <v>22</v>
      </c>
      <c r="B580" s="4" t="s">
        <v>15</v>
      </c>
      <c r="C580" s="4" t="n">
        <v>40</v>
      </c>
      <c r="D580" s="5" t="n">
        <v>18.75</v>
      </c>
      <c r="E580" s="6" t="n">
        <f aca="false">DATE(2024,2,18)</f>
        <v>45340</v>
      </c>
      <c r="F580" s="7" t="n">
        <f aca="false">C580*D580</f>
        <v>750</v>
      </c>
      <c r="G580" s="7" t="n">
        <f aca="false">ROUND(F580*0.2,2)</f>
        <v>150</v>
      </c>
      <c r="H580" s="4" t="str">
        <f aca="false">IF(F580&gt;500,"Yüksek",IF(F580&gt;100,"Orta","Düşük"))</f>
        <v>Yüksek</v>
      </c>
    </row>
    <row r="581" customFormat="false" ht="12.8" hidden="false" customHeight="false" outlineLevel="0" collapsed="false">
      <c r="A581" s="4" t="s">
        <v>23</v>
      </c>
      <c r="B581" s="4" t="s">
        <v>17</v>
      </c>
      <c r="C581" s="4" t="n">
        <v>47</v>
      </c>
      <c r="D581" s="5" t="n">
        <v>21.5</v>
      </c>
      <c r="E581" s="6" t="n">
        <f aca="false">DATE(2024,3,19)</f>
        <v>45370</v>
      </c>
      <c r="F581" s="7" t="n">
        <f aca="false">C581*D581</f>
        <v>1010.5</v>
      </c>
      <c r="G581" s="7" t="n">
        <f aca="false">ROUND(F581*0.2,2)</f>
        <v>202.1</v>
      </c>
      <c r="H581" s="4" t="str">
        <f aca="false">IF(F581&gt;500,"Yüksek",IF(F581&gt;100,"Orta","Düşük"))</f>
        <v>Yüksek</v>
      </c>
    </row>
    <row r="582" customFormat="false" ht="12.8" hidden="false" customHeight="false" outlineLevel="0" collapsed="false">
      <c r="A582" s="4" t="s">
        <v>24</v>
      </c>
      <c r="B582" s="4" t="s">
        <v>19</v>
      </c>
      <c r="C582" s="4" t="n">
        <v>4</v>
      </c>
      <c r="D582" s="5" t="n">
        <v>24.25</v>
      </c>
      <c r="E582" s="6" t="n">
        <f aca="false">DATE(2024,4,20)</f>
        <v>45402</v>
      </c>
      <c r="F582" s="7" t="n">
        <f aca="false">C582*D582</f>
        <v>97</v>
      </c>
      <c r="G582" s="7" t="n">
        <f aca="false">ROUND(F582*0.2,2)</f>
        <v>19.4</v>
      </c>
      <c r="H582" s="4" t="str">
        <f aca="false">IF(F582&gt;500,"Yüksek",IF(F582&gt;100,"Orta","Düşük"))</f>
        <v>Düşük</v>
      </c>
    </row>
    <row r="583" customFormat="false" ht="12.8" hidden="false" customHeight="false" outlineLevel="0" collapsed="false">
      <c r="A583" s="4" t="s">
        <v>10</v>
      </c>
      <c r="B583" s="4" t="s">
        <v>11</v>
      </c>
      <c r="C583" s="4" t="n">
        <v>11</v>
      </c>
      <c r="D583" s="5" t="n">
        <v>27</v>
      </c>
      <c r="E583" s="6" t="n">
        <f aca="false">DATE(2024,5,21)</f>
        <v>45433</v>
      </c>
      <c r="F583" s="7" t="n">
        <f aca="false">C583*D583</f>
        <v>297</v>
      </c>
      <c r="G583" s="7" t="n">
        <f aca="false">ROUND(F583*0.2,2)</f>
        <v>59.4</v>
      </c>
      <c r="H583" s="4" t="str">
        <f aca="false">IF(F583&gt;500,"Yüksek",IF(F583&gt;100,"Orta","Düşük"))</f>
        <v>Orta</v>
      </c>
    </row>
    <row r="584" customFormat="false" ht="12.8" hidden="false" customHeight="false" outlineLevel="0" collapsed="false">
      <c r="A584" s="4" t="s">
        <v>12</v>
      </c>
      <c r="B584" s="4" t="s">
        <v>13</v>
      </c>
      <c r="C584" s="4" t="n">
        <v>18</v>
      </c>
      <c r="D584" s="5" t="n">
        <v>29.75</v>
      </c>
      <c r="E584" s="6" t="n">
        <f aca="false">DATE(2024,6,22)</f>
        <v>45465</v>
      </c>
      <c r="F584" s="7" t="n">
        <f aca="false">C584*D584</f>
        <v>535.5</v>
      </c>
      <c r="G584" s="7" t="n">
        <f aca="false">ROUND(F584*0.2,2)</f>
        <v>107.1</v>
      </c>
      <c r="H584" s="4" t="str">
        <f aca="false">IF(F584&gt;500,"Yüksek",IF(F584&gt;100,"Orta","Düşük"))</f>
        <v>Yüksek</v>
      </c>
    </row>
    <row r="585" customFormat="false" ht="12.8" hidden="false" customHeight="false" outlineLevel="0" collapsed="false">
      <c r="A585" s="4" t="s">
        <v>14</v>
      </c>
      <c r="B585" s="4" t="s">
        <v>15</v>
      </c>
      <c r="C585" s="4" t="n">
        <v>25</v>
      </c>
      <c r="D585" s="5" t="n">
        <v>32.5</v>
      </c>
      <c r="E585" s="6" t="n">
        <f aca="false">DATE(2024,7,23)</f>
        <v>45496</v>
      </c>
      <c r="F585" s="7" t="n">
        <f aca="false">C585*D585</f>
        <v>812.5</v>
      </c>
      <c r="G585" s="7" t="n">
        <f aca="false">ROUND(F585*0.2,2)</f>
        <v>162.5</v>
      </c>
      <c r="H585" s="4" t="str">
        <f aca="false">IF(F585&gt;500,"Yüksek",IF(F585&gt;100,"Orta","Düşük"))</f>
        <v>Yüksek</v>
      </c>
    </row>
    <row r="586" customFormat="false" ht="12.8" hidden="false" customHeight="false" outlineLevel="0" collapsed="false">
      <c r="A586" s="4" t="s">
        <v>16</v>
      </c>
      <c r="B586" s="4" t="s">
        <v>17</v>
      </c>
      <c r="C586" s="4" t="n">
        <v>32</v>
      </c>
      <c r="D586" s="5" t="n">
        <v>35.25</v>
      </c>
      <c r="E586" s="6" t="n">
        <f aca="false">DATE(2024,8,24)</f>
        <v>45528</v>
      </c>
      <c r="F586" s="7" t="n">
        <f aca="false">C586*D586</f>
        <v>1128</v>
      </c>
      <c r="G586" s="7" t="n">
        <f aca="false">ROUND(F586*0.2,2)</f>
        <v>225.6</v>
      </c>
      <c r="H586" s="4" t="str">
        <f aca="false">IF(F586&gt;500,"Yüksek",IF(F586&gt;100,"Orta","Düşük"))</f>
        <v>Yüksek</v>
      </c>
    </row>
    <row r="587" customFormat="false" ht="12.8" hidden="false" customHeight="false" outlineLevel="0" collapsed="false">
      <c r="A587" s="4" t="s">
        <v>18</v>
      </c>
      <c r="B587" s="4" t="s">
        <v>19</v>
      </c>
      <c r="C587" s="4" t="n">
        <v>39</v>
      </c>
      <c r="D587" s="5" t="n">
        <v>38</v>
      </c>
      <c r="E587" s="6" t="n">
        <f aca="false">DATE(2024,9,25)</f>
        <v>45560</v>
      </c>
      <c r="F587" s="7" t="n">
        <f aca="false">C587*D587</f>
        <v>1482</v>
      </c>
      <c r="G587" s="7" t="n">
        <f aca="false">ROUND(F587*0.2,2)</f>
        <v>296.4</v>
      </c>
      <c r="H587" s="4" t="str">
        <f aca="false">IF(F587&gt;500,"Yüksek",IF(F587&gt;100,"Orta","Düşük"))</f>
        <v>Yüksek</v>
      </c>
    </row>
    <row r="588" customFormat="false" ht="12.8" hidden="false" customHeight="false" outlineLevel="0" collapsed="false">
      <c r="A588" s="4" t="s">
        <v>20</v>
      </c>
      <c r="B588" s="4" t="s">
        <v>11</v>
      </c>
      <c r="C588" s="4" t="n">
        <v>46</v>
      </c>
      <c r="D588" s="5" t="n">
        <v>5</v>
      </c>
      <c r="E588" s="6" t="n">
        <f aca="false">DATE(2024,10,26)</f>
        <v>45591</v>
      </c>
      <c r="F588" s="7" t="n">
        <f aca="false">C588*D588</f>
        <v>230</v>
      </c>
      <c r="G588" s="7" t="n">
        <f aca="false">ROUND(F588*0.2,2)</f>
        <v>46</v>
      </c>
      <c r="H588" s="4" t="str">
        <f aca="false">IF(F588&gt;500,"Yüksek",IF(F588&gt;100,"Orta","Düşük"))</f>
        <v>Orta</v>
      </c>
    </row>
    <row r="589" customFormat="false" ht="12.8" hidden="false" customHeight="false" outlineLevel="0" collapsed="false">
      <c r="A589" s="4" t="s">
        <v>21</v>
      </c>
      <c r="B589" s="4" t="s">
        <v>13</v>
      </c>
      <c r="C589" s="4" t="n">
        <v>3</v>
      </c>
      <c r="D589" s="5" t="n">
        <v>7.75</v>
      </c>
      <c r="E589" s="6" t="n">
        <f aca="false">DATE(2024,11,27)</f>
        <v>45623</v>
      </c>
      <c r="F589" s="7" t="n">
        <f aca="false">C589*D589</f>
        <v>23.25</v>
      </c>
      <c r="G589" s="7" t="n">
        <f aca="false">ROUND(F589*0.2,2)</f>
        <v>4.65</v>
      </c>
      <c r="H589" s="4" t="str">
        <f aca="false">IF(F589&gt;500,"Yüksek",IF(F589&gt;100,"Orta","Düşük"))</f>
        <v>Düşük</v>
      </c>
    </row>
    <row r="590" customFormat="false" ht="12.8" hidden="false" customHeight="false" outlineLevel="0" collapsed="false">
      <c r="A590" s="4" t="s">
        <v>22</v>
      </c>
      <c r="B590" s="4" t="s">
        <v>15</v>
      </c>
      <c r="C590" s="4" t="n">
        <v>10</v>
      </c>
      <c r="D590" s="5" t="n">
        <v>10.5</v>
      </c>
      <c r="E590" s="6" t="n">
        <f aca="false">DATE(2024,12,28)</f>
        <v>45654</v>
      </c>
      <c r="F590" s="7" t="n">
        <f aca="false">C590*D590</f>
        <v>105</v>
      </c>
      <c r="G590" s="7" t="n">
        <f aca="false">ROUND(F590*0.2,2)</f>
        <v>21</v>
      </c>
      <c r="H590" s="4" t="str">
        <f aca="false">IF(F590&gt;500,"Yüksek",IF(F590&gt;100,"Orta","Düşük"))</f>
        <v>Orta</v>
      </c>
    </row>
    <row r="591" customFormat="false" ht="12.8" hidden="false" customHeight="false" outlineLevel="0" collapsed="false">
      <c r="A591" s="4" t="s">
        <v>23</v>
      </c>
      <c r="B591" s="4" t="s">
        <v>17</v>
      </c>
      <c r="C591" s="4" t="n">
        <v>17</v>
      </c>
      <c r="D591" s="5" t="n">
        <v>13.25</v>
      </c>
      <c r="E591" s="6" t="n">
        <f aca="false">DATE(2024,1,1)</f>
        <v>45292</v>
      </c>
      <c r="F591" s="7" t="n">
        <f aca="false">C591*D591</f>
        <v>225.25</v>
      </c>
      <c r="G591" s="7" t="n">
        <f aca="false">ROUND(F591*0.2,2)</f>
        <v>45.05</v>
      </c>
      <c r="H591" s="4" t="str">
        <f aca="false">IF(F591&gt;500,"Yüksek",IF(F591&gt;100,"Orta","Düşük"))</f>
        <v>Orta</v>
      </c>
    </row>
    <row r="592" customFormat="false" ht="12.8" hidden="false" customHeight="false" outlineLevel="0" collapsed="false">
      <c r="A592" s="4" t="s">
        <v>24</v>
      </c>
      <c r="B592" s="4" t="s">
        <v>19</v>
      </c>
      <c r="C592" s="4" t="n">
        <v>24</v>
      </c>
      <c r="D592" s="5" t="n">
        <v>16</v>
      </c>
      <c r="E592" s="6" t="n">
        <f aca="false">DATE(2024,2,2)</f>
        <v>45324</v>
      </c>
      <c r="F592" s="7" t="n">
        <f aca="false">C592*D592</f>
        <v>384</v>
      </c>
      <c r="G592" s="7" t="n">
        <f aca="false">ROUND(F592*0.2,2)</f>
        <v>76.8</v>
      </c>
      <c r="H592" s="4" t="str">
        <f aca="false">IF(F592&gt;500,"Yüksek",IF(F592&gt;100,"Orta","Düşük"))</f>
        <v>Orta</v>
      </c>
    </row>
    <row r="593" customFormat="false" ht="12.8" hidden="false" customHeight="false" outlineLevel="0" collapsed="false">
      <c r="A593" s="4" t="s">
        <v>10</v>
      </c>
      <c r="B593" s="4" t="s">
        <v>11</v>
      </c>
      <c r="C593" s="4" t="n">
        <v>31</v>
      </c>
      <c r="D593" s="5" t="n">
        <v>18.75</v>
      </c>
      <c r="E593" s="6" t="n">
        <f aca="false">DATE(2024,3,3)</f>
        <v>45354</v>
      </c>
      <c r="F593" s="7" t="n">
        <f aca="false">C593*D593</f>
        <v>581.25</v>
      </c>
      <c r="G593" s="7" t="n">
        <f aca="false">ROUND(F593*0.2,2)</f>
        <v>116.25</v>
      </c>
      <c r="H593" s="4" t="str">
        <f aca="false">IF(F593&gt;500,"Yüksek",IF(F593&gt;100,"Orta","Düşük"))</f>
        <v>Yüksek</v>
      </c>
    </row>
    <row r="594" customFormat="false" ht="12.8" hidden="false" customHeight="false" outlineLevel="0" collapsed="false">
      <c r="A594" s="4" t="s">
        <v>12</v>
      </c>
      <c r="B594" s="4" t="s">
        <v>13</v>
      </c>
      <c r="C594" s="4" t="n">
        <v>38</v>
      </c>
      <c r="D594" s="5" t="n">
        <v>21.5</v>
      </c>
      <c r="E594" s="6" t="n">
        <f aca="false">DATE(2024,4,4)</f>
        <v>45386</v>
      </c>
      <c r="F594" s="7" t="n">
        <f aca="false">C594*D594</f>
        <v>817</v>
      </c>
      <c r="G594" s="7" t="n">
        <f aca="false">ROUND(F594*0.2,2)</f>
        <v>163.4</v>
      </c>
      <c r="H594" s="4" t="str">
        <f aca="false">IF(F594&gt;500,"Yüksek",IF(F594&gt;100,"Orta","Düşük"))</f>
        <v>Yüksek</v>
      </c>
    </row>
    <row r="595" customFormat="false" ht="12.8" hidden="false" customHeight="false" outlineLevel="0" collapsed="false">
      <c r="A595" s="4" t="s">
        <v>14</v>
      </c>
      <c r="B595" s="4" t="s">
        <v>15</v>
      </c>
      <c r="C595" s="4" t="n">
        <v>45</v>
      </c>
      <c r="D595" s="5" t="n">
        <v>24.25</v>
      </c>
      <c r="E595" s="6" t="n">
        <f aca="false">DATE(2024,5,5)</f>
        <v>45417</v>
      </c>
      <c r="F595" s="7" t="n">
        <f aca="false">C595*D595</f>
        <v>1091.25</v>
      </c>
      <c r="G595" s="7" t="n">
        <f aca="false">ROUND(F595*0.2,2)</f>
        <v>218.25</v>
      </c>
      <c r="H595" s="4" t="str">
        <f aca="false">IF(F595&gt;500,"Yüksek",IF(F595&gt;100,"Orta","Düşük"))</f>
        <v>Yüksek</v>
      </c>
    </row>
    <row r="596" customFormat="false" ht="12.8" hidden="false" customHeight="false" outlineLevel="0" collapsed="false">
      <c r="A596" s="4" t="s">
        <v>16</v>
      </c>
      <c r="B596" s="4" t="s">
        <v>17</v>
      </c>
      <c r="C596" s="4" t="n">
        <v>2</v>
      </c>
      <c r="D596" s="5" t="n">
        <v>27</v>
      </c>
      <c r="E596" s="6" t="n">
        <f aca="false">DATE(2024,6,6)</f>
        <v>45449</v>
      </c>
      <c r="F596" s="7" t="n">
        <f aca="false">C596*D596</f>
        <v>54</v>
      </c>
      <c r="G596" s="7" t="n">
        <f aca="false">ROUND(F596*0.2,2)</f>
        <v>10.8</v>
      </c>
      <c r="H596" s="4" t="str">
        <f aca="false">IF(F596&gt;500,"Yüksek",IF(F596&gt;100,"Orta","Düşük"))</f>
        <v>Düşük</v>
      </c>
    </row>
    <row r="597" customFormat="false" ht="12.8" hidden="false" customHeight="false" outlineLevel="0" collapsed="false">
      <c r="A597" s="4" t="s">
        <v>18</v>
      </c>
      <c r="B597" s="4" t="s">
        <v>19</v>
      </c>
      <c r="C597" s="4" t="n">
        <v>9</v>
      </c>
      <c r="D597" s="5" t="n">
        <v>29.75</v>
      </c>
      <c r="E597" s="6" t="n">
        <f aca="false">DATE(2024,7,7)</f>
        <v>45480</v>
      </c>
      <c r="F597" s="7" t="n">
        <f aca="false">C597*D597</f>
        <v>267.75</v>
      </c>
      <c r="G597" s="7" t="n">
        <f aca="false">ROUND(F597*0.2,2)</f>
        <v>53.55</v>
      </c>
      <c r="H597" s="4" t="str">
        <f aca="false">IF(F597&gt;500,"Yüksek",IF(F597&gt;100,"Orta","Düşük"))</f>
        <v>Orta</v>
      </c>
    </row>
    <row r="598" customFormat="false" ht="12.8" hidden="false" customHeight="false" outlineLevel="0" collapsed="false">
      <c r="A598" s="4" t="s">
        <v>20</v>
      </c>
      <c r="B598" s="4" t="s">
        <v>11</v>
      </c>
      <c r="C598" s="4" t="n">
        <v>16</v>
      </c>
      <c r="D598" s="5" t="n">
        <v>32.5</v>
      </c>
      <c r="E598" s="6" t="n">
        <f aca="false">DATE(2024,8,8)</f>
        <v>45512</v>
      </c>
      <c r="F598" s="7" t="n">
        <f aca="false">C598*D598</f>
        <v>520</v>
      </c>
      <c r="G598" s="7" t="n">
        <f aca="false">ROUND(F598*0.2,2)</f>
        <v>104</v>
      </c>
      <c r="H598" s="4" t="str">
        <f aca="false">IF(F598&gt;500,"Yüksek",IF(F598&gt;100,"Orta","Düşük"))</f>
        <v>Yüksek</v>
      </c>
    </row>
    <row r="599" customFormat="false" ht="12.8" hidden="false" customHeight="false" outlineLevel="0" collapsed="false">
      <c r="A599" s="4" t="s">
        <v>21</v>
      </c>
      <c r="B599" s="4" t="s">
        <v>13</v>
      </c>
      <c r="C599" s="4" t="n">
        <v>23</v>
      </c>
      <c r="D599" s="5" t="n">
        <v>35.25</v>
      </c>
      <c r="E599" s="6" t="n">
        <f aca="false">DATE(2024,9,9)</f>
        <v>45544</v>
      </c>
      <c r="F599" s="7" t="n">
        <f aca="false">C599*D599</f>
        <v>810.75</v>
      </c>
      <c r="G599" s="7" t="n">
        <f aca="false">ROUND(F599*0.2,2)</f>
        <v>162.15</v>
      </c>
      <c r="H599" s="4" t="str">
        <f aca="false">IF(F599&gt;500,"Yüksek",IF(F599&gt;100,"Orta","Düşük"))</f>
        <v>Yüksek</v>
      </c>
    </row>
    <row r="600" customFormat="false" ht="12.8" hidden="false" customHeight="false" outlineLevel="0" collapsed="false">
      <c r="A600" s="4" t="s">
        <v>22</v>
      </c>
      <c r="B600" s="4" t="s">
        <v>15</v>
      </c>
      <c r="C600" s="4" t="n">
        <v>30</v>
      </c>
      <c r="D600" s="5" t="n">
        <v>38</v>
      </c>
      <c r="E600" s="6" t="n">
        <f aca="false">DATE(2024,10,10)</f>
        <v>45575</v>
      </c>
      <c r="F600" s="7" t="n">
        <f aca="false">C600*D600</f>
        <v>1140</v>
      </c>
      <c r="G600" s="7" t="n">
        <f aca="false">ROUND(F600*0.2,2)</f>
        <v>228</v>
      </c>
      <c r="H600" s="4" t="str">
        <f aca="false">IF(F600&gt;500,"Yüksek",IF(F600&gt;100,"Orta","Düşük"))</f>
        <v>Yüksek</v>
      </c>
    </row>
    <row r="601" customFormat="false" ht="12.8" hidden="false" customHeight="false" outlineLevel="0" collapsed="false">
      <c r="A601" s="4" t="s">
        <v>23</v>
      </c>
      <c r="B601" s="4" t="s">
        <v>17</v>
      </c>
      <c r="C601" s="4" t="n">
        <v>37</v>
      </c>
      <c r="D601" s="5" t="n">
        <v>5</v>
      </c>
      <c r="E601" s="6" t="n">
        <f aca="false">DATE(2024,11,11)</f>
        <v>45607</v>
      </c>
      <c r="F601" s="7" t="n">
        <f aca="false">C601*D601</f>
        <v>185</v>
      </c>
      <c r="G601" s="7" t="n">
        <f aca="false">ROUND(F601*0.2,2)</f>
        <v>37</v>
      </c>
      <c r="H601" s="4" t="str">
        <f aca="false">IF(F601&gt;500,"Yüksek",IF(F601&gt;100,"Orta","Düşük"))</f>
        <v>Orta</v>
      </c>
    </row>
    <row r="602" customFormat="false" ht="12.8" hidden="false" customHeight="false" outlineLevel="0" collapsed="false">
      <c r="A602" s="4" t="s">
        <v>24</v>
      </c>
      <c r="B602" s="4" t="s">
        <v>19</v>
      </c>
      <c r="C602" s="4" t="n">
        <v>44</v>
      </c>
      <c r="D602" s="5" t="n">
        <v>7.75</v>
      </c>
      <c r="E602" s="6" t="n">
        <f aca="false">DATE(2024,12,12)</f>
        <v>45638</v>
      </c>
      <c r="F602" s="7" t="n">
        <f aca="false">C602*D602</f>
        <v>341</v>
      </c>
      <c r="G602" s="7" t="n">
        <f aca="false">ROUND(F602*0.2,2)</f>
        <v>68.2</v>
      </c>
      <c r="H602" s="4" t="str">
        <f aca="false">IF(F602&gt;500,"Yüksek",IF(F602&gt;100,"Orta","Düşük"))</f>
        <v>Orta</v>
      </c>
    </row>
    <row r="603" customFormat="false" ht="12.8" hidden="false" customHeight="false" outlineLevel="0" collapsed="false">
      <c r="A603" s="4" t="s">
        <v>10</v>
      </c>
      <c r="B603" s="4" t="s">
        <v>11</v>
      </c>
      <c r="C603" s="4" t="n">
        <v>1</v>
      </c>
      <c r="D603" s="5" t="n">
        <v>10.5</v>
      </c>
      <c r="E603" s="6" t="n">
        <f aca="false">DATE(2024,1,13)</f>
        <v>45304</v>
      </c>
      <c r="F603" s="7" t="n">
        <f aca="false">C603*D603</f>
        <v>10.5</v>
      </c>
      <c r="G603" s="7" t="n">
        <f aca="false">ROUND(F603*0.2,2)</f>
        <v>2.1</v>
      </c>
      <c r="H603" s="4" t="str">
        <f aca="false">IF(F603&gt;500,"Yüksek",IF(F603&gt;100,"Orta","Düşük"))</f>
        <v>Düşük</v>
      </c>
    </row>
    <row r="604" customFormat="false" ht="12.8" hidden="false" customHeight="false" outlineLevel="0" collapsed="false">
      <c r="A604" s="4" t="s">
        <v>12</v>
      </c>
      <c r="B604" s="4" t="s">
        <v>13</v>
      </c>
      <c r="C604" s="4" t="n">
        <v>8</v>
      </c>
      <c r="D604" s="5" t="n">
        <v>13.25</v>
      </c>
      <c r="E604" s="6" t="n">
        <f aca="false">DATE(2024,2,14)</f>
        <v>45336</v>
      </c>
      <c r="F604" s="7" t="n">
        <f aca="false">C604*D604</f>
        <v>106</v>
      </c>
      <c r="G604" s="7" t="n">
        <f aca="false">ROUND(F604*0.2,2)</f>
        <v>21.2</v>
      </c>
      <c r="H604" s="4" t="str">
        <f aca="false">IF(F604&gt;500,"Yüksek",IF(F604&gt;100,"Orta","Düşük"))</f>
        <v>Orta</v>
      </c>
    </row>
    <row r="605" customFormat="false" ht="12.8" hidden="false" customHeight="false" outlineLevel="0" collapsed="false">
      <c r="A605" s="4" t="s">
        <v>14</v>
      </c>
      <c r="B605" s="4" t="s">
        <v>15</v>
      </c>
      <c r="C605" s="4" t="n">
        <v>15</v>
      </c>
      <c r="D605" s="5" t="n">
        <v>16</v>
      </c>
      <c r="E605" s="6" t="n">
        <f aca="false">DATE(2024,3,15)</f>
        <v>45366</v>
      </c>
      <c r="F605" s="7" t="n">
        <f aca="false">C605*D605</f>
        <v>240</v>
      </c>
      <c r="G605" s="7" t="n">
        <f aca="false">ROUND(F605*0.2,2)</f>
        <v>48</v>
      </c>
      <c r="H605" s="4" t="str">
        <f aca="false">IF(F605&gt;500,"Yüksek",IF(F605&gt;100,"Orta","Düşük"))</f>
        <v>Orta</v>
      </c>
    </row>
    <row r="606" customFormat="false" ht="12.8" hidden="false" customHeight="false" outlineLevel="0" collapsed="false">
      <c r="A606" s="4" t="s">
        <v>16</v>
      </c>
      <c r="B606" s="4" t="s">
        <v>17</v>
      </c>
      <c r="C606" s="4" t="n">
        <v>22</v>
      </c>
      <c r="D606" s="5" t="n">
        <v>18.75</v>
      </c>
      <c r="E606" s="6" t="n">
        <f aca="false">DATE(2024,4,16)</f>
        <v>45398</v>
      </c>
      <c r="F606" s="7" t="n">
        <f aca="false">C606*D606</f>
        <v>412.5</v>
      </c>
      <c r="G606" s="7" t="n">
        <f aca="false">ROUND(F606*0.2,2)</f>
        <v>82.5</v>
      </c>
      <c r="H606" s="4" t="str">
        <f aca="false">IF(F606&gt;500,"Yüksek",IF(F606&gt;100,"Orta","Düşük"))</f>
        <v>Orta</v>
      </c>
    </row>
    <row r="607" customFormat="false" ht="12.8" hidden="false" customHeight="false" outlineLevel="0" collapsed="false">
      <c r="A607" s="4" t="s">
        <v>18</v>
      </c>
      <c r="B607" s="4" t="s">
        <v>19</v>
      </c>
      <c r="C607" s="4" t="n">
        <v>29</v>
      </c>
      <c r="D607" s="5" t="n">
        <v>21.5</v>
      </c>
      <c r="E607" s="6" t="n">
        <f aca="false">DATE(2024,5,17)</f>
        <v>45429</v>
      </c>
      <c r="F607" s="7" t="n">
        <f aca="false">C607*D607</f>
        <v>623.5</v>
      </c>
      <c r="G607" s="7" t="n">
        <f aca="false">ROUND(F607*0.2,2)</f>
        <v>124.7</v>
      </c>
      <c r="H607" s="4" t="str">
        <f aca="false">IF(F607&gt;500,"Yüksek",IF(F607&gt;100,"Orta","Düşük"))</f>
        <v>Yüksek</v>
      </c>
    </row>
    <row r="608" customFormat="false" ht="12.8" hidden="false" customHeight="false" outlineLevel="0" collapsed="false">
      <c r="A608" s="4" t="s">
        <v>20</v>
      </c>
      <c r="B608" s="4" t="s">
        <v>11</v>
      </c>
      <c r="C608" s="4" t="n">
        <v>36</v>
      </c>
      <c r="D608" s="5" t="n">
        <v>24.25</v>
      </c>
      <c r="E608" s="6" t="n">
        <f aca="false">DATE(2024,6,18)</f>
        <v>45461</v>
      </c>
      <c r="F608" s="7" t="n">
        <f aca="false">C608*D608</f>
        <v>873</v>
      </c>
      <c r="G608" s="7" t="n">
        <f aca="false">ROUND(F608*0.2,2)</f>
        <v>174.6</v>
      </c>
      <c r="H608" s="4" t="str">
        <f aca="false">IF(F608&gt;500,"Yüksek",IF(F608&gt;100,"Orta","Düşük"))</f>
        <v>Yüksek</v>
      </c>
    </row>
    <row r="609" customFormat="false" ht="12.8" hidden="false" customHeight="false" outlineLevel="0" collapsed="false">
      <c r="A609" s="4" t="s">
        <v>21</v>
      </c>
      <c r="B609" s="4" t="s">
        <v>13</v>
      </c>
      <c r="C609" s="4" t="n">
        <v>43</v>
      </c>
      <c r="D609" s="5" t="n">
        <v>27</v>
      </c>
      <c r="E609" s="6" t="n">
        <f aca="false">DATE(2024,7,19)</f>
        <v>45492</v>
      </c>
      <c r="F609" s="7" t="n">
        <f aca="false">C609*D609</f>
        <v>1161</v>
      </c>
      <c r="G609" s="7" t="n">
        <f aca="false">ROUND(F609*0.2,2)</f>
        <v>232.2</v>
      </c>
      <c r="H609" s="4" t="str">
        <f aca="false">IF(F609&gt;500,"Yüksek",IF(F609&gt;100,"Orta","Düşük"))</f>
        <v>Yüksek</v>
      </c>
    </row>
    <row r="610" customFormat="false" ht="12.8" hidden="false" customHeight="false" outlineLevel="0" collapsed="false">
      <c r="A610" s="4" t="s">
        <v>22</v>
      </c>
      <c r="B610" s="4" t="s">
        <v>15</v>
      </c>
      <c r="C610" s="4" t="n">
        <v>50</v>
      </c>
      <c r="D610" s="5" t="n">
        <v>29.75</v>
      </c>
      <c r="E610" s="6" t="n">
        <f aca="false">DATE(2024,8,20)</f>
        <v>45524</v>
      </c>
      <c r="F610" s="7" t="n">
        <f aca="false">C610*D610</f>
        <v>1487.5</v>
      </c>
      <c r="G610" s="7" t="n">
        <f aca="false">ROUND(F610*0.2,2)</f>
        <v>297.5</v>
      </c>
      <c r="H610" s="4" t="str">
        <f aca="false">IF(F610&gt;500,"Yüksek",IF(F610&gt;100,"Orta","Düşük"))</f>
        <v>Yüksek</v>
      </c>
    </row>
    <row r="611" customFormat="false" ht="12.8" hidden="false" customHeight="false" outlineLevel="0" collapsed="false">
      <c r="A611" s="4" t="s">
        <v>23</v>
      </c>
      <c r="B611" s="4" t="s">
        <v>17</v>
      </c>
      <c r="C611" s="4" t="n">
        <v>7</v>
      </c>
      <c r="D611" s="5" t="n">
        <v>32.5</v>
      </c>
      <c r="E611" s="6" t="n">
        <f aca="false">DATE(2024,9,21)</f>
        <v>45556</v>
      </c>
      <c r="F611" s="7" t="n">
        <f aca="false">C611*D611</f>
        <v>227.5</v>
      </c>
      <c r="G611" s="7" t="n">
        <f aca="false">ROUND(F611*0.2,2)</f>
        <v>45.5</v>
      </c>
      <c r="H611" s="4" t="str">
        <f aca="false">IF(F611&gt;500,"Yüksek",IF(F611&gt;100,"Orta","Düşük"))</f>
        <v>Orta</v>
      </c>
    </row>
    <row r="612" customFormat="false" ht="12.8" hidden="false" customHeight="false" outlineLevel="0" collapsed="false">
      <c r="A612" s="4" t="s">
        <v>24</v>
      </c>
      <c r="B612" s="4" t="s">
        <v>19</v>
      </c>
      <c r="C612" s="4" t="n">
        <v>14</v>
      </c>
      <c r="D612" s="5" t="n">
        <v>35.25</v>
      </c>
      <c r="E612" s="6" t="n">
        <f aca="false">DATE(2024,10,22)</f>
        <v>45587</v>
      </c>
      <c r="F612" s="7" t="n">
        <f aca="false">C612*D612</f>
        <v>493.5</v>
      </c>
      <c r="G612" s="7" t="n">
        <f aca="false">ROUND(F612*0.2,2)</f>
        <v>98.7</v>
      </c>
      <c r="H612" s="4" t="str">
        <f aca="false">IF(F612&gt;500,"Yüksek",IF(F612&gt;100,"Orta","Düşük"))</f>
        <v>Orta</v>
      </c>
    </row>
    <row r="613" customFormat="false" ht="12.8" hidden="false" customHeight="false" outlineLevel="0" collapsed="false">
      <c r="A613" s="4" t="s">
        <v>10</v>
      </c>
      <c r="B613" s="4" t="s">
        <v>11</v>
      </c>
      <c r="C613" s="4" t="n">
        <v>21</v>
      </c>
      <c r="D613" s="5" t="n">
        <v>38</v>
      </c>
      <c r="E613" s="6" t="n">
        <f aca="false">DATE(2024,11,23)</f>
        <v>45619</v>
      </c>
      <c r="F613" s="7" t="n">
        <f aca="false">C613*D613</f>
        <v>798</v>
      </c>
      <c r="G613" s="7" t="n">
        <f aca="false">ROUND(F613*0.2,2)</f>
        <v>159.6</v>
      </c>
      <c r="H613" s="4" t="str">
        <f aca="false">IF(F613&gt;500,"Yüksek",IF(F613&gt;100,"Orta","Düşük"))</f>
        <v>Yüksek</v>
      </c>
    </row>
    <row r="614" customFormat="false" ht="12.8" hidden="false" customHeight="false" outlineLevel="0" collapsed="false">
      <c r="A614" s="4" t="s">
        <v>12</v>
      </c>
      <c r="B614" s="4" t="s">
        <v>13</v>
      </c>
      <c r="C614" s="4" t="n">
        <v>28</v>
      </c>
      <c r="D614" s="5" t="n">
        <v>5</v>
      </c>
      <c r="E614" s="6" t="n">
        <f aca="false">DATE(2024,12,24)</f>
        <v>45650</v>
      </c>
      <c r="F614" s="7" t="n">
        <f aca="false">C614*D614</f>
        <v>140</v>
      </c>
      <c r="G614" s="7" t="n">
        <f aca="false">ROUND(F614*0.2,2)</f>
        <v>28</v>
      </c>
      <c r="H614" s="4" t="str">
        <f aca="false">IF(F614&gt;500,"Yüksek",IF(F614&gt;100,"Orta","Düşük"))</f>
        <v>Orta</v>
      </c>
    </row>
    <row r="615" customFormat="false" ht="12.8" hidden="false" customHeight="false" outlineLevel="0" collapsed="false">
      <c r="A615" s="4" t="s">
        <v>14</v>
      </c>
      <c r="B615" s="4" t="s">
        <v>15</v>
      </c>
      <c r="C615" s="4" t="n">
        <v>35</v>
      </c>
      <c r="D615" s="5" t="n">
        <v>7.75</v>
      </c>
      <c r="E615" s="6" t="n">
        <f aca="false">DATE(2024,1,25)</f>
        <v>45316</v>
      </c>
      <c r="F615" s="7" t="n">
        <f aca="false">C615*D615</f>
        <v>271.25</v>
      </c>
      <c r="G615" s="7" t="n">
        <f aca="false">ROUND(F615*0.2,2)</f>
        <v>54.25</v>
      </c>
      <c r="H615" s="4" t="str">
        <f aca="false">IF(F615&gt;500,"Yüksek",IF(F615&gt;100,"Orta","Düşük"))</f>
        <v>Orta</v>
      </c>
    </row>
    <row r="616" customFormat="false" ht="12.8" hidden="false" customHeight="false" outlineLevel="0" collapsed="false">
      <c r="A616" s="4" t="s">
        <v>16</v>
      </c>
      <c r="B616" s="4" t="s">
        <v>17</v>
      </c>
      <c r="C616" s="4" t="n">
        <v>42</v>
      </c>
      <c r="D616" s="5" t="n">
        <v>10.5</v>
      </c>
      <c r="E616" s="6" t="n">
        <f aca="false">DATE(2024,2,26)</f>
        <v>45348</v>
      </c>
      <c r="F616" s="7" t="n">
        <f aca="false">C616*D616</f>
        <v>441</v>
      </c>
      <c r="G616" s="7" t="n">
        <f aca="false">ROUND(F616*0.2,2)</f>
        <v>88.2</v>
      </c>
      <c r="H616" s="4" t="str">
        <f aca="false">IF(F616&gt;500,"Yüksek",IF(F616&gt;100,"Orta","Düşük"))</f>
        <v>Orta</v>
      </c>
    </row>
    <row r="617" customFormat="false" ht="12.8" hidden="false" customHeight="false" outlineLevel="0" collapsed="false">
      <c r="A617" s="4" t="s">
        <v>18</v>
      </c>
      <c r="B617" s="4" t="s">
        <v>19</v>
      </c>
      <c r="C617" s="4" t="n">
        <v>49</v>
      </c>
      <c r="D617" s="5" t="n">
        <v>13.25</v>
      </c>
      <c r="E617" s="6" t="n">
        <f aca="false">DATE(2024,3,27)</f>
        <v>45378</v>
      </c>
      <c r="F617" s="7" t="n">
        <f aca="false">C617*D617</f>
        <v>649.25</v>
      </c>
      <c r="G617" s="7" t="n">
        <f aca="false">ROUND(F617*0.2,2)</f>
        <v>129.85</v>
      </c>
      <c r="H617" s="4" t="str">
        <f aca="false">IF(F617&gt;500,"Yüksek",IF(F617&gt;100,"Orta","Düşük"))</f>
        <v>Yüksek</v>
      </c>
    </row>
    <row r="618" customFormat="false" ht="12.8" hidden="false" customHeight="false" outlineLevel="0" collapsed="false">
      <c r="A618" s="4" t="s">
        <v>20</v>
      </c>
      <c r="B618" s="4" t="s">
        <v>11</v>
      </c>
      <c r="C618" s="4" t="n">
        <v>6</v>
      </c>
      <c r="D618" s="5" t="n">
        <v>16</v>
      </c>
      <c r="E618" s="6" t="n">
        <f aca="false">DATE(2024,4,28)</f>
        <v>45410</v>
      </c>
      <c r="F618" s="7" t="n">
        <f aca="false">C618*D618</f>
        <v>96</v>
      </c>
      <c r="G618" s="7" t="n">
        <f aca="false">ROUND(F618*0.2,2)</f>
        <v>19.2</v>
      </c>
      <c r="H618" s="4" t="str">
        <f aca="false">IF(F618&gt;500,"Yüksek",IF(F618&gt;100,"Orta","Düşük"))</f>
        <v>Düşük</v>
      </c>
    </row>
    <row r="619" customFormat="false" ht="12.8" hidden="false" customHeight="false" outlineLevel="0" collapsed="false">
      <c r="A619" s="4" t="s">
        <v>21</v>
      </c>
      <c r="B619" s="4" t="s">
        <v>13</v>
      </c>
      <c r="C619" s="4" t="n">
        <v>13</v>
      </c>
      <c r="D619" s="5" t="n">
        <v>18.75</v>
      </c>
      <c r="E619" s="6" t="n">
        <f aca="false">DATE(2024,5,1)</f>
        <v>45413</v>
      </c>
      <c r="F619" s="7" t="n">
        <f aca="false">C619*D619</f>
        <v>243.75</v>
      </c>
      <c r="G619" s="7" t="n">
        <f aca="false">ROUND(F619*0.2,2)</f>
        <v>48.75</v>
      </c>
      <c r="H619" s="4" t="str">
        <f aca="false">IF(F619&gt;500,"Yüksek",IF(F619&gt;100,"Orta","Düşük"))</f>
        <v>Orta</v>
      </c>
    </row>
    <row r="620" customFormat="false" ht="12.8" hidden="false" customHeight="false" outlineLevel="0" collapsed="false">
      <c r="A620" s="4" t="s">
        <v>22</v>
      </c>
      <c r="B620" s="4" t="s">
        <v>15</v>
      </c>
      <c r="C620" s="4" t="n">
        <v>20</v>
      </c>
      <c r="D620" s="5" t="n">
        <v>21.5</v>
      </c>
      <c r="E620" s="6" t="n">
        <f aca="false">DATE(2024,6,2)</f>
        <v>45445</v>
      </c>
      <c r="F620" s="7" t="n">
        <f aca="false">C620*D620</f>
        <v>430</v>
      </c>
      <c r="G620" s="7" t="n">
        <f aca="false">ROUND(F620*0.2,2)</f>
        <v>86</v>
      </c>
      <c r="H620" s="4" t="str">
        <f aca="false">IF(F620&gt;500,"Yüksek",IF(F620&gt;100,"Orta","Düşük"))</f>
        <v>Orta</v>
      </c>
    </row>
    <row r="621" customFormat="false" ht="12.8" hidden="false" customHeight="false" outlineLevel="0" collapsed="false">
      <c r="A621" s="4" t="s">
        <v>23</v>
      </c>
      <c r="B621" s="4" t="s">
        <v>17</v>
      </c>
      <c r="C621" s="4" t="n">
        <v>27</v>
      </c>
      <c r="D621" s="5" t="n">
        <v>24.25</v>
      </c>
      <c r="E621" s="6" t="n">
        <f aca="false">DATE(2024,7,3)</f>
        <v>45476</v>
      </c>
      <c r="F621" s="7" t="n">
        <f aca="false">C621*D621</f>
        <v>654.75</v>
      </c>
      <c r="G621" s="7" t="n">
        <f aca="false">ROUND(F621*0.2,2)</f>
        <v>130.95</v>
      </c>
      <c r="H621" s="4" t="str">
        <f aca="false">IF(F621&gt;500,"Yüksek",IF(F621&gt;100,"Orta","Düşük"))</f>
        <v>Yüksek</v>
      </c>
    </row>
    <row r="622" customFormat="false" ht="12.8" hidden="false" customHeight="false" outlineLevel="0" collapsed="false">
      <c r="A622" s="4" t="s">
        <v>24</v>
      </c>
      <c r="B622" s="4" t="s">
        <v>19</v>
      </c>
      <c r="C622" s="4" t="n">
        <v>34</v>
      </c>
      <c r="D622" s="5" t="n">
        <v>27</v>
      </c>
      <c r="E622" s="6" t="n">
        <f aca="false">DATE(2024,8,4)</f>
        <v>45508</v>
      </c>
      <c r="F622" s="7" t="n">
        <f aca="false">C622*D622</f>
        <v>918</v>
      </c>
      <c r="G622" s="7" t="n">
        <f aca="false">ROUND(F622*0.2,2)</f>
        <v>183.6</v>
      </c>
      <c r="H622" s="4" t="str">
        <f aca="false">IF(F622&gt;500,"Yüksek",IF(F622&gt;100,"Orta","Düşük"))</f>
        <v>Yüksek</v>
      </c>
    </row>
    <row r="623" customFormat="false" ht="12.8" hidden="false" customHeight="false" outlineLevel="0" collapsed="false">
      <c r="A623" s="4" t="s">
        <v>10</v>
      </c>
      <c r="B623" s="4" t="s">
        <v>11</v>
      </c>
      <c r="C623" s="4" t="n">
        <v>41</v>
      </c>
      <c r="D623" s="5" t="n">
        <v>29.75</v>
      </c>
      <c r="E623" s="6" t="n">
        <f aca="false">DATE(2024,9,5)</f>
        <v>45540</v>
      </c>
      <c r="F623" s="7" t="n">
        <f aca="false">C623*D623</f>
        <v>1219.75</v>
      </c>
      <c r="G623" s="7" t="n">
        <f aca="false">ROUND(F623*0.2,2)</f>
        <v>243.95</v>
      </c>
      <c r="H623" s="4" t="str">
        <f aca="false">IF(F623&gt;500,"Yüksek",IF(F623&gt;100,"Orta","Düşük"))</f>
        <v>Yüksek</v>
      </c>
    </row>
    <row r="624" customFormat="false" ht="12.8" hidden="false" customHeight="false" outlineLevel="0" collapsed="false">
      <c r="A624" s="4" t="s">
        <v>12</v>
      </c>
      <c r="B624" s="4" t="s">
        <v>13</v>
      </c>
      <c r="C624" s="4" t="n">
        <v>48</v>
      </c>
      <c r="D624" s="5" t="n">
        <v>32.5</v>
      </c>
      <c r="E624" s="6" t="n">
        <f aca="false">DATE(2024,10,6)</f>
        <v>45571</v>
      </c>
      <c r="F624" s="7" t="n">
        <f aca="false">C624*D624</f>
        <v>1560</v>
      </c>
      <c r="G624" s="7" t="n">
        <f aca="false">ROUND(F624*0.2,2)</f>
        <v>312</v>
      </c>
      <c r="H624" s="4" t="str">
        <f aca="false">IF(F624&gt;500,"Yüksek",IF(F624&gt;100,"Orta","Düşük"))</f>
        <v>Yüksek</v>
      </c>
    </row>
    <row r="625" customFormat="false" ht="12.8" hidden="false" customHeight="false" outlineLevel="0" collapsed="false">
      <c r="A625" s="4" t="s">
        <v>14</v>
      </c>
      <c r="B625" s="4" t="s">
        <v>15</v>
      </c>
      <c r="C625" s="4" t="n">
        <v>5</v>
      </c>
      <c r="D625" s="5" t="n">
        <v>35.25</v>
      </c>
      <c r="E625" s="6" t="n">
        <f aca="false">DATE(2024,11,7)</f>
        <v>45603</v>
      </c>
      <c r="F625" s="7" t="n">
        <f aca="false">C625*D625</f>
        <v>176.25</v>
      </c>
      <c r="G625" s="7" t="n">
        <f aca="false">ROUND(F625*0.2,2)</f>
        <v>35.25</v>
      </c>
      <c r="H625" s="4" t="str">
        <f aca="false">IF(F625&gt;500,"Yüksek",IF(F625&gt;100,"Orta","Düşük"))</f>
        <v>Orta</v>
      </c>
    </row>
    <row r="626" customFormat="false" ht="12.8" hidden="false" customHeight="false" outlineLevel="0" collapsed="false">
      <c r="A626" s="4" t="s">
        <v>16</v>
      </c>
      <c r="B626" s="4" t="s">
        <v>17</v>
      </c>
      <c r="C626" s="4" t="n">
        <v>12</v>
      </c>
      <c r="D626" s="5" t="n">
        <v>38</v>
      </c>
      <c r="E626" s="6" t="n">
        <f aca="false">DATE(2024,12,8)</f>
        <v>45634</v>
      </c>
      <c r="F626" s="7" t="n">
        <f aca="false">C626*D626</f>
        <v>456</v>
      </c>
      <c r="G626" s="7" t="n">
        <f aca="false">ROUND(F626*0.2,2)</f>
        <v>91.2</v>
      </c>
      <c r="H626" s="4" t="str">
        <f aca="false">IF(F626&gt;500,"Yüksek",IF(F626&gt;100,"Orta","Düşük"))</f>
        <v>Orta</v>
      </c>
    </row>
    <row r="627" customFormat="false" ht="12.8" hidden="false" customHeight="false" outlineLevel="0" collapsed="false">
      <c r="A627" s="4" t="s">
        <v>18</v>
      </c>
      <c r="B627" s="4" t="s">
        <v>19</v>
      </c>
      <c r="C627" s="4" t="n">
        <v>19</v>
      </c>
      <c r="D627" s="5" t="n">
        <v>5</v>
      </c>
      <c r="E627" s="6" t="n">
        <f aca="false">DATE(2024,1,9)</f>
        <v>45300</v>
      </c>
      <c r="F627" s="7" t="n">
        <f aca="false">C627*D627</f>
        <v>95</v>
      </c>
      <c r="G627" s="7" t="n">
        <f aca="false">ROUND(F627*0.2,2)</f>
        <v>19</v>
      </c>
      <c r="H627" s="4" t="str">
        <f aca="false">IF(F627&gt;500,"Yüksek",IF(F627&gt;100,"Orta","Düşük"))</f>
        <v>Düşük</v>
      </c>
    </row>
    <row r="628" customFormat="false" ht="12.8" hidden="false" customHeight="false" outlineLevel="0" collapsed="false">
      <c r="A628" s="4" t="s">
        <v>20</v>
      </c>
      <c r="B628" s="4" t="s">
        <v>11</v>
      </c>
      <c r="C628" s="4" t="n">
        <v>26</v>
      </c>
      <c r="D628" s="5" t="n">
        <v>7.75</v>
      </c>
      <c r="E628" s="6" t="n">
        <f aca="false">DATE(2024,2,10)</f>
        <v>45332</v>
      </c>
      <c r="F628" s="7" t="n">
        <f aca="false">C628*D628</f>
        <v>201.5</v>
      </c>
      <c r="G628" s="7" t="n">
        <f aca="false">ROUND(F628*0.2,2)</f>
        <v>40.3</v>
      </c>
      <c r="H628" s="4" t="str">
        <f aca="false">IF(F628&gt;500,"Yüksek",IF(F628&gt;100,"Orta","Düşük"))</f>
        <v>Orta</v>
      </c>
    </row>
    <row r="629" customFormat="false" ht="12.8" hidden="false" customHeight="false" outlineLevel="0" collapsed="false">
      <c r="A629" s="4" t="s">
        <v>21</v>
      </c>
      <c r="B629" s="4" t="s">
        <v>13</v>
      </c>
      <c r="C629" s="4" t="n">
        <v>33</v>
      </c>
      <c r="D629" s="5" t="n">
        <v>10.5</v>
      </c>
      <c r="E629" s="6" t="n">
        <f aca="false">DATE(2024,3,11)</f>
        <v>45362</v>
      </c>
      <c r="F629" s="7" t="n">
        <f aca="false">C629*D629</f>
        <v>346.5</v>
      </c>
      <c r="G629" s="7" t="n">
        <f aca="false">ROUND(F629*0.2,2)</f>
        <v>69.3</v>
      </c>
      <c r="H629" s="4" t="str">
        <f aca="false">IF(F629&gt;500,"Yüksek",IF(F629&gt;100,"Orta","Düşük"))</f>
        <v>Orta</v>
      </c>
    </row>
    <row r="630" customFormat="false" ht="12.8" hidden="false" customHeight="false" outlineLevel="0" collapsed="false">
      <c r="A630" s="4" t="s">
        <v>22</v>
      </c>
      <c r="B630" s="4" t="s">
        <v>15</v>
      </c>
      <c r="C630" s="4" t="n">
        <v>40</v>
      </c>
      <c r="D630" s="5" t="n">
        <v>13.25</v>
      </c>
      <c r="E630" s="6" t="n">
        <f aca="false">DATE(2024,4,12)</f>
        <v>45394</v>
      </c>
      <c r="F630" s="7" t="n">
        <f aca="false">C630*D630</f>
        <v>530</v>
      </c>
      <c r="G630" s="7" t="n">
        <f aca="false">ROUND(F630*0.2,2)</f>
        <v>106</v>
      </c>
      <c r="H630" s="4" t="str">
        <f aca="false">IF(F630&gt;500,"Yüksek",IF(F630&gt;100,"Orta","Düşük"))</f>
        <v>Yüksek</v>
      </c>
    </row>
    <row r="631" customFormat="false" ht="12.8" hidden="false" customHeight="false" outlineLevel="0" collapsed="false">
      <c r="A631" s="4" t="s">
        <v>23</v>
      </c>
      <c r="B631" s="4" t="s">
        <v>17</v>
      </c>
      <c r="C631" s="4" t="n">
        <v>47</v>
      </c>
      <c r="D631" s="5" t="n">
        <v>16</v>
      </c>
      <c r="E631" s="6" t="n">
        <f aca="false">DATE(2024,5,13)</f>
        <v>45425</v>
      </c>
      <c r="F631" s="7" t="n">
        <f aca="false">C631*D631</f>
        <v>752</v>
      </c>
      <c r="G631" s="7" t="n">
        <f aca="false">ROUND(F631*0.2,2)</f>
        <v>150.4</v>
      </c>
      <c r="H631" s="4" t="str">
        <f aca="false">IF(F631&gt;500,"Yüksek",IF(F631&gt;100,"Orta","Düşük"))</f>
        <v>Yüksek</v>
      </c>
    </row>
    <row r="632" customFormat="false" ht="12.8" hidden="false" customHeight="false" outlineLevel="0" collapsed="false">
      <c r="A632" s="4" t="s">
        <v>24</v>
      </c>
      <c r="B632" s="4" t="s">
        <v>19</v>
      </c>
      <c r="C632" s="4" t="n">
        <v>4</v>
      </c>
      <c r="D632" s="5" t="n">
        <v>18.75</v>
      </c>
      <c r="E632" s="6" t="n">
        <f aca="false">DATE(2024,6,14)</f>
        <v>45457</v>
      </c>
      <c r="F632" s="7" t="n">
        <f aca="false">C632*D632</f>
        <v>75</v>
      </c>
      <c r="G632" s="7" t="n">
        <f aca="false">ROUND(F632*0.2,2)</f>
        <v>15</v>
      </c>
      <c r="H632" s="4" t="str">
        <f aca="false">IF(F632&gt;500,"Yüksek",IF(F632&gt;100,"Orta","Düşük"))</f>
        <v>Düşük</v>
      </c>
    </row>
    <row r="633" customFormat="false" ht="12.8" hidden="false" customHeight="false" outlineLevel="0" collapsed="false">
      <c r="A633" s="4" t="s">
        <v>10</v>
      </c>
      <c r="B633" s="4" t="s">
        <v>11</v>
      </c>
      <c r="C633" s="4" t="n">
        <v>11</v>
      </c>
      <c r="D633" s="5" t="n">
        <v>21.5</v>
      </c>
      <c r="E633" s="6" t="n">
        <f aca="false">DATE(2024,7,15)</f>
        <v>45488</v>
      </c>
      <c r="F633" s="7" t="n">
        <f aca="false">C633*D633</f>
        <v>236.5</v>
      </c>
      <c r="G633" s="7" t="n">
        <f aca="false">ROUND(F633*0.2,2)</f>
        <v>47.3</v>
      </c>
      <c r="H633" s="4" t="str">
        <f aca="false">IF(F633&gt;500,"Yüksek",IF(F633&gt;100,"Orta","Düşük"))</f>
        <v>Orta</v>
      </c>
    </row>
    <row r="634" customFormat="false" ht="12.8" hidden="false" customHeight="false" outlineLevel="0" collapsed="false">
      <c r="A634" s="4" t="s">
        <v>12</v>
      </c>
      <c r="B634" s="4" t="s">
        <v>13</v>
      </c>
      <c r="C634" s="4" t="n">
        <v>18</v>
      </c>
      <c r="D634" s="5" t="n">
        <v>24.25</v>
      </c>
      <c r="E634" s="6" t="n">
        <f aca="false">DATE(2024,8,16)</f>
        <v>45520</v>
      </c>
      <c r="F634" s="7" t="n">
        <f aca="false">C634*D634</f>
        <v>436.5</v>
      </c>
      <c r="G634" s="7" t="n">
        <f aca="false">ROUND(F634*0.2,2)</f>
        <v>87.3</v>
      </c>
      <c r="H634" s="4" t="str">
        <f aca="false">IF(F634&gt;500,"Yüksek",IF(F634&gt;100,"Orta","Düşük"))</f>
        <v>Orta</v>
      </c>
    </row>
    <row r="635" customFormat="false" ht="12.8" hidden="false" customHeight="false" outlineLevel="0" collapsed="false">
      <c r="A635" s="4" t="s">
        <v>14</v>
      </c>
      <c r="B635" s="4" t="s">
        <v>15</v>
      </c>
      <c r="C635" s="4" t="n">
        <v>25</v>
      </c>
      <c r="D635" s="5" t="n">
        <v>27</v>
      </c>
      <c r="E635" s="6" t="n">
        <f aca="false">DATE(2024,9,17)</f>
        <v>45552</v>
      </c>
      <c r="F635" s="7" t="n">
        <f aca="false">C635*D635</f>
        <v>675</v>
      </c>
      <c r="G635" s="7" t="n">
        <f aca="false">ROUND(F635*0.2,2)</f>
        <v>135</v>
      </c>
      <c r="H635" s="4" t="str">
        <f aca="false">IF(F635&gt;500,"Yüksek",IF(F635&gt;100,"Orta","Düşük"))</f>
        <v>Yüksek</v>
      </c>
    </row>
    <row r="636" customFormat="false" ht="12.8" hidden="false" customHeight="false" outlineLevel="0" collapsed="false">
      <c r="A636" s="4" t="s">
        <v>16</v>
      </c>
      <c r="B636" s="4" t="s">
        <v>17</v>
      </c>
      <c r="C636" s="4" t="n">
        <v>32</v>
      </c>
      <c r="D636" s="5" t="n">
        <v>29.75</v>
      </c>
      <c r="E636" s="6" t="n">
        <f aca="false">DATE(2024,10,18)</f>
        <v>45583</v>
      </c>
      <c r="F636" s="7" t="n">
        <f aca="false">C636*D636</f>
        <v>952</v>
      </c>
      <c r="G636" s="7" t="n">
        <f aca="false">ROUND(F636*0.2,2)</f>
        <v>190.4</v>
      </c>
      <c r="H636" s="4" t="str">
        <f aca="false">IF(F636&gt;500,"Yüksek",IF(F636&gt;100,"Orta","Düşük"))</f>
        <v>Yüksek</v>
      </c>
    </row>
    <row r="637" customFormat="false" ht="12.8" hidden="false" customHeight="false" outlineLevel="0" collapsed="false">
      <c r="A637" s="4" t="s">
        <v>18</v>
      </c>
      <c r="B637" s="4" t="s">
        <v>19</v>
      </c>
      <c r="C637" s="4" t="n">
        <v>39</v>
      </c>
      <c r="D637" s="5" t="n">
        <v>32.5</v>
      </c>
      <c r="E637" s="6" t="n">
        <f aca="false">DATE(2024,11,19)</f>
        <v>45615</v>
      </c>
      <c r="F637" s="7" t="n">
        <f aca="false">C637*D637</f>
        <v>1267.5</v>
      </c>
      <c r="G637" s="7" t="n">
        <f aca="false">ROUND(F637*0.2,2)</f>
        <v>253.5</v>
      </c>
      <c r="H637" s="4" t="str">
        <f aca="false">IF(F637&gt;500,"Yüksek",IF(F637&gt;100,"Orta","Düşük"))</f>
        <v>Yüksek</v>
      </c>
    </row>
    <row r="638" customFormat="false" ht="12.8" hidden="false" customHeight="false" outlineLevel="0" collapsed="false">
      <c r="A638" s="4" t="s">
        <v>20</v>
      </c>
      <c r="B638" s="4" t="s">
        <v>11</v>
      </c>
      <c r="C638" s="4" t="n">
        <v>46</v>
      </c>
      <c r="D638" s="5" t="n">
        <v>35.25</v>
      </c>
      <c r="E638" s="6" t="n">
        <f aca="false">DATE(2024,12,20)</f>
        <v>45646</v>
      </c>
      <c r="F638" s="7" t="n">
        <f aca="false">C638*D638</f>
        <v>1621.5</v>
      </c>
      <c r="G638" s="7" t="n">
        <f aca="false">ROUND(F638*0.2,2)</f>
        <v>324.3</v>
      </c>
      <c r="H638" s="4" t="str">
        <f aca="false">IF(F638&gt;500,"Yüksek",IF(F638&gt;100,"Orta","Düşük"))</f>
        <v>Yüksek</v>
      </c>
    </row>
    <row r="639" customFormat="false" ht="12.8" hidden="false" customHeight="false" outlineLevel="0" collapsed="false">
      <c r="A639" s="4" t="s">
        <v>21</v>
      </c>
      <c r="B639" s="4" t="s">
        <v>13</v>
      </c>
      <c r="C639" s="4" t="n">
        <v>3</v>
      </c>
      <c r="D639" s="5" t="n">
        <v>38</v>
      </c>
      <c r="E639" s="6" t="n">
        <f aca="false">DATE(2024,1,21)</f>
        <v>45312</v>
      </c>
      <c r="F639" s="7" t="n">
        <f aca="false">C639*D639</f>
        <v>114</v>
      </c>
      <c r="G639" s="7" t="n">
        <f aca="false">ROUND(F639*0.2,2)</f>
        <v>22.8</v>
      </c>
      <c r="H639" s="4" t="str">
        <f aca="false">IF(F639&gt;500,"Yüksek",IF(F639&gt;100,"Orta","Düşük"))</f>
        <v>Orta</v>
      </c>
    </row>
    <row r="640" customFormat="false" ht="12.8" hidden="false" customHeight="false" outlineLevel="0" collapsed="false">
      <c r="A640" s="4" t="s">
        <v>22</v>
      </c>
      <c r="B640" s="4" t="s">
        <v>15</v>
      </c>
      <c r="C640" s="4" t="n">
        <v>10</v>
      </c>
      <c r="D640" s="5" t="n">
        <v>5</v>
      </c>
      <c r="E640" s="6" t="n">
        <f aca="false">DATE(2024,2,22)</f>
        <v>45344</v>
      </c>
      <c r="F640" s="7" t="n">
        <f aca="false">C640*D640</f>
        <v>50</v>
      </c>
      <c r="G640" s="7" t="n">
        <f aca="false">ROUND(F640*0.2,2)</f>
        <v>10</v>
      </c>
      <c r="H640" s="4" t="str">
        <f aca="false">IF(F640&gt;500,"Yüksek",IF(F640&gt;100,"Orta","Düşük"))</f>
        <v>Düşük</v>
      </c>
    </row>
    <row r="641" customFormat="false" ht="12.8" hidden="false" customHeight="false" outlineLevel="0" collapsed="false">
      <c r="A641" s="4" t="s">
        <v>23</v>
      </c>
      <c r="B641" s="4" t="s">
        <v>17</v>
      </c>
      <c r="C641" s="4" t="n">
        <v>17</v>
      </c>
      <c r="D641" s="5" t="n">
        <v>7.75</v>
      </c>
      <c r="E641" s="6" t="n">
        <f aca="false">DATE(2024,3,23)</f>
        <v>45374</v>
      </c>
      <c r="F641" s="7" t="n">
        <f aca="false">C641*D641</f>
        <v>131.75</v>
      </c>
      <c r="G641" s="7" t="n">
        <f aca="false">ROUND(F641*0.2,2)</f>
        <v>26.35</v>
      </c>
      <c r="H641" s="4" t="str">
        <f aca="false">IF(F641&gt;500,"Yüksek",IF(F641&gt;100,"Orta","Düşük"))</f>
        <v>Orta</v>
      </c>
    </row>
    <row r="642" customFormat="false" ht="12.8" hidden="false" customHeight="false" outlineLevel="0" collapsed="false">
      <c r="A642" s="4" t="s">
        <v>24</v>
      </c>
      <c r="B642" s="4" t="s">
        <v>19</v>
      </c>
      <c r="C642" s="4" t="n">
        <v>24</v>
      </c>
      <c r="D642" s="5" t="n">
        <v>10.5</v>
      </c>
      <c r="E642" s="6" t="n">
        <f aca="false">DATE(2024,4,24)</f>
        <v>45406</v>
      </c>
      <c r="F642" s="7" t="n">
        <f aca="false">C642*D642</f>
        <v>252</v>
      </c>
      <c r="G642" s="7" t="n">
        <f aca="false">ROUND(F642*0.2,2)</f>
        <v>50.4</v>
      </c>
      <c r="H642" s="4" t="str">
        <f aca="false">IF(F642&gt;500,"Yüksek",IF(F642&gt;100,"Orta","Düşük"))</f>
        <v>Orta</v>
      </c>
    </row>
    <row r="643" customFormat="false" ht="12.8" hidden="false" customHeight="false" outlineLevel="0" collapsed="false">
      <c r="A643" s="4" t="s">
        <v>10</v>
      </c>
      <c r="B643" s="4" t="s">
        <v>11</v>
      </c>
      <c r="C643" s="4" t="n">
        <v>31</v>
      </c>
      <c r="D643" s="5" t="n">
        <v>13.25</v>
      </c>
      <c r="E643" s="6" t="n">
        <f aca="false">DATE(2024,5,25)</f>
        <v>45437</v>
      </c>
      <c r="F643" s="7" t="n">
        <f aca="false">C643*D643</f>
        <v>410.75</v>
      </c>
      <c r="G643" s="7" t="n">
        <f aca="false">ROUND(F643*0.2,2)</f>
        <v>82.15</v>
      </c>
      <c r="H643" s="4" t="str">
        <f aca="false">IF(F643&gt;500,"Yüksek",IF(F643&gt;100,"Orta","Düşük"))</f>
        <v>Orta</v>
      </c>
    </row>
    <row r="644" customFormat="false" ht="12.8" hidden="false" customHeight="false" outlineLevel="0" collapsed="false">
      <c r="A644" s="4" t="s">
        <v>12</v>
      </c>
      <c r="B644" s="4" t="s">
        <v>13</v>
      </c>
      <c r="C644" s="4" t="n">
        <v>38</v>
      </c>
      <c r="D644" s="5" t="n">
        <v>16</v>
      </c>
      <c r="E644" s="6" t="n">
        <f aca="false">DATE(2024,6,26)</f>
        <v>45469</v>
      </c>
      <c r="F644" s="7" t="n">
        <f aca="false">C644*D644</f>
        <v>608</v>
      </c>
      <c r="G644" s="7" t="n">
        <f aca="false">ROUND(F644*0.2,2)</f>
        <v>121.6</v>
      </c>
      <c r="H644" s="4" t="str">
        <f aca="false">IF(F644&gt;500,"Yüksek",IF(F644&gt;100,"Orta","Düşük"))</f>
        <v>Yüksek</v>
      </c>
    </row>
    <row r="645" customFormat="false" ht="12.8" hidden="false" customHeight="false" outlineLevel="0" collapsed="false">
      <c r="A645" s="4" t="s">
        <v>14</v>
      </c>
      <c r="B645" s="4" t="s">
        <v>15</v>
      </c>
      <c r="C645" s="4" t="n">
        <v>45</v>
      </c>
      <c r="D645" s="5" t="n">
        <v>18.75</v>
      </c>
      <c r="E645" s="6" t="n">
        <f aca="false">DATE(2024,7,27)</f>
        <v>45500</v>
      </c>
      <c r="F645" s="7" t="n">
        <f aca="false">C645*D645</f>
        <v>843.75</v>
      </c>
      <c r="G645" s="7" t="n">
        <f aca="false">ROUND(F645*0.2,2)</f>
        <v>168.75</v>
      </c>
      <c r="H645" s="4" t="str">
        <f aca="false">IF(F645&gt;500,"Yüksek",IF(F645&gt;100,"Orta","Düşük"))</f>
        <v>Yüksek</v>
      </c>
    </row>
    <row r="646" customFormat="false" ht="12.8" hidden="false" customHeight="false" outlineLevel="0" collapsed="false">
      <c r="A646" s="4" t="s">
        <v>16</v>
      </c>
      <c r="B646" s="4" t="s">
        <v>17</v>
      </c>
      <c r="C646" s="4" t="n">
        <v>2</v>
      </c>
      <c r="D646" s="5" t="n">
        <v>21.5</v>
      </c>
      <c r="E646" s="6" t="n">
        <f aca="false">DATE(2024,8,28)</f>
        <v>45532</v>
      </c>
      <c r="F646" s="7" t="n">
        <f aca="false">C646*D646</f>
        <v>43</v>
      </c>
      <c r="G646" s="7" t="n">
        <f aca="false">ROUND(F646*0.2,2)</f>
        <v>8.6</v>
      </c>
      <c r="H646" s="4" t="str">
        <f aca="false">IF(F646&gt;500,"Yüksek",IF(F646&gt;100,"Orta","Düşük"))</f>
        <v>Düşük</v>
      </c>
    </row>
    <row r="647" customFormat="false" ht="12.8" hidden="false" customHeight="false" outlineLevel="0" collapsed="false">
      <c r="A647" s="4" t="s">
        <v>18</v>
      </c>
      <c r="B647" s="4" t="s">
        <v>19</v>
      </c>
      <c r="C647" s="4" t="n">
        <v>9</v>
      </c>
      <c r="D647" s="5" t="n">
        <v>24.25</v>
      </c>
      <c r="E647" s="6" t="n">
        <f aca="false">DATE(2024,9,1)</f>
        <v>45536</v>
      </c>
      <c r="F647" s="7" t="n">
        <f aca="false">C647*D647</f>
        <v>218.25</v>
      </c>
      <c r="G647" s="7" t="n">
        <f aca="false">ROUND(F647*0.2,2)</f>
        <v>43.65</v>
      </c>
      <c r="H647" s="4" t="str">
        <f aca="false">IF(F647&gt;500,"Yüksek",IF(F647&gt;100,"Orta","Düşük"))</f>
        <v>Orta</v>
      </c>
    </row>
    <row r="648" customFormat="false" ht="12.8" hidden="false" customHeight="false" outlineLevel="0" collapsed="false">
      <c r="A648" s="4" t="s">
        <v>20</v>
      </c>
      <c r="B648" s="4" t="s">
        <v>11</v>
      </c>
      <c r="C648" s="4" t="n">
        <v>16</v>
      </c>
      <c r="D648" s="5" t="n">
        <v>27</v>
      </c>
      <c r="E648" s="6" t="n">
        <f aca="false">DATE(2024,10,2)</f>
        <v>45567</v>
      </c>
      <c r="F648" s="7" t="n">
        <f aca="false">C648*D648</f>
        <v>432</v>
      </c>
      <c r="G648" s="7" t="n">
        <f aca="false">ROUND(F648*0.2,2)</f>
        <v>86.4</v>
      </c>
      <c r="H648" s="4" t="str">
        <f aca="false">IF(F648&gt;500,"Yüksek",IF(F648&gt;100,"Orta","Düşük"))</f>
        <v>Orta</v>
      </c>
    </row>
    <row r="649" customFormat="false" ht="12.8" hidden="false" customHeight="false" outlineLevel="0" collapsed="false">
      <c r="A649" s="4" t="s">
        <v>21</v>
      </c>
      <c r="B649" s="4" t="s">
        <v>13</v>
      </c>
      <c r="C649" s="4" t="n">
        <v>23</v>
      </c>
      <c r="D649" s="5" t="n">
        <v>29.75</v>
      </c>
      <c r="E649" s="6" t="n">
        <f aca="false">DATE(2024,11,3)</f>
        <v>45599</v>
      </c>
      <c r="F649" s="7" t="n">
        <f aca="false">C649*D649</f>
        <v>684.25</v>
      </c>
      <c r="G649" s="7" t="n">
        <f aca="false">ROUND(F649*0.2,2)</f>
        <v>136.85</v>
      </c>
      <c r="H649" s="4" t="str">
        <f aca="false">IF(F649&gt;500,"Yüksek",IF(F649&gt;100,"Orta","Düşük"))</f>
        <v>Yüksek</v>
      </c>
    </row>
    <row r="650" customFormat="false" ht="12.8" hidden="false" customHeight="false" outlineLevel="0" collapsed="false">
      <c r="A650" s="4" t="s">
        <v>22</v>
      </c>
      <c r="B650" s="4" t="s">
        <v>15</v>
      </c>
      <c r="C650" s="4" t="n">
        <v>30</v>
      </c>
      <c r="D650" s="5" t="n">
        <v>32.5</v>
      </c>
      <c r="E650" s="6" t="n">
        <f aca="false">DATE(2024,12,4)</f>
        <v>45630</v>
      </c>
      <c r="F650" s="7" t="n">
        <f aca="false">C650*D650</f>
        <v>975</v>
      </c>
      <c r="G650" s="7" t="n">
        <f aca="false">ROUND(F650*0.2,2)</f>
        <v>195</v>
      </c>
      <c r="H650" s="4" t="str">
        <f aca="false">IF(F650&gt;500,"Yüksek",IF(F650&gt;100,"Orta","Düşük"))</f>
        <v>Yüksek</v>
      </c>
    </row>
    <row r="651" customFormat="false" ht="12.8" hidden="false" customHeight="false" outlineLevel="0" collapsed="false">
      <c r="A651" s="4" t="s">
        <v>23</v>
      </c>
      <c r="B651" s="4" t="s">
        <v>17</v>
      </c>
      <c r="C651" s="4" t="n">
        <v>37</v>
      </c>
      <c r="D651" s="5" t="n">
        <v>35.25</v>
      </c>
      <c r="E651" s="6" t="n">
        <f aca="false">DATE(2024,1,5)</f>
        <v>45296</v>
      </c>
      <c r="F651" s="7" t="n">
        <f aca="false">C651*D651</f>
        <v>1304.25</v>
      </c>
      <c r="G651" s="7" t="n">
        <f aca="false">ROUND(F651*0.2,2)</f>
        <v>260.85</v>
      </c>
      <c r="H651" s="4" t="str">
        <f aca="false">IF(F651&gt;500,"Yüksek",IF(F651&gt;100,"Orta","Düşük"))</f>
        <v>Yüksek</v>
      </c>
    </row>
    <row r="652" customFormat="false" ht="12.8" hidden="false" customHeight="false" outlineLevel="0" collapsed="false">
      <c r="A652" s="4" t="s">
        <v>24</v>
      </c>
      <c r="B652" s="4" t="s">
        <v>19</v>
      </c>
      <c r="C652" s="4" t="n">
        <v>44</v>
      </c>
      <c r="D652" s="5" t="n">
        <v>38</v>
      </c>
      <c r="E652" s="6" t="n">
        <f aca="false">DATE(2024,2,6)</f>
        <v>45328</v>
      </c>
      <c r="F652" s="7" t="n">
        <f aca="false">C652*D652</f>
        <v>1672</v>
      </c>
      <c r="G652" s="7" t="n">
        <f aca="false">ROUND(F652*0.2,2)</f>
        <v>334.4</v>
      </c>
      <c r="H652" s="4" t="str">
        <f aca="false">IF(F652&gt;500,"Yüksek",IF(F652&gt;100,"Orta","Düşük"))</f>
        <v>Yüksek</v>
      </c>
    </row>
    <row r="653" customFormat="false" ht="12.8" hidden="false" customHeight="false" outlineLevel="0" collapsed="false">
      <c r="A653" s="4" t="s">
        <v>10</v>
      </c>
      <c r="B653" s="4" t="s">
        <v>11</v>
      </c>
      <c r="C653" s="4" t="n">
        <v>1</v>
      </c>
      <c r="D653" s="5" t="n">
        <v>5</v>
      </c>
      <c r="E653" s="6" t="n">
        <f aca="false">DATE(2024,3,7)</f>
        <v>45358</v>
      </c>
      <c r="F653" s="7" t="n">
        <f aca="false">C653*D653</f>
        <v>5</v>
      </c>
      <c r="G653" s="7" t="n">
        <f aca="false">ROUND(F653*0.2,2)</f>
        <v>1</v>
      </c>
      <c r="H653" s="4" t="str">
        <f aca="false">IF(F653&gt;500,"Yüksek",IF(F653&gt;100,"Orta","Düşük"))</f>
        <v>Düşük</v>
      </c>
    </row>
    <row r="654" customFormat="false" ht="12.8" hidden="false" customHeight="false" outlineLevel="0" collapsed="false">
      <c r="A654" s="4" t="s">
        <v>12</v>
      </c>
      <c r="B654" s="4" t="s">
        <v>13</v>
      </c>
      <c r="C654" s="4" t="n">
        <v>8</v>
      </c>
      <c r="D654" s="5" t="n">
        <v>7.75</v>
      </c>
      <c r="E654" s="6" t="n">
        <f aca="false">DATE(2024,4,8)</f>
        <v>45390</v>
      </c>
      <c r="F654" s="7" t="n">
        <f aca="false">C654*D654</f>
        <v>62</v>
      </c>
      <c r="G654" s="7" t="n">
        <f aca="false">ROUND(F654*0.2,2)</f>
        <v>12.4</v>
      </c>
      <c r="H654" s="4" t="str">
        <f aca="false">IF(F654&gt;500,"Yüksek",IF(F654&gt;100,"Orta","Düşük"))</f>
        <v>Düşük</v>
      </c>
    </row>
    <row r="655" customFormat="false" ht="12.8" hidden="false" customHeight="false" outlineLevel="0" collapsed="false">
      <c r="A655" s="4" t="s">
        <v>14</v>
      </c>
      <c r="B655" s="4" t="s">
        <v>15</v>
      </c>
      <c r="C655" s="4" t="n">
        <v>15</v>
      </c>
      <c r="D655" s="5" t="n">
        <v>10.5</v>
      </c>
      <c r="E655" s="6" t="n">
        <f aca="false">DATE(2024,5,9)</f>
        <v>45421</v>
      </c>
      <c r="F655" s="7" t="n">
        <f aca="false">C655*D655</f>
        <v>157.5</v>
      </c>
      <c r="G655" s="7" t="n">
        <f aca="false">ROUND(F655*0.2,2)</f>
        <v>31.5</v>
      </c>
      <c r="H655" s="4" t="str">
        <f aca="false">IF(F655&gt;500,"Yüksek",IF(F655&gt;100,"Orta","Düşük"))</f>
        <v>Orta</v>
      </c>
    </row>
    <row r="656" customFormat="false" ht="12.8" hidden="false" customHeight="false" outlineLevel="0" collapsed="false">
      <c r="A656" s="4" t="s">
        <v>16</v>
      </c>
      <c r="B656" s="4" t="s">
        <v>17</v>
      </c>
      <c r="C656" s="4" t="n">
        <v>22</v>
      </c>
      <c r="D656" s="5" t="n">
        <v>13.25</v>
      </c>
      <c r="E656" s="6" t="n">
        <f aca="false">DATE(2024,6,10)</f>
        <v>45453</v>
      </c>
      <c r="F656" s="7" t="n">
        <f aca="false">C656*D656</f>
        <v>291.5</v>
      </c>
      <c r="G656" s="7" t="n">
        <f aca="false">ROUND(F656*0.2,2)</f>
        <v>58.3</v>
      </c>
      <c r="H656" s="4" t="str">
        <f aca="false">IF(F656&gt;500,"Yüksek",IF(F656&gt;100,"Orta","Düşük"))</f>
        <v>Orta</v>
      </c>
    </row>
    <row r="657" customFormat="false" ht="12.8" hidden="false" customHeight="false" outlineLevel="0" collapsed="false">
      <c r="A657" s="4" t="s">
        <v>18</v>
      </c>
      <c r="B657" s="4" t="s">
        <v>19</v>
      </c>
      <c r="C657" s="4" t="n">
        <v>29</v>
      </c>
      <c r="D657" s="5" t="n">
        <v>16</v>
      </c>
      <c r="E657" s="6" t="n">
        <f aca="false">DATE(2024,7,11)</f>
        <v>45484</v>
      </c>
      <c r="F657" s="7" t="n">
        <f aca="false">C657*D657</f>
        <v>464</v>
      </c>
      <c r="G657" s="7" t="n">
        <f aca="false">ROUND(F657*0.2,2)</f>
        <v>92.8</v>
      </c>
      <c r="H657" s="4" t="str">
        <f aca="false">IF(F657&gt;500,"Yüksek",IF(F657&gt;100,"Orta","Düşük"))</f>
        <v>Orta</v>
      </c>
    </row>
    <row r="658" customFormat="false" ht="12.8" hidden="false" customHeight="false" outlineLevel="0" collapsed="false">
      <c r="A658" s="4" t="s">
        <v>20</v>
      </c>
      <c r="B658" s="4" t="s">
        <v>11</v>
      </c>
      <c r="C658" s="4" t="n">
        <v>36</v>
      </c>
      <c r="D658" s="5" t="n">
        <v>18.75</v>
      </c>
      <c r="E658" s="6" t="n">
        <f aca="false">DATE(2024,8,12)</f>
        <v>45516</v>
      </c>
      <c r="F658" s="7" t="n">
        <f aca="false">C658*D658</f>
        <v>675</v>
      </c>
      <c r="G658" s="7" t="n">
        <f aca="false">ROUND(F658*0.2,2)</f>
        <v>135</v>
      </c>
      <c r="H658" s="4" t="str">
        <f aca="false">IF(F658&gt;500,"Yüksek",IF(F658&gt;100,"Orta","Düşük"))</f>
        <v>Yüksek</v>
      </c>
    </row>
    <row r="659" customFormat="false" ht="12.8" hidden="false" customHeight="false" outlineLevel="0" collapsed="false">
      <c r="A659" s="4" t="s">
        <v>21</v>
      </c>
      <c r="B659" s="4" t="s">
        <v>13</v>
      </c>
      <c r="C659" s="4" t="n">
        <v>43</v>
      </c>
      <c r="D659" s="5" t="n">
        <v>21.5</v>
      </c>
      <c r="E659" s="6" t="n">
        <f aca="false">DATE(2024,9,13)</f>
        <v>45548</v>
      </c>
      <c r="F659" s="7" t="n">
        <f aca="false">C659*D659</f>
        <v>924.5</v>
      </c>
      <c r="G659" s="7" t="n">
        <f aca="false">ROUND(F659*0.2,2)</f>
        <v>184.9</v>
      </c>
      <c r="H659" s="4" t="str">
        <f aca="false">IF(F659&gt;500,"Yüksek",IF(F659&gt;100,"Orta","Düşük"))</f>
        <v>Yüksek</v>
      </c>
    </row>
    <row r="660" customFormat="false" ht="12.8" hidden="false" customHeight="false" outlineLevel="0" collapsed="false">
      <c r="A660" s="4" t="s">
        <v>22</v>
      </c>
      <c r="B660" s="4" t="s">
        <v>15</v>
      </c>
      <c r="C660" s="4" t="n">
        <v>50</v>
      </c>
      <c r="D660" s="5" t="n">
        <v>24.25</v>
      </c>
      <c r="E660" s="6" t="n">
        <f aca="false">DATE(2024,10,14)</f>
        <v>45579</v>
      </c>
      <c r="F660" s="7" t="n">
        <f aca="false">C660*D660</f>
        <v>1212.5</v>
      </c>
      <c r="G660" s="7" t="n">
        <f aca="false">ROUND(F660*0.2,2)</f>
        <v>242.5</v>
      </c>
      <c r="H660" s="4" t="str">
        <f aca="false">IF(F660&gt;500,"Yüksek",IF(F660&gt;100,"Orta","Düşük"))</f>
        <v>Yüksek</v>
      </c>
    </row>
    <row r="661" customFormat="false" ht="12.8" hidden="false" customHeight="false" outlineLevel="0" collapsed="false">
      <c r="A661" s="4" t="s">
        <v>23</v>
      </c>
      <c r="B661" s="4" t="s">
        <v>17</v>
      </c>
      <c r="C661" s="4" t="n">
        <v>7</v>
      </c>
      <c r="D661" s="5" t="n">
        <v>27</v>
      </c>
      <c r="E661" s="6" t="n">
        <f aca="false">DATE(2024,11,15)</f>
        <v>45611</v>
      </c>
      <c r="F661" s="7" t="n">
        <f aca="false">C661*D661</f>
        <v>189</v>
      </c>
      <c r="G661" s="7" t="n">
        <f aca="false">ROUND(F661*0.2,2)</f>
        <v>37.8</v>
      </c>
      <c r="H661" s="4" t="str">
        <f aca="false">IF(F661&gt;500,"Yüksek",IF(F661&gt;100,"Orta","Düşük"))</f>
        <v>Orta</v>
      </c>
    </row>
    <row r="662" customFormat="false" ht="12.8" hidden="false" customHeight="false" outlineLevel="0" collapsed="false">
      <c r="A662" s="4" t="s">
        <v>24</v>
      </c>
      <c r="B662" s="4" t="s">
        <v>19</v>
      </c>
      <c r="C662" s="4" t="n">
        <v>14</v>
      </c>
      <c r="D662" s="5" t="n">
        <v>29.75</v>
      </c>
      <c r="E662" s="6" t="n">
        <f aca="false">DATE(2024,12,16)</f>
        <v>45642</v>
      </c>
      <c r="F662" s="7" t="n">
        <f aca="false">C662*D662</f>
        <v>416.5</v>
      </c>
      <c r="G662" s="7" t="n">
        <f aca="false">ROUND(F662*0.2,2)</f>
        <v>83.3</v>
      </c>
      <c r="H662" s="4" t="str">
        <f aca="false">IF(F662&gt;500,"Yüksek",IF(F662&gt;100,"Orta","Düşük"))</f>
        <v>Orta</v>
      </c>
    </row>
    <row r="663" customFormat="false" ht="12.8" hidden="false" customHeight="false" outlineLevel="0" collapsed="false">
      <c r="A663" s="4" t="s">
        <v>10</v>
      </c>
      <c r="B663" s="4" t="s">
        <v>11</v>
      </c>
      <c r="C663" s="4" t="n">
        <v>21</v>
      </c>
      <c r="D663" s="5" t="n">
        <v>32.5</v>
      </c>
      <c r="E663" s="6" t="n">
        <f aca="false">DATE(2024,1,17)</f>
        <v>45308</v>
      </c>
      <c r="F663" s="7" t="n">
        <f aca="false">C663*D663</f>
        <v>682.5</v>
      </c>
      <c r="G663" s="7" t="n">
        <f aca="false">ROUND(F663*0.2,2)</f>
        <v>136.5</v>
      </c>
      <c r="H663" s="4" t="str">
        <f aca="false">IF(F663&gt;500,"Yüksek",IF(F663&gt;100,"Orta","Düşük"))</f>
        <v>Yüksek</v>
      </c>
    </row>
    <row r="664" customFormat="false" ht="12.8" hidden="false" customHeight="false" outlineLevel="0" collapsed="false">
      <c r="A664" s="4" t="s">
        <v>12</v>
      </c>
      <c r="B664" s="4" t="s">
        <v>13</v>
      </c>
      <c r="C664" s="4" t="n">
        <v>28</v>
      </c>
      <c r="D664" s="5" t="n">
        <v>35.25</v>
      </c>
      <c r="E664" s="6" t="n">
        <f aca="false">DATE(2024,2,18)</f>
        <v>45340</v>
      </c>
      <c r="F664" s="7" t="n">
        <f aca="false">C664*D664</f>
        <v>987</v>
      </c>
      <c r="G664" s="7" t="n">
        <f aca="false">ROUND(F664*0.2,2)</f>
        <v>197.4</v>
      </c>
      <c r="H664" s="4" t="str">
        <f aca="false">IF(F664&gt;500,"Yüksek",IF(F664&gt;100,"Orta","Düşük"))</f>
        <v>Yüksek</v>
      </c>
    </row>
    <row r="665" customFormat="false" ht="12.8" hidden="false" customHeight="false" outlineLevel="0" collapsed="false">
      <c r="A665" s="4" t="s">
        <v>14</v>
      </c>
      <c r="B665" s="4" t="s">
        <v>15</v>
      </c>
      <c r="C665" s="4" t="n">
        <v>35</v>
      </c>
      <c r="D665" s="5" t="n">
        <v>38</v>
      </c>
      <c r="E665" s="6" t="n">
        <f aca="false">DATE(2024,3,19)</f>
        <v>45370</v>
      </c>
      <c r="F665" s="7" t="n">
        <f aca="false">C665*D665</f>
        <v>1330</v>
      </c>
      <c r="G665" s="7" t="n">
        <f aca="false">ROUND(F665*0.2,2)</f>
        <v>266</v>
      </c>
      <c r="H665" s="4" t="str">
        <f aca="false">IF(F665&gt;500,"Yüksek",IF(F665&gt;100,"Orta","Düşük"))</f>
        <v>Yüksek</v>
      </c>
    </row>
    <row r="666" customFormat="false" ht="12.8" hidden="false" customHeight="false" outlineLevel="0" collapsed="false">
      <c r="A666" s="4" t="s">
        <v>16</v>
      </c>
      <c r="B666" s="4" t="s">
        <v>17</v>
      </c>
      <c r="C666" s="4" t="n">
        <v>42</v>
      </c>
      <c r="D666" s="5" t="n">
        <v>5</v>
      </c>
      <c r="E666" s="6" t="n">
        <f aca="false">DATE(2024,4,20)</f>
        <v>45402</v>
      </c>
      <c r="F666" s="7" t="n">
        <f aca="false">C666*D666</f>
        <v>210</v>
      </c>
      <c r="G666" s="7" t="n">
        <f aca="false">ROUND(F666*0.2,2)</f>
        <v>42</v>
      </c>
      <c r="H666" s="4" t="str">
        <f aca="false">IF(F666&gt;500,"Yüksek",IF(F666&gt;100,"Orta","Düşük"))</f>
        <v>Orta</v>
      </c>
    </row>
    <row r="667" customFormat="false" ht="12.8" hidden="false" customHeight="false" outlineLevel="0" collapsed="false">
      <c r="A667" s="4" t="s">
        <v>18</v>
      </c>
      <c r="B667" s="4" t="s">
        <v>19</v>
      </c>
      <c r="C667" s="4" t="n">
        <v>49</v>
      </c>
      <c r="D667" s="5" t="n">
        <v>7.75</v>
      </c>
      <c r="E667" s="6" t="n">
        <f aca="false">DATE(2024,5,21)</f>
        <v>45433</v>
      </c>
      <c r="F667" s="7" t="n">
        <f aca="false">C667*D667</f>
        <v>379.75</v>
      </c>
      <c r="G667" s="7" t="n">
        <f aca="false">ROUND(F667*0.2,2)</f>
        <v>75.95</v>
      </c>
      <c r="H667" s="4" t="str">
        <f aca="false">IF(F667&gt;500,"Yüksek",IF(F667&gt;100,"Orta","Düşük"))</f>
        <v>Orta</v>
      </c>
    </row>
    <row r="668" customFormat="false" ht="12.8" hidden="false" customHeight="false" outlineLevel="0" collapsed="false">
      <c r="A668" s="4" t="s">
        <v>20</v>
      </c>
      <c r="B668" s="4" t="s">
        <v>11</v>
      </c>
      <c r="C668" s="4" t="n">
        <v>6</v>
      </c>
      <c r="D668" s="5" t="n">
        <v>10.5</v>
      </c>
      <c r="E668" s="6" t="n">
        <f aca="false">DATE(2024,6,22)</f>
        <v>45465</v>
      </c>
      <c r="F668" s="7" t="n">
        <f aca="false">C668*D668</f>
        <v>63</v>
      </c>
      <c r="G668" s="7" t="n">
        <f aca="false">ROUND(F668*0.2,2)</f>
        <v>12.6</v>
      </c>
      <c r="H668" s="4" t="str">
        <f aca="false">IF(F668&gt;500,"Yüksek",IF(F668&gt;100,"Orta","Düşük"))</f>
        <v>Düşük</v>
      </c>
    </row>
    <row r="669" customFormat="false" ht="12.8" hidden="false" customHeight="false" outlineLevel="0" collapsed="false">
      <c r="A669" s="4" t="s">
        <v>21</v>
      </c>
      <c r="B669" s="4" t="s">
        <v>13</v>
      </c>
      <c r="C669" s="4" t="n">
        <v>13</v>
      </c>
      <c r="D669" s="5" t="n">
        <v>13.25</v>
      </c>
      <c r="E669" s="6" t="n">
        <f aca="false">DATE(2024,7,23)</f>
        <v>45496</v>
      </c>
      <c r="F669" s="7" t="n">
        <f aca="false">C669*D669</f>
        <v>172.25</v>
      </c>
      <c r="G669" s="7" t="n">
        <f aca="false">ROUND(F669*0.2,2)</f>
        <v>34.45</v>
      </c>
      <c r="H669" s="4" t="str">
        <f aca="false">IF(F669&gt;500,"Yüksek",IF(F669&gt;100,"Orta","Düşük"))</f>
        <v>Orta</v>
      </c>
    </row>
    <row r="670" customFormat="false" ht="12.8" hidden="false" customHeight="false" outlineLevel="0" collapsed="false">
      <c r="A670" s="4" t="s">
        <v>22</v>
      </c>
      <c r="B670" s="4" t="s">
        <v>15</v>
      </c>
      <c r="C670" s="4" t="n">
        <v>20</v>
      </c>
      <c r="D670" s="5" t="n">
        <v>16</v>
      </c>
      <c r="E670" s="6" t="n">
        <f aca="false">DATE(2024,8,24)</f>
        <v>45528</v>
      </c>
      <c r="F670" s="7" t="n">
        <f aca="false">C670*D670</f>
        <v>320</v>
      </c>
      <c r="G670" s="7" t="n">
        <f aca="false">ROUND(F670*0.2,2)</f>
        <v>64</v>
      </c>
      <c r="H670" s="4" t="str">
        <f aca="false">IF(F670&gt;500,"Yüksek",IF(F670&gt;100,"Orta","Düşük"))</f>
        <v>Orta</v>
      </c>
    </row>
    <row r="671" customFormat="false" ht="12.8" hidden="false" customHeight="false" outlineLevel="0" collapsed="false">
      <c r="A671" s="4" t="s">
        <v>23</v>
      </c>
      <c r="B671" s="4" t="s">
        <v>17</v>
      </c>
      <c r="C671" s="4" t="n">
        <v>27</v>
      </c>
      <c r="D671" s="5" t="n">
        <v>18.75</v>
      </c>
      <c r="E671" s="6" t="n">
        <f aca="false">DATE(2024,9,25)</f>
        <v>45560</v>
      </c>
      <c r="F671" s="7" t="n">
        <f aca="false">C671*D671</f>
        <v>506.25</v>
      </c>
      <c r="G671" s="7" t="n">
        <f aca="false">ROUND(F671*0.2,2)</f>
        <v>101.25</v>
      </c>
      <c r="H671" s="4" t="str">
        <f aca="false">IF(F671&gt;500,"Yüksek",IF(F671&gt;100,"Orta","Düşük"))</f>
        <v>Yüksek</v>
      </c>
    </row>
    <row r="672" customFormat="false" ht="12.8" hidden="false" customHeight="false" outlineLevel="0" collapsed="false">
      <c r="A672" s="4" t="s">
        <v>24</v>
      </c>
      <c r="B672" s="4" t="s">
        <v>19</v>
      </c>
      <c r="C672" s="4" t="n">
        <v>34</v>
      </c>
      <c r="D672" s="5" t="n">
        <v>21.5</v>
      </c>
      <c r="E672" s="6" t="n">
        <f aca="false">DATE(2024,10,26)</f>
        <v>45591</v>
      </c>
      <c r="F672" s="7" t="n">
        <f aca="false">C672*D672</f>
        <v>731</v>
      </c>
      <c r="G672" s="7" t="n">
        <f aca="false">ROUND(F672*0.2,2)</f>
        <v>146.2</v>
      </c>
      <c r="H672" s="4" t="str">
        <f aca="false">IF(F672&gt;500,"Yüksek",IF(F672&gt;100,"Orta","Düşük"))</f>
        <v>Yüksek</v>
      </c>
    </row>
    <row r="673" customFormat="false" ht="12.8" hidden="false" customHeight="false" outlineLevel="0" collapsed="false">
      <c r="A673" s="4" t="s">
        <v>10</v>
      </c>
      <c r="B673" s="4" t="s">
        <v>11</v>
      </c>
      <c r="C673" s="4" t="n">
        <v>41</v>
      </c>
      <c r="D673" s="5" t="n">
        <v>24.25</v>
      </c>
      <c r="E673" s="6" t="n">
        <f aca="false">DATE(2024,11,27)</f>
        <v>45623</v>
      </c>
      <c r="F673" s="7" t="n">
        <f aca="false">C673*D673</f>
        <v>994.25</v>
      </c>
      <c r="G673" s="7" t="n">
        <f aca="false">ROUND(F673*0.2,2)</f>
        <v>198.85</v>
      </c>
      <c r="H673" s="4" t="str">
        <f aca="false">IF(F673&gt;500,"Yüksek",IF(F673&gt;100,"Orta","Düşük"))</f>
        <v>Yüksek</v>
      </c>
    </row>
    <row r="674" customFormat="false" ht="12.8" hidden="false" customHeight="false" outlineLevel="0" collapsed="false">
      <c r="A674" s="4" t="s">
        <v>12</v>
      </c>
      <c r="B674" s="4" t="s">
        <v>13</v>
      </c>
      <c r="C674" s="4" t="n">
        <v>48</v>
      </c>
      <c r="D674" s="5" t="n">
        <v>27</v>
      </c>
      <c r="E674" s="6" t="n">
        <f aca="false">DATE(2024,12,28)</f>
        <v>45654</v>
      </c>
      <c r="F674" s="7" t="n">
        <f aca="false">C674*D674</f>
        <v>1296</v>
      </c>
      <c r="G674" s="7" t="n">
        <f aca="false">ROUND(F674*0.2,2)</f>
        <v>259.2</v>
      </c>
      <c r="H674" s="4" t="str">
        <f aca="false">IF(F674&gt;500,"Yüksek",IF(F674&gt;100,"Orta","Düşük"))</f>
        <v>Yüksek</v>
      </c>
    </row>
    <row r="675" customFormat="false" ht="12.8" hidden="false" customHeight="false" outlineLevel="0" collapsed="false">
      <c r="A675" s="4" t="s">
        <v>14</v>
      </c>
      <c r="B675" s="4" t="s">
        <v>15</v>
      </c>
      <c r="C675" s="4" t="n">
        <v>5</v>
      </c>
      <c r="D675" s="5" t="n">
        <v>29.75</v>
      </c>
      <c r="E675" s="6" t="n">
        <f aca="false">DATE(2024,1,1)</f>
        <v>45292</v>
      </c>
      <c r="F675" s="7" t="n">
        <f aca="false">C675*D675</f>
        <v>148.75</v>
      </c>
      <c r="G675" s="7" t="n">
        <f aca="false">ROUND(F675*0.2,2)</f>
        <v>29.75</v>
      </c>
      <c r="H675" s="4" t="str">
        <f aca="false">IF(F675&gt;500,"Yüksek",IF(F675&gt;100,"Orta","Düşük"))</f>
        <v>Orta</v>
      </c>
    </row>
    <row r="676" customFormat="false" ht="12.8" hidden="false" customHeight="false" outlineLevel="0" collapsed="false">
      <c r="A676" s="4" t="s">
        <v>16</v>
      </c>
      <c r="B676" s="4" t="s">
        <v>17</v>
      </c>
      <c r="C676" s="4" t="n">
        <v>12</v>
      </c>
      <c r="D676" s="5" t="n">
        <v>32.5</v>
      </c>
      <c r="E676" s="6" t="n">
        <f aca="false">DATE(2024,2,2)</f>
        <v>45324</v>
      </c>
      <c r="F676" s="7" t="n">
        <f aca="false">C676*D676</f>
        <v>390</v>
      </c>
      <c r="G676" s="7" t="n">
        <f aca="false">ROUND(F676*0.2,2)</f>
        <v>78</v>
      </c>
      <c r="H676" s="4" t="str">
        <f aca="false">IF(F676&gt;500,"Yüksek",IF(F676&gt;100,"Orta","Düşük"))</f>
        <v>Orta</v>
      </c>
    </row>
    <row r="677" customFormat="false" ht="12.8" hidden="false" customHeight="false" outlineLevel="0" collapsed="false">
      <c r="A677" s="4" t="s">
        <v>18</v>
      </c>
      <c r="B677" s="4" t="s">
        <v>19</v>
      </c>
      <c r="C677" s="4" t="n">
        <v>19</v>
      </c>
      <c r="D677" s="5" t="n">
        <v>35.25</v>
      </c>
      <c r="E677" s="6" t="n">
        <f aca="false">DATE(2024,3,3)</f>
        <v>45354</v>
      </c>
      <c r="F677" s="7" t="n">
        <f aca="false">C677*D677</f>
        <v>669.75</v>
      </c>
      <c r="G677" s="7" t="n">
        <f aca="false">ROUND(F677*0.2,2)</f>
        <v>133.95</v>
      </c>
      <c r="H677" s="4" t="str">
        <f aca="false">IF(F677&gt;500,"Yüksek",IF(F677&gt;100,"Orta","Düşük"))</f>
        <v>Yüksek</v>
      </c>
    </row>
    <row r="678" customFormat="false" ht="12.8" hidden="false" customHeight="false" outlineLevel="0" collapsed="false">
      <c r="A678" s="4" t="s">
        <v>20</v>
      </c>
      <c r="B678" s="4" t="s">
        <v>11</v>
      </c>
      <c r="C678" s="4" t="n">
        <v>26</v>
      </c>
      <c r="D678" s="5" t="n">
        <v>38</v>
      </c>
      <c r="E678" s="6" t="n">
        <f aca="false">DATE(2024,4,4)</f>
        <v>45386</v>
      </c>
      <c r="F678" s="7" t="n">
        <f aca="false">C678*D678</f>
        <v>988</v>
      </c>
      <c r="G678" s="7" t="n">
        <f aca="false">ROUND(F678*0.2,2)</f>
        <v>197.6</v>
      </c>
      <c r="H678" s="4" t="str">
        <f aca="false">IF(F678&gt;500,"Yüksek",IF(F678&gt;100,"Orta","Düşük"))</f>
        <v>Yüksek</v>
      </c>
    </row>
    <row r="679" customFormat="false" ht="12.8" hidden="false" customHeight="false" outlineLevel="0" collapsed="false">
      <c r="A679" s="4" t="s">
        <v>21</v>
      </c>
      <c r="B679" s="4" t="s">
        <v>13</v>
      </c>
      <c r="C679" s="4" t="n">
        <v>33</v>
      </c>
      <c r="D679" s="5" t="n">
        <v>5</v>
      </c>
      <c r="E679" s="6" t="n">
        <f aca="false">DATE(2024,5,5)</f>
        <v>45417</v>
      </c>
      <c r="F679" s="7" t="n">
        <f aca="false">C679*D679</f>
        <v>165</v>
      </c>
      <c r="G679" s="7" t="n">
        <f aca="false">ROUND(F679*0.2,2)</f>
        <v>33</v>
      </c>
      <c r="H679" s="4" t="str">
        <f aca="false">IF(F679&gt;500,"Yüksek",IF(F679&gt;100,"Orta","Düşük"))</f>
        <v>Orta</v>
      </c>
    </row>
    <row r="680" customFormat="false" ht="12.8" hidden="false" customHeight="false" outlineLevel="0" collapsed="false">
      <c r="A680" s="4" t="s">
        <v>22</v>
      </c>
      <c r="B680" s="4" t="s">
        <v>15</v>
      </c>
      <c r="C680" s="4" t="n">
        <v>40</v>
      </c>
      <c r="D680" s="5" t="n">
        <v>7.75</v>
      </c>
      <c r="E680" s="6" t="n">
        <f aca="false">DATE(2024,6,6)</f>
        <v>45449</v>
      </c>
      <c r="F680" s="7" t="n">
        <f aca="false">C680*D680</f>
        <v>310</v>
      </c>
      <c r="G680" s="7" t="n">
        <f aca="false">ROUND(F680*0.2,2)</f>
        <v>62</v>
      </c>
      <c r="H680" s="4" t="str">
        <f aca="false">IF(F680&gt;500,"Yüksek",IF(F680&gt;100,"Orta","Düşük"))</f>
        <v>Orta</v>
      </c>
    </row>
    <row r="681" customFormat="false" ht="12.8" hidden="false" customHeight="false" outlineLevel="0" collapsed="false">
      <c r="A681" s="4" t="s">
        <v>23</v>
      </c>
      <c r="B681" s="4" t="s">
        <v>17</v>
      </c>
      <c r="C681" s="4" t="n">
        <v>47</v>
      </c>
      <c r="D681" s="5" t="n">
        <v>10.5</v>
      </c>
      <c r="E681" s="6" t="n">
        <f aca="false">DATE(2024,7,7)</f>
        <v>45480</v>
      </c>
      <c r="F681" s="7" t="n">
        <f aca="false">C681*D681</f>
        <v>493.5</v>
      </c>
      <c r="G681" s="7" t="n">
        <f aca="false">ROUND(F681*0.2,2)</f>
        <v>98.7</v>
      </c>
      <c r="H681" s="4" t="str">
        <f aca="false">IF(F681&gt;500,"Yüksek",IF(F681&gt;100,"Orta","Düşük"))</f>
        <v>Orta</v>
      </c>
    </row>
    <row r="682" customFormat="false" ht="12.8" hidden="false" customHeight="false" outlineLevel="0" collapsed="false">
      <c r="A682" s="4" t="s">
        <v>24</v>
      </c>
      <c r="B682" s="4" t="s">
        <v>19</v>
      </c>
      <c r="C682" s="4" t="n">
        <v>4</v>
      </c>
      <c r="D682" s="5" t="n">
        <v>13.25</v>
      </c>
      <c r="E682" s="6" t="n">
        <f aca="false">DATE(2024,8,8)</f>
        <v>45512</v>
      </c>
      <c r="F682" s="7" t="n">
        <f aca="false">C682*D682</f>
        <v>53</v>
      </c>
      <c r="G682" s="7" t="n">
        <f aca="false">ROUND(F682*0.2,2)</f>
        <v>10.6</v>
      </c>
      <c r="H682" s="4" t="str">
        <f aca="false">IF(F682&gt;500,"Yüksek",IF(F682&gt;100,"Orta","Düşük"))</f>
        <v>Düşük</v>
      </c>
    </row>
    <row r="683" customFormat="false" ht="12.8" hidden="false" customHeight="false" outlineLevel="0" collapsed="false">
      <c r="A683" s="4" t="s">
        <v>10</v>
      </c>
      <c r="B683" s="4" t="s">
        <v>11</v>
      </c>
      <c r="C683" s="4" t="n">
        <v>11</v>
      </c>
      <c r="D683" s="5" t="n">
        <v>16</v>
      </c>
      <c r="E683" s="6" t="n">
        <f aca="false">DATE(2024,9,9)</f>
        <v>45544</v>
      </c>
      <c r="F683" s="7" t="n">
        <f aca="false">C683*D683</f>
        <v>176</v>
      </c>
      <c r="G683" s="7" t="n">
        <f aca="false">ROUND(F683*0.2,2)</f>
        <v>35.2</v>
      </c>
      <c r="H683" s="4" t="str">
        <f aca="false">IF(F683&gt;500,"Yüksek",IF(F683&gt;100,"Orta","Düşük"))</f>
        <v>Orta</v>
      </c>
    </row>
    <row r="684" customFormat="false" ht="12.8" hidden="false" customHeight="false" outlineLevel="0" collapsed="false">
      <c r="A684" s="4" t="s">
        <v>12</v>
      </c>
      <c r="B684" s="4" t="s">
        <v>13</v>
      </c>
      <c r="C684" s="4" t="n">
        <v>18</v>
      </c>
      <c r="D684" s="5" t="n">
        <v>18.75</v>
      </c>
      <c r="E684" s="6" t="n">
        <f aca="false">DATE(2024,10,10)</f>
        <v>45575</v>
      </c>
      <c r="F684" s="7" t="n">
        <f aca="false">C684*D684</f>
        <v>337.5</v>
      </c>
      <c r="G684" s="7" t="n">
        <f aca="false">ROUND(F684*0.2,2)</f>
        <v>67.5</v>
      </c>
      <c r="H684" s="4" t="str">
        <f aca="false">IF(F684&gt;500,"Yüksek",IF(F684&gt;100,"Orta","Düşük"))</f>
        <v>Orta</v>
      </c>
    </row>
    <row r="685" customFormat="false" ht="12.8" hidden="false" customHeight="false" outlineLevel="0" collapsed="false">
      <c r="A685" s="4" t="s">
        <v>14</v>
      </c>
      <c r="B685" s="4" t="s">
        <v>15</v>
      </c>
      <c r="C685" s="4" t="n">
        <v>25</v>
      </c>
      <c r="D685" s="5" t="n">
        <v>21.5</v>
      </c>
      <c r="E685" s="6" t="n">
        <f aca="false">DATE(2024,11,11)</f>
        <v>45607</v>
      </c>
      <c r="F685" s="7" t="n">
        <f aca="false">C685*D685</f>
        <v>537.5</v>
      </c>
      <c r="G685" s="7" t="n">
        <f aca="false">ROUND(F685*0.2,2)</f>
        <v>107.5</v>
      </c>
      <c r="H685" s="4" t="str">
        <f aca="false">IF(F685&gt;500,"Yüksek",IF(F685&gt;100,"Orta","Düşük"))</f>
        <v>Yüksek</v>
      </c>
    </row>
    <row r="686" customFormat="false" ht="12.8" hidden="false" customHeight="false" outlineLevel="0" collapsed="false">
      <c r="A686" s="4" t="s">
        <v>16</v>
      </c>
      <c r="B686" s="4" t="s">
        <v>17</v>
      </c>
      <c r="C686" s="4" t="n">
        <v>32</v>
      </c>
      <c r="D686" s="5" t="n">
        <v>24.25</v>
      </c>
      <c r="E686" s="6" t="n">
        <f aca="false">DATE(2024,12,12)</f>
        <v>45638</v>
      </c>
      <c r="F686" s="7" t="n">
        <f aca="false">C686*D686</f>
        <v>776</v>
      </c>
      <c r="G686" s="7" t="n">
        <f aca="false">ROUND(F686*0.2,2)</f>
        <v>155.2</v>
      </c>
      <c r="H686" s="4" t="str">
        <f aca="false">IF(F686&gt;500,"Yüksek",IF(F686&gt;100,"Orta","Düşük"))</f>
        <v>Yüksek</v>
      </c>
    </row>
    <row r="687" customFormat="false" ht="12.8" hidden="false" customHeight="false" outlineLevel="0" collapsed="false">
      <c r="A687" s="4" t="s">
        <v>18</v>
      </c>
      <c r="B687" s="4" t="s">
        <v>19</v>
      </c>
      <c r="C687" s="4" t="n">
        <v>39</v>
      </c>
      <c r="D687" s="5" t="n">
        <v>27</v>
      </c>
      <c r="E687" s="6" t="n">
        <f aca="false">DATE(2024,1,13)</f>
        <v>45304</v>
      </c>
      <c r="F687" s="7" t="n">
        <f aca="false">C687*D687</f>
        <v>1053</v>
      </c>
      <c r="G687" s="7" t="n">
        <f aca="false">ROUND(F687*0.2,2)</f>
        <v>210.6</v>
      </c>
      <c r="H687" s="4" t="str">
        <f aca="false">IF(F687&gt;500,"Yüksek",IF(F687&gt;100,"Orta","Düşük"))</f>
        <v>Yüksek</v>
      </c>
    </row>
    <row r="688" customFormat="false" ht="12.8" hidden="false" customHeight="false" outlineLevel="0" collapsed="false">
      <c r="A688" s="4" t="s">
        <v>20</v>
      </c>
      <c r="B688" s="4" t="s">
        <v>11</v>
      </c>
      <c r="C688" s="4" t="n">
        <v>46</v>
      </c>
      <c r="D688" s="5" t="n">
        <v>29.75</v>
      </c>
      <c r="E688" s="6" t="n">
        <f aca="false">DATE(2024,2,14)</f>
        <v>45336</v>
      </c>
      <c r="F688" s="7" t="n">
        <f aca="false">C688*D688</f>
        <v>1368.5</v>
      </c>
      <c r="G688" s="7" t="n">
        <f aca="false">ROUND(F688*0.2,2)</f>
        <v>273.7</v>
      </c>
      <c r="H688" s="4" t="str">
        <f aca="false">IF(F688&gt;500,"Yüksek",IF(F688&gt;100,"Orta","Düşük"))</f>
        <v>Yüksek</v>
      </c>
    </row>
    <row r="689" customFormat="false" ht="12.8" hidden="false" customHeight="false" outlineLevel="0" collapsed="false">
      <c r="A689" s="4" t="s">
        <v>21</v>
      </c>
      <c r="B689" s="4" t="s">
        <v>13</v>
      </c>
      <c r="C689" s="4" t="n">
        <v>3</v>
      </c>
      <c r="D689" s="5" t="n">
        <v>32.5</v>
      </c>
      <c r="E689" s="6" t="n">
        <f aca="false">DATE(2024,3,15)</f>
        <v>45366</v>
      </c>
      <c r="F689" s="7" t="n">
        <f aca="false">C689*D689</f>
        <v>97.5</v>
      </c>
      <c r="G689" s="7" t="n">
        <f aca="false">ROUND(F689*0.2,2)</f>
        <v>19.5</v>
      </c>
      <c r="H689" s="4" t="str">
        <f aca="false">IF(F689&gt;500,"Yüksek",IF(F689&gt;100,"Orta","Düşük"))</f>
        <v>Düşük</v>
      </c>
    </row>
    <row r="690" customFormat="false" ht="12.8" hidden="false" customHeight="false" outlineLevel="0" collapsed="false">
      <c r="A690" s="4" t="s">
        <v>22</v>
      </c>
      <c r="B690" s="4" t="s">
        <v>15</v>
      </c>
      <c r="C690" s="4" t="n">
        <v>10</v>
      </c>
      <c r="D690" s="5" t="n">
        <v>35.25</v>
      </c>
      <c r="E690" s="6" t="n">
        <f aca="false">DATE(2024,4,16)</f>
        <v>45398</v>
      </c>
      <c r="F690" s="7" t="n">
        <f aca="false">C690*D690</f>
        <v>352.5</v>
      </c>
      <c r="G690" s="7" t="n">
        <f aca="false">ROUND(F690*0.2,2)</f>
        <v>70.5</v>
      </c>
      <c r="H690" s="4" t="str">
        <f aca="false">IF(F690&gt;500,"Yüksek",IF(F690&gt;100,"Orta","Düşük"))</f>
        <v>Orta</v>
      </c>
    </row>
    <row r="691" customFormat="false" ht="12.8" hidden="false" customHeight="false" outlineLevel="0" collapsed="false">
      <c r="A691" s="4" t="s">
        <v>23</v>
      </c>
      <c r="B691" s="4" t="s">
        <v>17</v>
      </c>
      <c r="C691" s="4" t="n">
        <v>17</v>
      </c>
      <c r="D691" s="5" t="n">
        <v>38</v>
      </c>
      <c r="E691" s="6" t="n">
        <f aca="false">DATE(2024,5,17)</f>
        <v>45429</v>
      </c>
      <c r="F691" s="7" t="n">
        <f aca="false">C691*D691</f>
        <v>646</v>
      </c>
      <c r="G691" s="7" t="n">
        <f aca="false">ROUND(F691*0.2,2)</f>
        <v>129.2</v>
      </c>
      <c r="H691" s="4" t="str">
        <f aca="false">IF(F691&gt;500,"Yüksek",IF(F691&gt;100,"Orta","Düşük"))</f>
        <v>Yüksek</v>
      </c>
    </row>
    <row r="692" customFormat="false" ht="12.8" hidden="false" customHeight="false" outlineLevel="0" collapsed="false">
      <c r="A692" s="4" t="s">
        <v>24</v>
      </c>
      <c r="B692" s="4" t="s">
        <v>19</v>
      </c>
      <c r="C692" s="4" t="n">
        <v>24</v>
      </c>
      <c r="D692" s="5" t="n">
        <v>5</v>
      </c>
      <c r="E692" s="6" t="n">
        <f aca="false">DATE(2024,6,18)</f>
        <v>45461</v>
      </c>
      <c r="F692" s="7" t="n">
        <f aca="false">C692*D692</f>
        <v>120</v>
      </c>
      <c r="G692" s="7" t="n">
        <f aca="false">ROUND(F692*0.2,2)</f>
        <v>24</v>
      </c>
      <c r="H692" s="4" t="str">
        <f aca="false">IF(F692&gt;500,"Yüksek",IF(F692&gt;100,"Orta","Düşük"))</f>
        <v>Orta</v>
      </c>
    </row>
    <row r="693" customFormat="false" ht="12.8" hidden="false" customHeight="false" outlineLevel="0" collapsed="false">
      <c r="A693" s="4" t="s">
        <v>10</v>
      </c>
      <c r="B693" s="4" t="s">
        <v>11</v>
      </c>
      <c r="C693" s="4" t="n">
        <v>31</v>
      </c>
      <c r="D693" s="5" t="n">
        <v>7.75</v>
      </c>
      <c r="E693" s="6" t="n">
        <f aca="false">DATE(2024,7,19)</f>
        <v>45492</v>
      </c>
      <c r="F693" s="7" t="n">
        <f aca="false">C693*D693</f>
        <v>240.25</v>
      </c>
      <c r="G693" s="7" t="n">
        <f aca="false">ROUND(F693*0.2,2)</f>
        <v>48.05</v>
      </c>
      <c r="H693" s="4" t="str">
        <f aca="false">IF(F693&gt;500,"Yüksek",IF(F693&gt;100,"Orta","Düşük"))</f>
        <v>Orta</v>
      </c>
    </row>
    <row r="694" customFormat="false" ht="12.8" hidden="false" customHeight="false" outlineLevel="0" collapsed="false">
      <c r="A694" s="4" t="s">
        <v>12</v>
      </c>
      <c r="B694" s="4" t="s">
        <v>13</v>
      </c>
      <c r="C694" s="4" t="n">
        <v>38</v>
      </c>
      <c r="D694" s="5" t="n">
        <v>10.5</v>
      </c>
      <c r="E694" s="6" t="n">
        <f aca="false">DATE(2024,8,20)</f>
        <v>45524</v>
      </c>
      <c r="F694" s="7" t="n">
        <f aca="false">C694*D694</f>
        <v>399</v>
      </c>
      <c r="G694" s="7" t="n">
        <f aca="false">ROUND(F694*0.2,2)</f>
        <v>79.8</v>
      </c>
      <c r="H694" s="4" t="str">
        <f aca="false">IF(F694&gt;500,"Yüksek",IF(F694&gt;100,"Orta","Düşük"))</f>
        <v>Orta</v>
      </c>
    </row>
    <row r="695" customFormat="false" ht="12.8" hidden="false" customHeight="false" outlineLevel="0" collapsed="false">
      <c r="A695" s="4" t="s">
        <v>14</v>
      </c>
      <c r="B695" s="4" t="s">
        <v>15</v>
      </c>
      <c r="C695" s="4" t="n">
        <v>45</v>
      </c>
      <c r="D695" s="5" t="n">
        <v>13.25</v>
      </c>
      <c r="E695" s="6" t="n">
        <f aca="false">DATE(2024,9,21)</f>
        <v>45556</v>
      </c>
      <c r="F695" s="7" t="n">
        <f aca="false">C695*D695</f>
        <v>596.25</v>
      </c>
      <c r="G695" s="7" t="n">
        <f aca="false">ROUND(F695*0.2,2)</f>
        <v>119.25</v>
      </c>
      <c r="H695" s="4" t="str">
        <f aca="false">IF(F695&gt;500,"Yüksek",IF(F695&gt;100,"Orta","Düşük"))</f>
        <v>Yüksek</v>
      </c>
    </row>
    <row r="696" customFormat="false" ht="12.8" hidden="false" customHeight="false" outlineLevel="0" collapsed="false">
      <c r="A696" s="4" t="s">
        <v>16</v>
      </c>
      <c r="B696" s="4" t="s">
        <v>17</v>
      </c>
      <c r="C696" s="4" t="n">
        <v>2</v>
      </c>
      <c r="D696" s="5" t="n">
        <v>16</v>
      </c>
      <c r="E696" s="6" t="n">
        <f aca="false">DATE(2024,10,22)</f>
        <v>45587</v>
      </c>
      <c r="F696" s="7" t="n">
        <f aca="false">C696*D696</f>
        <v>32</v>
      </c>
      <c r="G696" s="7" t="n">
        <f aca="false">ROUND(F696*0.2,2)</f>
        <v>6.4</v>
      </c>
      <c r="H696" s="4" t="str">
        <f aca="false">IF(F696&gt;500,"Yüksek",IF(F696&gt;100,"Orta","Düşük"))</f>
        <v>Düşük</v>
      </c>
    </row>
    <row r="697" customFormat="false" ht="12.8" hidden="false" customHeight="false" outlineLevel="0" collapsed="false">
      <c r="A697" s="4" t="s">
        <v>18</v>
      </c>
      <c r="B697" s="4" t="s">
        <v>19</v>
      </c>
      <c r="C697" s="4" t="n">
        <v>9</v>
      </c>
      <c r="D697" s="5" t="n">
        <v>18.75</v>
      </c>
      <c r="E697" s="6" t="n">
        <f aca="false">DATE(2024,11,23)</f>
        <v>45619</v>
      </c>
      <c r="F697" s="7" t="n">
        <f aca="false">C697*D697</f>
        <v>168.75</v>
      </c>
      <c r="G697" s="7" t="n">
        <f aca="false">ROUND(F697*0.2,2)</f>
        <v>33.75</v>
      </c>
      <c r="H697" s="4" t="str">
        <f aca="false">IF(F697&gt;500,"Yüksek",IF(F697&gt;100,"Orta","Düşük"))</f>
        <v>Orta</v>
      </c>
    </row>
    <row r="698" customFormat="false" ht="12.8" hidden="false" customHeight="false" outlineLevel="0" collapsed="false">
      <c r="A698" s="4" t="s">
        <v>20</v>
      </c>
      <c r="B698" s="4" t="s">
        <v>11</v>
      </c>
      <c r="C698" s="4" t="n">
        <v>16</v>
      </c>
      <c r="D698" s="5" t="n">
        <v>21.5</v>
      </c>
      <c r="E698" s="6" t="n">
        <f aca="false">DATE(2024,12,24)</f>
        <v>45650</v>
      </c>
      <c r="F698" s="7" t="n">
        <f aca="false">C698*D698</f>
        <v>344</v>
      </c>
      <c r="G698" s="7" t="n">
        <f aca="false">ROUND(F698*0.2,2)</f>
        <v>68.8</v>
      </c>
      <c r="H698" s="4" t="str">
        <f aca="false">IF(F698&gt;500,"Yüksek",IF(F698&gt;100,"Orta","Düşük"))</f>
        <v>Orta</v>
      </c>
    </row>
    <row r="699" customFormat="false" ht="12.8" hidden="false" customHeight="false" outlineLevel="0" collapsed="false">
      <c r="A699" s="4" t="s">
        <v>21</v>
      </c>
      <c r="B699" s="4" t="s">
        <v>13</v>
      </c>
      <c r="C699" s="4" t="n">
        <v>23</v>
      </c>
      <c r="D699" s="5" t="n">
        <v>24.25</v>
      </c>
      <c r="E699" s="6" t="n">
        <f aca="false">DATE(2024,1,25)</f>
        <v>45316</v>
      </c>
      <c r="F699" s="7" t="n">
        <f aca="false">C699*D699</f>
        <v>557.75</v>
      </c>
      <c r="G699" s="7" t="n">
        <f aca="false">ROUND(F699*0.2,2)</f>
        <v>111.55</v>
      </c>
      <c r="H699" s="4" t="str">
        <f aca="false">IF(F699&gt;500,"Yüksek",IF(F699&gt;100,"Orta","Düşük"))</f>
        <v>Yüksek</v>
      </c>
    </row>
    <row r="700" customFormat="false" ht="12.8" hidden="false" customHeight="false" outlineLevel="0" collapsed="false">
      <c r="A700" s="4" t="s">
        <v>22</v>
      </c>
      <c r="B700" s="4" t="s">
        <v>15</v>
      </c>
      <c r="C700" s="4" t="n">
        <v>30</v>
      </c>
      <c r="D700" s="5" t="n">
        <v>27</v>
      </c>
      <c r="E700" s="6" t="n">
        <f aca="false">DATE(2024,2,26)</f>
        <v>45348</v>
      </c>
      <c r="F700" s="7" t="n">
        <f aca="false">C700*D700</f>
        <v>810</v>
      </c>
      <c r="G700" s="7" t="n">
        <f aca="false">ROUND(F700*0.2,2)</f>
        <v>162</v>
      </c>
      <c r="H700" s="4" t="str">
        <f aca="false">IF(F700&gt;500,"Yüksek",IF(F700&gt;100,"Orta","Düşük"))</f>
        <v>Yüksek</v>
      </c>
    </row>
    <row r="701" customFormat="false" ht="12.8" hidden="false" customHeight="false" outlineLevel="0" collapsed="false">
      <c r="A701" s="4" t="s">
        <v>23</v>
      </c>
      <c r="B701" s="4" t="s">
        <v>17</v>
      </c>
      <c r="C701" s="4" t="n">
        <v>37</v>
      </c>
      <c r="D701" s="5" t="n">
        <v>29.75</v>
      </c>
      <c r="E701" s="6" t="n">
        <f aca="false">DATE(2024,3,27)</f>
        <v>45378</v>
      </c>
      <c r="F701" s="7" t="n">
        <f aca="false">C701*D701</f>
        <v>1100.75</v>
      </c>
      <c r="G701" s="7" t="n">
        <f aca="false">ROUND(F701*0.2,2)</f>
        <v>220.15</v>
      </c>
      <c r="H701" s="4" t="str">
        <f aca="false">IF(F701&gt;500,"Yüksek",IF(F701&gt;100,"Orta","Düşük"))</f>
        <v>Yüksek</v>
      </c>
    </row>
    <row r="702" customFormat="false" ht="12.8" hidden="false" customHeight="false" outlineLevel="0" collapsed="false">
      <c r="A702" s="4" t="s">
        <v>24</v>
      </c>
      <c r="B702" s="4" t="s">
        <v>19</v>
      </c>
      <c r="C702" s="4" t="n">
        <v>44</v>
      </c>
      <c r="D702" s="5" t="n">
        <v>32.5</v>
      </c>
      <c r="E702" s="6" t="n">
        <f aca="false">DATE(2024,4,28)</f>
        <v>45410</v>
      </c>
      <c r="F702" s="7" t="n">
        <f aca="false">C702*D702</f>
        <v>1430</v>
      </c>
      <c r="G702" s="7" t="n">
        <f aca="false">ROUND(F702*0.2,2)</f>
        <v>286</v>
      </c>
      <c r="H702" s="4" t="str">
        <f aca="false">IF(F702&gt;500,"Yüksek",IF(F702&gt;100,"Orta","Düşük"))</f>
        <v>Yüksek</v>
      </c>
    </row>
    <row r="703" customFormat="false" ht="12.8" hidden="false" customHeight="false" outlineLevel="0" collapsed="false">
      <c r="A703" s="4" t="s">
        <v>10</v>
      </c>
      <c r="B703" s="4" t="s">
        <v>11</v>
      </c>
      <c r="C703" s="4" t="n">
        <v>1</v>
      </c>
      <c r="D703" s="5" t="n">
        <v>35.25</v>
      </c>
      <c r="E703" s="6" t="n">
        <f aca="false">DATE(2024,5,1)</f>
        <v>45413</v>
      </c>
      <c r="F703" s="7" t="n">
        <f aca="false">C703*D703</f>
        <v>35.25</v>
      </c>
      <c r="G703" s="7" t="n">
        <f aca="false">ROUND(F703*0.2,2)</f>
        <v>7.05</v>
      </c>
      <c r="H703" s="4" t="str">
        <f aca="false">IF(F703&gt;500,"Yüksek",IF(F703&gt;100,"Orta","Düşük"))</f>
        <v>Düşük</v>
      </c>
    </row>
    <row r="704" customFormat="false" ht="12.8" hidden="false" customHeight="false" outlineLevel="0" collapsed="false">
      <c r="A704" s="4" t="s">
        <v>12</v>
      </c>
      <c r="B704" s="4" t="s">
        <v>13</v>
      </c>
      <c r="C704" s="4" t="n">
        <v>8</v>
      </c>
      <c r="D704" s="5" t="n">
        <v>38</v>
      </c>
      <c r="E704" s="6" t="n">
        <f aca="false">DATE(2024,6,2)</f>
        <v>45445</v>
      </c>
      <c r="F704" s="7" t="n">
        <f aca="false">C704*D704</f>
        <v>304</v>
      </c>
      <c r="G704" s="7" t="n">
        <f aca="false">ROUND(F704*0.2,2)</f>
        <v>60.8</v>
      </c>
      <c r="H704" s="4" t="str">
        <f aca="false">IF(F704&gt;500,"Yüksek",IF(F704&gt;100,"Orta","Düşük"))</f>
        <v>Orta</v>
      </c>
    </row>
    <row r="705" customFormat="false" ht="12.8" hidden="false" customHeight="false" outlineLevel="0" collapsed="false">
      <c r="A705" s="4" t="s">
        <v>14</v>
      </c>
      <c r="B705" s="4" t="s">
        <v>15</v>
      </c>
      <c r="C705" s="4" t="n">
        <v>15</v>
      </c>
      <c r="D705" s="5" t="n">
        <v>5</v>
      </c>
      <c r="E705" s="6" t="n">
        <f aca="false">DATE(2024,7,3)</f>
        <v>45476</v>
      </c>
      <c r="F705" s="7" t="n">
        <f aca="false">C705*D705</f>
        <v>75</v>
      </c>
      <c r="G705" s="7" t="n">
        <f aca="false">ROUND(F705*0.2,2)</f>
        <v>15</v>
      </c>
      <c r="H705" s="4" t="str">
        <f aca="false">IF(F705&gt;500,"Yüksek",IF(F705&gt;100,"Orta","Düşük"))</f>
        <v>Düşük</v>
      </c>
    </row>
    <row r="706" customFormat="false" ht="12.8" hidden="false" customHeight="false" outlineLevel="0" collapsed="false">
      <c r="A706" s="4" t="s">
        <v>16</v>
      </c>
      <c r="B706" s="4" t="s">
        <v>17</v>
      </c>
      <c r="C706" s="4" t="n">
        <v>22</v>
      </c>
      <c r="D706" s="5" t="n">
        <v>7.75</v>
      </c>
      <c r="E706" s="6" t="n">
        <f aca="false">DATE(2024,8,4)</f>
        <v>45508</v>
      </c>
      <c r="F706" s="7" t="n">
        <f aca="false">C706*D706</f>
        <v>170.5</v>
      </c>
      <c r="G706" s="7" t="n">
        <f aca="false">ROUND(F706*0.2,2)</f>
        <v>34.1</v>
      </c>
      <c r="H706" s="4" t="str">
        <f aca="false">IF(F706&gt;500,"Yüksek",IF(F706&gt;100,"Orta","Düşük"))</f>
        <v>Orta</v>
      </c>
    </row>
    <row r="707" customFormat="false" ht="12.8" hidden="false" customHeight="false" outlineLevel="0" collapsed="false">
      <c r="A707" s="4" t="s">
        <v>18</v>
      </c>
      <c r="B707" s="4" t="s">
        <v>19</v>
      </c>
      <c r="C707" s="4" t="n">
        <v>29</v>
      </c>
      <c r="D707" s="5" t="n">
        <v>10.5</v>
      </c>
      <c r="E707" s="6" t="n">
        <f aca="false">DATE(2024,9,5)</f>
        <v>45540</v>
      </c>
      <c r="F707" s="7" t="n">
        <f aca="false">C707*D707</f>
        <v>304.5</v>
      </c>
      <c r="G707" s="7" t="n">
        <f aca="false">ROUND(F707*0.2,2)</f>
        <v>60.9</v>
      </c>
      <c r="H707" s="4" t="str">
        <f aca="false">IF(F707&gt;500,"Yüksek",IF(F707&gt;100,"Orta","Düşük"))</f>
        <v>Orta</v>
      </c>
    </row>
    <row r="708" customFormat="false" ht="12.8" hidden="false" customHeight="false" outlineLevel="0" collapsed="false">
      <c r="A708" s="4" t="s">
        <v>20</v>
      </c>
      <c r="B708" s="4" t="s">
        <v>11</v>
      </c>
      <c r="C708" s="4" t="n">
        <v>36</v>
      </c>
      <c r="D708" s="5" t="n">
        <v>13.25</v>
      </c>
      <c r="E708" s="6" t="n">
        <f aca="false">DATE(2024,10,6)</f>
        <v>45571</v>
      </c>
      <c r="F708" s="7" t="n">
        <f aca="false">C708*D708</f>
        <v>477</v>
      </c>
      <c r="G708" s="7" t="n">
        <f aca="false">ROUND(F708*0.2,2)</f>
        <v>95.4</v>
      </c>
      <c r="H708" s="4" t="str">
        <f aca="false">IF(F708&gt;500,"Yüksek",IF(F708&gt;100,"Orta","Düşük"))</f>
        <v>Orta</v>
      </c>
    </row>
    <row r="709" customFormat="false" ht="12.8" hidden="false" customHeight="false" outlineLevel="0" collapsed="false">
      <c r="A709" s="4" t="s">
        <v>21</v>
      </c>
      <c r="B709" s="4" t="s">
        <v>13</v>
      </c>
      <c r="C709" s="4" t="n">
        <v>43</v>
      </c>
      <c r="D709" s="5" t="n">
        <v>16</v>
      </c>
      <c r="E709" s="6" t="n">
        <f aca="false">DATE(2024,11,7)</f>
        <v>45603</v>
      </c>
      <c r="F709" s="7" t="n">
        <f aca="false">C709*D709</f>
        <v>688</v>
      </c>
      <c r="G709" s="7" t="n">
        <f aca="false">ROUND(F709*0.2,2)</f>
        <v>137.6</v>
      </c>
      <c r="H709" s="4" t="str">
        <f aca="false">IF(F709&gt;500,"Yüksek",IF(F709&gt;100,"Orta","Düşük"))</f>
        <v>Yüksek</v>
      </c>
    </row>
    <row r="710" customFormat="false" ht="12.8" hidden="false" customHeight="false" outlineLevel="0" collapsed="false">
      <c r="A710" s="4" t="s">
        <v>22</v>
      </c>
      <c r="B710" s="4" t="s">
        <v>15</v>
      </c>
      <c r="C710" s="4" t="n">
        <v>50</v>
      </c>
      <c r="D710" s="5" t="n">
        <v>18.75</v>
      </c>
      <c r="E710" s="6" t="n">
        <f aca="false">DATE(2024,12,8)</f>
        <v>45634</v>
      </c>
      <c r="F710" s="7" t="n">
        <f aca="false">C710*D710</f>
        <v>937.5</v>
      </c>
      <c r="G710" s="7" t="n">
        <f aca="false">ROUND(F710*0.2,2)</f>
        <v>187.5</v>
      </c>
      <c r="H710" s="4" t="str">
        <f aca="false">IF(F710&gt;500,"Yüksek",IF(F710&gt;100,"Orta","Düşük"))</f>
        <v>Yüksek</v>
      </c>
    </row>
    <row r="711" customFormat="false" ht="12.8" hidden="false" customHeight="false" outlineLevel="0" collapsed="false">
      <c r="A711" s="4" t="s">
        <v>23</v>
      </c>
      <c r="B711" s="4" t="s">
        <v>17</v>
      </c>
      <c r="C711" s="4" t="n">
        <v>7</v>
      </c>
      <c r="D711" s="5" t="n">
        <v>21.5</v>
      </c>
      <c r="E711" s="6" t="n">
        <f aca="false">DATE(2024,1,9)</f>
        <v>45300</v>
      </c>
      <c r="F711" s="7" t="n">
        <f aca="false">C711*D711</f>
        <v>150.5</v>
      </c>
      <c r="G711" s="7" t="n">
        <f aca="false">ROUND(F711*0.2,2)</f>
        <v>30.1</v>
      </c>
      <c r="H711" s="4" t="str">
        <f aca="false">IF(F711&gt;500,"Yüksek",IF(F711&gt;100,"Orta","Düşük"))</f>
        <v>Orta</v>
      </c>
    </row>
    <row r="712" customFormat="false" ht="12.8" hidden="false" customHeight="false" outlineLevel="0" collapsed="false">
      <c r="A712" s="4" t="s">
        <v>24</v>
      </c>
      <c r="B712" s="4" t="s">
        <v>19</v>
      </c>
      <c r="C712" s="4" t="n">
        <v>14</v>
      </c>
      <c r="D712" s="5" t="n">
        <v>24.25</v>
      </c>
      <c r="E712" s="6" t="n">
        <f aca="false">DATE(2024,2,10)</f>
        <v>45332</v>
      </c>
      <c r="F712" s="7" t="n">
        <f aca="false">C712*D712</f>
        <v>339.5</v>
      </c>
      <c r="G712" s="7" t="n">
        <f aca="false">ROUND(F712*0.2,2)</f>
        <v>67.9</v>
      </c>
      <c r="H712" s="4" t="str">
        <f aca="false">IF(F712&gt;500,"Yüksek",IF(F712&gt;100,"Orta","Düşük"))</f>
        <v>Orta</v>
      </c>
    </row>
    <row r="713" customFormat="false" ht="12.8" hidden="false" customHeight="false" outlineLevel="0" collapsed="false">
      <c r="A713" s="4" t="s">
        <v>10</v>
      </c>
      <c r="B713" s="4" t="s">
        <v>11</v>
      </c>
      <c r="C713" s="4" t="n">
        <v>21</v>
      </c>
      <c r="D713" s="5" t="n">
        <v>27</v>
      </c>
      <c r="E713" s="6" t="n">
        <f aca="false">DATE(2024,3,11)</f>
        <v>45362</v>
      </c>
      <c r="F713" s="7" t="n">
        <f aca="false">C713*D713</f>
        <v>567</v>
      </c>
      <c r="G713" s="7" t="n">
        <f aca="false">ROUND(F713*0.2,2)</f>
        <v>113.4</v>
      </c>
      <c r="H713" s="4" t="str">
        <f aca="false">IF(F713&gt;500,"Yüksek",IF(F713&gt;100,"Orta","Düşük"))</f>
        <v>Yüksek</v>
      </c>
    </row>
    <row r="714" customFormat="false" ht="12.8" hidden="false" customHeight="false" outlineLevel="0" collapsed="false">
      <c r="A714" s="4" t="s">
        <v>12</v>
      </c>
      <c r="B714" s="4" t="s">
        <v>13</v>
      </c>
      <c r="C714" s="4" t="n">
        <v>28</v>
      </c>
      <c r="D714" s="5" t="n">
        <v>29.75</v>
      </c>
      <c r="E714" s="6" t="n">
        <f aca="false">DATE(2024,4,12)</f>
        <v>45394</v>
      </c>
      <c r="F714" s="7" t="n">
        <f aca="false">C714*D714</f>
        <v>833</v>
      </c>
      <c r="G714" s="7" t="n">
        <f aca="false">ROUND(F714*0.2,2)</f>
        <v>166.6</v>
      </c>
      <c r="H714" s="4" t="str">
        <f aca="false">IF(F714&gt;500,"Yüksek",IF(F714&gt;100,"Orta","Düşük"))</f>
        <v>Yüksek</v>
      </c>
    </row>
    <row r="715" customFormat="false" ht="12.8" hidden="false" customHeight="false" outlineLevel="0" collapsed="false">
      <c r="A715" s="4" t="s">
        <v>14</v>
      </c>
      <c r="B715" s="4" t="s">
        <v>15</v>
      </c>
      <c r="C715" s="4" t="n">
        <v>35</v>
      </c>
      <c r="D715" s="5" t="n">
        <v>32.5</v>
      </c>
      <c r="E715" s="6" t="n">
        <f aca="false">DATE(2024,5,13)</f>
        <v>45425</v>
      </c>
      <c r="F715" s="7" t="n">
        <f aca="false">C715*D715</f>
        <v>1137.5</v>
      </c>
      <c r="G715" s="7" t="n">
        <f aca="false">ROUND(F715*0.2,2)</f>
        <v>227.5</v>
      </c>
      <c r="H715" s="4" t="str">
        <f aca="false">IF(F715&gt;500,"Yüksek",IF(F715&gt;100,"Orta","Düşük"))</f>
        <v>Yüksek</v>
      </c>
    </row>
    <row r="716" customFormat="false" ht="12.8" hidden="false" customHeight="false" outlineLevel="0" collapsed="false">
      <c r="A716" s="4" t="s">
        <v>16</v>
      </c>
      <c r="B716" s="4" t="s">
        <v>17</v>
      </c>
      <c r="C716" s="4" t="n">
        <v>42</v>
      </c>
      <c r="D716" s="5" t="n">
        <v>35.25</v>
      </c>
      <c r="E716" s="6" t="n">
        <f aca="false">DATE(2024,6,14)</f>
        <v>45457</v>
      </c>
      <c r="F716" s="7" t="n">
        <f aca="false">C716*D716</f>
        <v>1480.5</v>
      </c>
      <c r="G716" s="7" t="n">
        <f aca="false">ROUND(F716*0.2,2)</f>
        <v>296.1</v>
      </c>
      <c r="H716" s="4" t="str">
        <f aca="false">IF(F716&gt;500,"Yüksek",IF(F716&gt;100,"Orta","Düşük"))</f>
        <v>Yüksek</v>
      </c>
    </row>
    <row r="717" customFormat="false" ht="12.8" hidden="false" customHeight="false" outlineLevel="0" collapsed="false">
      <c r="A717" s="4" t="s">
        <v>18</v>
      </c>
      <c r="B717" s="4" t="s">
        <v>19</v>
      </c>
      <c r="C717" s="4" t="n">
        <v>49</v>
      </c>
      <c r="D717" s="5" t="n">
        <v>38</v>
      </c>
      <c r="E717" s="6" t="n">
        <f aca="false">DATE(2024,7,15)</f>
        <v>45488</v>
      </c>
      <c r="F717" s="7" t="n">
        <f aca="false">C717*D717</f>
        <v>1862</v>
      </c>
      <c r="G717" s="7" t="n">
        <f aca="false">ROUND(F717*0.2,2)</f>
        <v>372.4</v>
      </c>
      <c r="H717" s="4" t="str">
        <f aca="false">IF(F717&gt;500,"Yüksek",IF(F717&gt;100,"Orta","Düşük"))</f>
        <v>Yüksek</v>
      </c>
    </row>
    <row r="718" customFormat="false" ht="12.8" hidden="false" customHeight="false" outlineLevel="0" collapsed="false">
      <c r="A718" s="4" t="s">
        <v>20</v>
      </c>
      <c r="B718" s="4" t="s">
        <v>11</v>
      </c>
      <c r="C718" s="4" t="n">
        <v>6</v>
      </c>
      <c r="D718" s="5" t="n">
        <v>5</v>
      </c>
      <c r="E718" s="6" t="n">
        <f aca="false">DATE(2024,8,16)</f>
        <v>45520</v>
      </c>
      <c r="F718" s="7" t="n">
        <f aca="false">C718*D718</f>
        <v>30</v>
      </c>
      <c r="G718" s="7" t="n">
        <f aca="false">ROUND(F718*0.2,2)</f>
        <v>6</v>
      </c>
      <c r="H718" s="4" t="str">
        <f aca="false">IF(F718&gt;500,"Yüksek",IF(F718&gt;100,"Orta","Düşük"))</f>
        <v>Düşük</v>
      </c>
    </row>
    <row r="719" customFormat="false" ht="12.8" hidden="false" customHeight="false" outlineLevel="0" collapsed="false">
      <c r="A719" s="4" t="s">
        <v>21</v>
      </c>
      <c r="B719" s="4" t="s">
        <v>13</v>
      </c>
      <c r="C719" s="4" t="n">
        <v>13</v>
      </c>
      <c r="D719" s="5" t="n">
        <v>7.75</v>
      </c>
      <c r="E719" s="6" t="n">
        <f aca="false">DATE(2024,9,17)</f>
        <v>45552</v>
      </c>
      <c r="F719" s="7" t="n">
        <f aca="false">C719*D719</f>
        <v>100.75</v>
      </c>
      <c r="G719" s="7" t="n">
        <f aca="false">ROUND(F719*0.2,2)</f>
        <v>20.15</v>
      </c>
      <c r="H719" s="4" t="str">
        <f aca="false">IF(F719&gt;500,"Yüksek",IF(F719&gt;100,"Orta","Düşük"))</f>
        <v>Orta</v>
      </c>
    </row>
    <row r="720" customFormat="false" ht="12.8" hidden="false" customHeight="false" outlineLevel="0" collapsed="false">
      <c r="A720" s="4" t="s">
        <v>22</v>
      </c>
      <c r="B720" s="4" t="s">
        <v>15</v>
      </c>
      <c r="C720" s="4" t="n">
        <v>20</v>
      </c>
      <c r="D720" s="5" t="n">
        <v>10.5</v>
      </c>
      <c r="E720" s="6" t="n">
        <f aca="false">DATE(2024,10,18)</f>
        <v>45583</v>
      </c>
      <c r="F720" s="7" t="n">
        <f aca="false">C720*D720</f>
        <v>210</v>
      </c>
      <c r="G720" s="7" t="n">
        <f aca="false">ROUND(F720*0.2,2)</f>
        <v>42</v>
      </c>
      <c r="H720" s="4" t="str">
        <f aca="false">IF(F720&gt;500,"Yüksek",IF(F720&gt;100,"Orta","Düşük"))</f>
        <v>Orta</v>
      </c>
    </row>
    <row r="721" customFormat="false" ht="12.8" hidden="false" customHeight="false" outlineLevel="0" collapsed="false">
      <c r="A721" s="4" t="s">
        <v>23</v>
      </c>
      <c r="B721" s="4" t="s">
        <v>17</v>
      </c>
      <c r="C721" s="4" t="n">
        <v>27</v>
      </c>
      <c r="D721" s="5" t="n">
        <v>13.25</v>
      </c>
      <c r="E721" s="6" t="n">
        <f aca="false">DATE(2024,11,19)</f>
        <v>45615</v>
      </c>
      <c r="F721" s="7" t="n">
        <f aca="false">C721*D721</f>
        <v>357.75</v>
      </c>
      <c r="G721" s="7" t="n">
        <f aca="false">ROUND(F721*0.2,2)</f>
        <v>71.55</v>
      </c>
      <c r="H721" s="4" t="str">
        <f aca="false">IF(F721&gt;500,"Yüksek",IF(F721&gt;100,"Orta","Düşük"))</f>
        <v>Orta</v>
      </c>
    </row>
    <row r="722" customFormat="false" ht="12.8" hidden="false" customHeight="false" outlineLevel="0" collapsed="false">
      <c r="A722" s="4" t="s">
        <v>24</v>
      </c>
      <c r="B722" s="4" t="s">
        <v>19</v>
      </c>
      <c r="C722" s="4" t="n">
        <v>34</v>
      </c>
      <c r="D722" s="5" t="n">
        <v>16</v>
      </c>
      <c r="E722" s="6" t="n">
        <f aca="false">DATE(2024,12,20)</f>
        <v>45646</v>
      </c>
      <c r="F722" s="7" t="n">
        <f aca="false">C722*D722</f>
        <v>544</v>
      </c>
      <c r="G722" s="7" t="n">
        <f aca="false">ROUND(F722*0.2,2)</f>
        <v>108.8</v>
      </c>
      <c r="H722" s="4" t="str">
        <f aca="false">IF(F722&gt;500,"Yüksek",IF(F722&gt;100,"Orta","Düşük"))</f>
        <v>Yüksek</v>
      </c>
    </row>
    <row r="723" customFormat="false" ht="12.8" hidden="false" customHeight="false" outlineLevel="0" collapsed="false">
      <c r="A723" s="4" t="s">
        <v>10</v>
      </c>
      <c r="B723" s="4" t="s">
        <v>11</v>
      </c>
      <c r="C723" s="4" t="n">
        <v>41</v>
      </c>
      <c r="D723" s="5" t="n">
        <v>18.75</v>
      </c>
      <c r="E723" s="6" t="n">
        <f aca="false">DATE(2024,1,21)</f>
        <v>45312</v>
      </c>
      <c r="F723" s="7" t="n">
        <f aca="false">C723*D723</f>
        <v>768.75</v>
      </c>
      <c r="G723" s="7" t="n">
        <f aca="false">ROUND(F723*0.2,2)</f>
        <v>153.75</v>
      </c>
      <c r="H723" s="4" t="str">
        <f aca="false">IF(F723&gt;500,"Yüksek",IF(F723&gt;100,"Orta","Düşük"))</f>
        <v>Yüksek</v>
      </c>
    </row>
    <row r="724" customFormat="false" ht="12.8" hidden="false" customHeight="false" outlineLevel="0" collapsed="false">
      <c r="A724" s="4" t="s">
        <v>12</v>
      </c>
      <c r="B724" s="4" t="s">
        <v>13</v>
      </c>
      <c r="C724" s="4" t="n">
        <v>48</v>
      </c>
      <c r="D724" s="5" t="n">
        <v>21.5</v>
      </c>
      <c r="E724" s="6" t="n">
        <f aca="false">DATE(2024,2,22)</f>
        <v>45344</v>
      </c>
      <c r="F724" s="7" t="n">
        <f aca="false">C724*D724</f>
        <v>1032</v>
      </c>
      <c r="G724" s="7" t="n">
        <f aca="false">ROUND(F724*0.2,2)</f>
        <v>206.4</v>
      </c>
      <c r="H724" s="4" t="str">
        <f aca="false">IF(F724&gt;500,"Yüksek",IF(F724&gt;100,"Orta","Düşük"))</f>
        <v>Yüksek</v>
      </c>
    </row>
    <row r="725" customFormat="false" ht="12.8" hidden="false" customHeight="false" outlineLevel="0" collapsed="false">
      <c r="A725" s="4" t="s">
        <v>14</v>
      </c>
      <c r="B725" s="4" t="s">
        <v>15</v>
      </c>
      <c r="C725" s="4" t="n">
        <v>5</v>
      </c>
      <c r="D725" s="5" t="n">
        <v>24.25</v>
      </c>
      <c r="E725" s="6" t="n">
        <f aca="false">DATE(2024,3,23)</f>
        <v>45374</v>
      </c>
      <c r="F725" s="7" t="n">
        <f aca="false">C725*D725</f>
        <v>121.25</v>
      </c>
      <c r="G725" s="7" t="n">
        <f aca="false">ROUND(F725*0.2,2)</f>
        <v>24.25</v>
      </c>
      <c r="H725" s="4" t="str">
        <f aca="false">IF(F725&gt;500,"Yüksek",IF(F725&gt;100,"Orta","Düşük"))</f>
        <v>Orta</v>
      </c>
    </row>
    <row r="726" customFormat="false" ht="12.8" hidden="false" customHeight="false" outlineLevel="0" collapsed="false">
      <c r="A726" s="4" t="s">
        <v>16</v>
      </c>
      <c r="B726" s="4" t="s">
        <v>17</v>
      </c>
      <c r="C726" s="4" t="n">
        <v>12</v>
      </c>
      <c r="D726" s="5" t="n">
        <v>27</v>
      </c>
      <c r="E726" s="6" t="n">
        <f aca="false">DATE(2024,4,24)</f>
        <v>45406</v>
      </c>
      <c r="F726" s="7" t="n">
        <f aca="false">C726*D726</f>
        <v>324</v>
      </c>
      <c r="G726" s="7" t="n">
        <f aca="false">ROUND(F726*0.2,2)</f>
        <v>64.8</v>
      </c>
      <c r="H726" s="4" t="str">
        <f aca="false">IF(F726&gt;500,"Yüksek",IF(F726&gt;100,"Orta","Düşük"))</f>
        <v>Orta</v>
      </c>
    </row>
    <row r="727" customFormat="false" ht="12.8" hidden="false" customHeight="false" outlineLevel="0" collapsed="false">
      <c r="A727" s="4" t="s">
        <v>18</v>
      </c>
      <c r="B727" s="4" t="s">
        <v>19</v>
      </c>
      <c r="C727" s="4" t="n">
        <v>19</v>
      </c>
      <c r="D727" s="5" t="n">
        <v>29.75</v>
      </c>
      <c r="E727" s="6" t="n">
        <f aca="false">DATE(2024,5,25)</f>
        <v>45437</v>
      </c>
      <c r="F727" s="7" t="n">
        <f aca="false">C727*D727</f>
        <v>565.25</v>
      </c>
      <c r="G727" s="7" t="n">
        <f aca="false">ROUND(F727*0.2,2)</f>
        <v>113.05</v>
      </c>
      <c r="H727" s="4" t="str">
        <f aca="false">IF(F727&gt;500,"Yüksek",IF(F727&gt;100,"Orta","Düşük"))</f>
        <v>Yüksek</v>
      </c>
    </row>
    <row r="728" customFormat="false" ht="12.8" hidden="false" customHeight="false" outlineLevel="0" collapsed="false">
      <c r="A728" s="4" t="s">
        <v>20</v>
      </c>
      <c r="B728" s="4" t="s">
        <v>11</v>
      </c>
      <c r="C728" s="4" t="n">
        <v>26</v>
      </c>
      <c r="D728" s="5" t="n">
        <v>32.5</v>
      </c>
      <c r="E728" s="6" t="n">
        <f aca="false">DATE(2024,6,26)</f>
        <v>45469</v>
      </c>
      <c r="F728" s="7" t="n">
        <f aca="false">C728*D728</f>
        <v>845</v>
      </c>
      <c r="G728" s="7" t="n">
        <f aca="false">ROUND(F728*0.2,2)</f>
        <v>169</v>
      </c>
      <c r="H728" s="4" t="str">
        <f aca="false">IF(F728&gt;500,"Yüksek",IF(F728&gt;100,"Orta","Düşük"))</f>
        <v>Yüksek</v>
      </c>
    </row>
    <row r="729" customFormat="false" ht="12.8" hidden="false" customHeight="false" outlineLevel="0" collapsed="false">
      <c r="A729" s="4" t="s">
        <v>21</v>
      </c>
      <c r="B729" s="4" t="s">
        <v>13</v>
      </c>
      <c r="C729" s="4" t="n">
        <v>33</v>
      </c>
      <c r="D729" s="5" t="n">
        <v>35.25</v>
      </c>
      <c r="E729" s="6" t="n">
        <f aca="false">DATE(2024,7,27)</f>
        <v>45500</v>
      </c>
      <c r="F729" s="7" t="n">
        <f aca="false">C729*D729</f>
        <v>1163.25</v>
      </c>
      <c r="G729" s="7" t="n">
        <f aca="false">ROUND(F729*0.2,2)</f>
        <v>232.65</v>
      </c>
      <c r="H729" s="4" t="str">
        <f aca="false">IF(F729&gt;500,"Yüksek",IF(F729&gt;100,"Orta","Düşük"))</f>
        <v>Yüksek</v>
      </c>
    </row>
    <row r="730" customFormat="false" ht="12.8" hidden="false" customHeight="false" outlineLevel="0" collapsed="false">
      <c r="A730" s="4" t="s">
        <v>22</v>
      </c>
      <c r="B730" s="4" t="s">
        <v>15</v>
      </c>
      <c r="C730" s="4" t="n">
        <v>40</v>
      </c>
      <c r="D730" s="5" t="n">
        <v>38</v>
      </c>
      <c r="E730" s="6" t="n">
        <f aca="false">DATE(2024,8,28)</f>
        <v>45532</v>
      </c>
      <c r="F730" s="7" t="n">
        <f aca="false">C730*D730</f>
        <v>1520</v>
      </c>
      <c r="G730" s="7" t="n">
        <f aca="false">ROUND(F730*0.2,2)</f>
        <v>304</v>
      </c>
      <c r="H730" s="4" t="str">
        <f aca="false">IF(F730&gt;500,"Yüksek",IF(F730&gt;100,"Orta","Düşük"))</f>
        <v>Yüksek</v>
      </c>
    </row>
    <row r="731" customFormat="false" ht="12.8" hidden="false" customHeight="false" outlineLevel="0" collapsed="false">
      <c r="A731" s="4" t="s">
        <v>23</v>
      </c>
      <c r="B731" s="4" t="s">
        <v>17</v>
      </c>
      <c r="C731" s="4" t="n">
        <v>47</v>
      </c>
      <c r="D731" s="5" t="n">
        <v>5</v>
      </c>
      <c r="E731" s="6" t="n">
        <f aca="false">DATE(2024,9,1)</f>
        <v>45536</v>
      </c>
      <c r="F731" s="7" t="n">
        <f aca="false">C731*D731</f>
        <v>235</v>
      </c>
      <c r="G731" s="7" t="n">
        <f aca="false">ROUND(F731*0.2,2)</f>
        <v>47</v>
      </c>
      <c r="H731" s="4" t="str">
        <f aca="false">IF(F731&gt;500,"Yüksek",IF(F731&gt;100,"Orta","Düşük"))</f>
        <v>Orta</v>
      </c>
    </row>
    <row r="732" customFormat="false" ht="12.8" hidden="false" customHeight="false" outlineLevel="0" collapsed="false">
      <c r="A732" s="4" t="s">
        <v>24</v>
      </c>
      <c r="B732" s="4" t="s">
        <v>19</v>
      </c>
      <c r="C732" s="4" t="n">
        <v>4</v>
      </c>
      <c r="D732" s="5" t="n">
        <v>7.75</v>
      </c>
      <c r="E732" s="6" t="n">
        <f aca="false">DATE(2024,10,2)</f>
        <v>45567</v>
      </c>
      <c r="F732" s="7" t="n">
        <f aca="false">C732*D732</f>
        <v>31</v>
      </c>
      <c r="G732" s="7" t="n">
        <f aca="false">ROUND(F732*0.2,2)</f>
        <v>6.2</v>
      </c>
      <c r="H732" s="4" t="str">
        <f aca="false">IF(F732&gt;500,"Yüksek",IF(F732&gt;100,"Orta","Düşük"))</f>
        <v>Düşük</v>
      </c>
    </row>
    <row r="733" customFormat="false" ht="12.8" hidden="false" customHeight="false" outlineLevel="0" collapsed="false">
      <c r="A733" s="4" t="s">
        <v>10</v>
      </c>
      <c r="B733" s="4" t="s">
        <v>11</v>
      </c>
      <c r="C733" s="4" t="n">
        <v>11</v>
      </c>
      <c r="D733" s="5" t="n">
        <v>10.5</v>
      </c>
      <c r="E733" s="6" t="n">
        <f aca="false">DATE(2024,11,3)</f>
        <v>45599</v>
      </c>
      <c r="F733" s="7" t="n">
        <f aca="false">C733*D733</f>
        <v>115.5</v>
      </c>
      <c r="G733" s="7" t="n">
        <f aca="false">ROUND(F733*0.2,2)</f>
        <v>23.1</v>
      </c>
      <c r="H733" s="4" t="str">
        <f aca="false">IF(F733&gt;500,"Yüksek",IF(F733&gt;100,"Orta","Düşük"))</f>
        <v>Orta</v>
      </c>
    </row>
    <row r="734" customFormat="false" ht="12.8" hidden="false" customHeight="false" outlineLevel="0" collapsed="false">
      <c r="A734" s="4" t="s">
        <v>12</v>
      </c>
      <c r="B734" s="4" t="s">
        <v>13</v>
      </c>
      <c r="C734" s="4" t="n">
        <v>18</v>
      </c>
      <c r="D734" s="5" t="n">
        <v>13.25</v>
      </c>
      <c r="E734" s="6" t="n">
        <f aca="false">DATE(2024,12,4)</f>
        <v>45630</v>
      </c>
      <c r="F734" s="7" t="n">
        <f aca="false">C734*D734</f>
        <v>238.5</v>
      </c>
      <c r="G734" s="7" t="n">
        <f aca="false">ROUND(F734*0.2,2)</f>
        <v>47.7</v>
      </c>
      <c r="H734" s="4" t="str">
        <f aca="false">IF(F734&gt;500,"Yüksek",IF(F734&gt;100,"Orta","Düşük"))</f>
        <v>Orta</v>
      </c>
    </row>
    <row r="735" customFormat="false" ht="12.8" hidden="false" customHeight="false" outlineLevel="0" collapsed="false">
      <c r="A735" s="4" t="s">
        <v>14</v>
      </c>
      <c r="B735" s="4" t="s">
        <v>15</v>
      </c>
      <c r="C735" s="4" t="n">
        <v>25</v>
      </c>
      <c r="D735" s="5" t="n">
        <v>16</v>
      </c>
      <c r="E735" s="6" t="n">
        <f aca="false">DATE(2024,1,5)</f>
        <v>45296</v>
      </c>
      <c r="F735" s="7" t="n">
        <f aca="false">C735*D735</f>
        <v>400</v>
      </c>
      <c r="G735" s="7" t="n">
        <f aca="false">ROUND(F735*0.2,2)</f>
        <v>80</v>
      </c>
      <c r="H735" s="4" t="str">
        <f aca="false">IF(F735&gt;500,"Yüksek",IF(F735&gt;100,"Orta","Düşük"))</f>
        <v>Orta</v>
      </c>
    </row>
    <row r="736" customFormat="false" ht="12.8" hidden="false" customHeight="false" outlineLevel="0" collapsed="false">
      <c r="A736" s="4" t="s">
        <v>16</v>
      </c>
      <c r="B736" s="4" t="s">
        <v>17</v>
      </c>
      <c r="C736" s="4" t="n">
        <v>32</v>
      </c>
      <c r="D736" s="5" t="n">
        <v>18.75</v>
      </c>
      <c r="E736" s="6" t="n">
        <f aca="false">DATE(2024,2,6)</f>
        <v>45328</v>
      </c>
      <c r="F736" s="7" t="n">
        <f aca="false">C736*D736</f>
        <v>600</v>
      </c>
      <c r="G736" s="7" t="n">
        <f aca="false">ROUND(F736*0.2,2)</f>
        <v>120</v>
      </c>
      <c r="H736" s="4" t="str">
        <f aca="false">IF(F736&gt;500,"Yüksek",IF(F736&gt;100,"Orta","Düşük"))</f>
        <v>Yüksek</v>
      </c>
    </row>
    <row r="737" customFormat="false" ht="12.8" hidden="false" customHeight="false" outlineLevel="0" collapsed="false">
      <c r="A737" s="4" t="s">
        <v>18</v>
      </c>
      <c r="B737" s="4" t="s">
        <v>19</v>
      </c>
      <c r="C737" s="4" t="n">
        <v>39</v>
      </c>
      <c r="D737" s="5" t="n">
        <v>21.5</v>
      </c>
      <c r="E737" s="6" t="n">
        <f aca="false">DATE(2024,3,7)</f>
        <v>45358</v>
      </c>
      <c r="F737" s="7" t="n">
        <f aca="false">C737*D737</f>
        <v>838.5</v>
      </c>
      <c r="G737" s="7" t="n">
        <f aca="false">ROUND(F737*0.2,2)</f>
        <v>167.7</v>
      </c>
      <c r="H737" s="4" t="str">
        <f aca="false">IF(F737&gt;500,"Yüksek",IF(F737&gt;100,"Orta","Düşük"))</f>
        <v>Yüksek</v>
      </c>
    </row>
    <row r="738" customFormat="false" ht="12.8" hidden="false" customHeight="false" outlineLevel="0" collapsed="false">
      <c r="A738" s="4" t="s">
        <v>20</v>
      </c>
      <c r="B738" s="4" t="s">
        <v>11</v>
      </c>
      <c r="C738" s="4" t="n">
        <v>46</v>
      </c>
      <c r="D738" s="5" t="n">
        <v>24.25</v>
      </c>
      <c r="E738" s="6" t="n">
        <f aca="false">DATE(2024,4,8)</f>
        <v>45390</v>
      </c>
      <c r="F738" s="7" t="n">
        <f aca="false">C738*D738</f>
        <v>1115.5</v>
      </c>
      <c r="G738" s="7" t="n">
        <f aca="false">ROUND(F738*0.2,2)</f>
        <v>223.1</v>
      </c>
      <c r="H738" s="4" t="str">
        <f aca="false">IF(F738&gt;500,"Yüksek",IF(F738&gt;100,"Orta","Düşük"))</f>
        <v>Yüksek</v>
      </c>
    </row>
    <row r="739" customFormat="false" ht="12.8" hidden="false" customHeight="false" outlineLevel="0" collapsed="false">
      <c r="A739" s="4" t="s">
        <v>21</v>
      </c>
      <c r="B739" s="4" t="s">
        <v>13</v>
      </c>
      <c r="C739" s="4" t="n">
        <v>3</v>
      </c>
      <c r="D739" s="5" t="n">
        <v>27</v>
      </c>
      <c r="E739" s="6" t="n">
        <f aca="false">DATE(2024,5,9)</f>
        <v>45421</v>
      </c>
      <c r="F739" s="7" t="n">
        <f aca="false">C739*D739</f>
        <v>81</v>
      </c>
      <c r="G739" s="7" t="n">
        <f aca="false">ROUND(F739*0.2,2)</f>
        <v>16.2</v>
      </c>
      <c r="H739" s="4" t="str">
        <f aca="false">IF(F739&gt;500,"Yüksek",IF(F739&gt;100,"Orta","Düşük"))</f>
        <v>Düşük</v>
      </c>
    </row>
    <row r="740" customFormat="false" ht="12.8" hidden="false" customHeight="false" outlineLevel="0" collapsed="false">
      <c r="A740" s="4" t="s">
        <v>22</v>
      </c>
      <c r="B740" s="4" t="s">
        <v>15</v>
      </c>
      <c r="C740" s="4" t="n">
        <v>10</v>
      </c>
      <c r="D740" s="5" t="n">
        <v>29.75</v>
      </c>
      <c r="E740" s="6" t="n">
        <f aca="false">DATE(2024,6,10)</f>
        <v>45453</v>
      </c>
      <c r="F740" s="7" t="n">
        <f aca="false">C740*D740</f>
        <v>297.5</v>
      </c>
      <c r="G740" s="7" t="n">
        <f aca="false">ROUND(F740*0.2,2)</f>
        <v>59.5</v>
      </c>
      <c r="H740" s="4" t="str">
        <f aca="false">IF(F740&gt;500,"Yüksek",IF(F740&gt;100,"Orta","Düşük"))</f>
        <v>Orta</v>
      </c>
    </row>
    <row r="741" customFormat="false" ht="12.8" hidden="false" customHeight="false" outlineLevel="0" collapsed="false">
      <c r="A741" s="4" t="s">
        <v>23</v>
      </c>
      <c r="B741" s="4" t="s">
        <v>17</v>
      </c>
      <c r="C741" s="4" t="n">
        <v>17</v>
      </c>
      <c r="D741" s="5" t="n">
        <v>32.5</v>
      </c>
      <c r="E741" s="6" t="n">
        <f aca="false">DATE(2024,7,11)</f>
        <v>45484</v>
      </c>
      <c r="F741" s="7" t="n">
        <f aca="false">C741*D741</f>
        <v>552.5</v>
      </c>
      <c r="G741" s="7" t="n">
        <f aca="false">ROUND(F741*0.2,2)</f>
        <v>110.5</v>
      </c>
      <c r="H741" s="4" t="str">
        <f aca="false">IF(F741&gt;500,"Yüksek",IF(F741&gt;100,"Orta","Düşük"))</f>
        <v>Yüksek</v>
      </c>
    </row>
    <row r="742" customFormat="false" ht="12.8" hidden="false" customHeight="false" outlineLevel="0" collapsed="false">
      <c r="A742" s="4" t="s">
        <v>24</v>
      </c>
      <c r="B742" s="4" t="s">
        <v>19</v>
      </c>
      <c r="C742" s="4" t="n">
        <v>24</v>
      </c>
      <c r="D742" s="5" t="n">
        <v>35.25</v>
      </c>
      <c r="E742" s="6" t="n">
        <f aca="false">DATE(2024,8,12)</f>
        <v>45516</v>
      </c>
      <c r="F742" s="7" t="n">
        <f aca="false">C742*D742</f>
        <v>846</v>
      </c>
      <c r="G742" s="7" t="n">
        <f aca="false">ROUND(F742*0.2,2)</f>
        <v>169.2</v>
      </c>
      <c r="H742" s="4" t="str">
        <f aca="false">IF(F742&gt;500,"Yüksek",IF(F742&gt;100,"Orta","Düşük"))</f>
        <v>Yüksek</v>
      </c>
    </row>
    <row r="743" customFormat="false" ht="12.8" hidden="false" customHeight="false" outlineLevel="0" collapsed="false">
      <c r="A743" s="4" t="s">
        <v>10</v>
      </c>
      <c r="B743" s="4" t="s">
        <v>11</v>
      </c>
      <c r="C743" s="4" t="n">
        <v>31</v>
      </c>
      <c r="D743" s="5" t="n">
        <v>38</v>
      </c>
      <c r="E743" s="6" t="n">
        <f aca="false">DATE(2024,9,13)</f>
        <v>45548</v>
      </c>
      <c r="F743" s="7" t="n">
        <f aca="false">C743*D743</f>
        <v>1178</v>
      </c>
      <c r="G743" s="7" t="n">
        <f aca="false">ROUND(F743*0.2,2)</f>
        <v>235.6</v>
      </c>
      <c r="H743" s="4" t="str">
        <f aca="false">IF(F743&gt;500,"Yüksek",IF(F743&gt;100,"Orta","Düşük"))</f>
        <v>Yüksek</v>
      </c>
    </row>
    <row r="744" customFormat="false" ht="12.8" hidden="false" customHeight="false" outlineLevel="0" collapsed="false">
      <c r="A744" s="4" t="s">
        <v>12</v>
      </c>
      <c r="B744" s="4" t="s">
        <v>13</v>
      </c>
      <c r="C744" s="4" t="n">
        <v>38</v>
      </c>
      <c r="D744" s="5" t="n">
        <v>5</v>
      </c>
      <c r="E744" s="6" t="n">
        <f aca="false">DATE(2024,10,14)</f>
        <v>45579</v>
      </c>
      <c r="F744" s="7" t="n">
        <f aca="false">C744*D744</f>
        <v>190</v>
      </c>
      <c r="G744" s="7" t="n">
        <f aca="false">ROUND(F744*0.2,2)</f>
        <v>38</v>
      </c>
      <c r="H744" s="4" t="str">
        <f aca="false">IF(F744&gt;500,"Yüksek",IF(F744&gt;100,"Orta","Düşük"))</f>
        <v>Orta</v>
      </c>
    </row>
    <row r="745" customFormat="false" ht="12.8" hidden="false" customHeight="false" outlineLevel="0" collapsed="false">
      <c r="A745" s="4" t="s">
        <v>14</v>
      </c>
      <c r="B745" s="4" t="s">
        <v>15</v>
      </c>
      <c r="C745" s="4" t="n">
        <v>45</v>
      </c>
      <c r="D745" s="5" t="n">
        <v>7.75</v>
      </c>
      <c r="E745" s="6" t="n">
        <f aca="false">DATE(2024,11,15)</f>
        <v>45611</v>
      </c>
      <c r="F745" s="7" t="n">
        <f aca="false">C745*D745</f>
        <v>348.75</v>
      </c>
      <c r="G745" s="7" t="n">
        <f aca="false">ROUND(F745*0.2,2)</f>
        <v>69.75</v>
      </c>
      <c r="H745" s="4" t="str">
        <f aca="false">IF(F745&gt;500,"Yüksek",IF(F745&gt;100,"Orta","Düşük"))</f>
        <v>Orta</v>
      </c>
    </row>
    <row r="746" customFormat="false" ht="12.8" hidden="false" customHeight="false" outlineLevel="0" collapsed="false">
      <c r="A746" s="4" t="s">
        <v>16</v>
      </c>
      <c r="B746" s="4" t="s">
        <v>17</v>
      </c>
      <c r="C746" s="4" t="n">
        <v>2</v>
      </c>
      <c r="D746" s="5" t="n">
        <v>10.5</v>
      </c>
      <c r="E746" s="6" t="n">
        <f aca="false">DATE(2024,12,16)</f>
        <v>45642</v>
      </c>
      <c r="F746" s="7" t="n">
        <f aca="false">C746*D746</f>
        <v>21</v>
      </c>
      <c r="G746" s="7" t="n">
        <f aca="false">ROUND(F746*0.2,2)</f>
        <v>4.2</v>
      </c>
      <c r="H746" s="4" t="str">
        <f aca="false">IF(F746&gt;500,"Yüksek",IF(F746&gt;100,"Orta","Düşük"))</f>
        <v>Düşük</v>
      </c>
    </row>
    <row r="747" customFormat="false" ht="12.8" hidden="false" customHeight="false" outlineLevel="0" collapsed="false">
      <c r="A747" s="4" t="s">
        <v>18</v>
      </c>
      <c r="B747" s="4" t="s">
        <v>19</v>
      </c>
      <c r="C747" s="4" t="n">
        <v>9</v>
      </c>
      <c r="D747" s="5" t="n">
        <v>13.25</v>
      </c>
      <c r="E747" s="6" t="n">
        <f aca="false">DATE(2024,1,17)</f>
        <v>45308</v>
      </c>
      <c r="F747" s="7" t="n">
        <f aca="false">C747*D747</f>
        <v>119.25</v>
      </c>
      <c r="G747" s="7" t="n">
        <f aca="false">ROUND(F747*0.2,2)</f>
        <v>23.85</v>
      </c>
      <c r="H747" s="4" t="str">
        <f aca="false">IF(F747&gt;500,"Yüksek",IF(F747&gt;100,"Orta","Düşük"))</f>
        <v>Orta</v>
      </c>
    </row>
    <row r="748" customFormat="false" ht="12.8" hidden="false" customHeight="false" outlineLevel="0" collapsed="false">
      <c r="A748" s="4" t="s">
        <v>20</v>
      </c>
      <c r="B748" s="4" t="s">
        <v>11</v>
      </c>
      <c r="C748" s="4" t="n">
        <v>16</v>
      </c>
      <c r="D748" s="5" t="n">
        <v>16</v>
      </c>
      <c r="E748" s="6" t="n">
        <f aca="false">DATE(2024,2,18)</f>
        <v>45340</v>
      </c>
      <c r="F748" s="7" t="n">
        <f aca="false">C748*D748</f>
        <v>256</v>
      </c>
      <c r="G748" s="7" t="n">
        <f aca="false">ROUND(F748*0.2,2)</f>
        <v>51.2</v>
      </c>
      <c r="H748" s="4" t="str">
        <f aca="false">IF(F748&gt;500,"Yüksek",IF(F748&gt;100,"Orta","Düşük"))</f>
        <v>Orta</v>
      </c>
    </row>
    <row r="749" customFormat="false" ht="12.8" hidden="false" customHeight="false" outlineLevel="0" collapsed="false">
      <c r="A749" s="4" t="s">
        <v>21</v>
      </c>
      <c r="B749" s="4" t="s">
        <v>13</v>
      </c>
      <c r="C749" s="4" t="n">
        <v>23</v>
      </c>
      <c r="D749" s="5" t="n">
        <v>18.75</v>
      </c>
      <c r="E749" s="6" t="n">
        <f aca="false">DATE(2024,3,19)</f>
        <v>45370</v>
      </c>
      <c r="F749" s="7" t="n">
        <f aca="false">C749*D749</f>
        <v>431.25</v>
      </c>
      <c r="G749" s="7" t="n">
        <f aca="false">ROUND(F749*0.2,2)</f>
        <v>86.25</v>
      </c>
      <c r="H749" s="4" t="str">
        <f aca="false">IF(F749&gt;500,"Yüksek",IF(F749&gt;100,"Orta","Düşük"))</f>
        <v>Orta</v>
      </c>
    </row>
    <row r="750" customFormat="false" ht="12.8" hidden="false" customHeight="false" outlineLevel="0" collapsed="false">
      <c r="A750" s="4" t="s">
        <v>22</v>
      </c>
      <c r="B750" s="4" t="s">
        <v>15</v>
      </c>
      <c r="C750" s="4" t="n">
        <v>30</v>
      </c>
      <c r="D750" s="5" t="n">
        <v>21.5</v>
      </c>
      <c r="E750" s="6" t="n">
        <f aca="false">DATE(2024,4,20)</f>
        <v>45402</v>
      </c>
      <c r="F750" s="7" t="n">
        <f aca="false">C750*D750</f>
        <v>645</v>
      </c>
      <c r="G750" s="7" t="n">
        <f aca="false">ROUND(F750*0.2,2)</f>
        <v>129</v>
      </c>
      <c r="H750" s="4" t="str">
        <f aca="false">IF(F750&gt;500,"Yüksek",IF(F750&gt;100,"Orta","Düşük"))</f>
        <v>Yüksek</v>
      </c>
    </row>
    <row r="751" customFormat="false" ht="12.8" hidden="false" customHeight="false" outlineLevel="0" collapsed="false">
      <c r="A751" s="4" t="s">
        <v>23</v>
      </c>
      <c r="B751" s="4" t="s">
        <v>17</v>
      </c>
      <c r="C751" s="4" t="n">
        <v>37</v>
      </c>
      <c r="D751" s="5" t="n">
        <v>24.25</v>
      </c>
      <c r="E751" s="6" t="n">
        <f aca="false">DATE(2024,5,21)</f>
        <v>45433</v>
      </c>
      <c r="F751" s="7" t="n">
        <f aca="false">C751*D751</f>
        <v>897.25</v>
      </c>
      <c r="G751" s="7" t="n">
        <f aca="false">ROUND(F751*0.2,2)</f>
        <v>179.45</v>
      </c>
      <c r="H751" s="4" t="str">
        <f aca="false">IF(F751&gt;500,"Yüksek",IF(F751&gt;100,"Orta","Düşük"))</f>
        <v>Yüksek</v>
      </c>
    </row>
    <row r="752" customFormat="false" ht="12.8" hidden="false" customHeight="false" outlineLevel="0" collapsed="false">
      <c r="A752" s="4" t="s">
        <v>24</v>
      </c>
      <c r="B752" s="4" t="s">
        <v>19</v>
      </c>
      <c r="C752" s="4" t="n">
        <v>44</v>
      </c>
      <c r="D752" s="5" t="n">
        <v>27</v>
      </c>
      <c r="E752" s="6" t="n">
        <f aca="false">DATE(2024,6,22)</f>
        <v>45465</v>
      </c>
      <c r="F752" s="7" t="n">
        <f aca="false">C752*D752</f>
        <v>1188</v>
      </c>
      <c r="G752" s="7" t="n">
        <f aca="false">ROUND(F752*0.2,2)</f>
        <v>237.6</v>
      </c>
      <c r="H752" s="4" t="str">
        <f aca="false">IF(F752&gt;500,"Yüksek",IF(F752&gt;100,"Orta","Düşük"))</f>
        <v>Yüksek</v>
      </c>
    </row>
    <row r="753" customFormat="false" ht="12.8" hidden="false" customHeight="false" outlineLevel="0" collapsed="false">
      <c r="A753" s="4" t="s">
        <v>10</v>
      </c>
      <c r="B753" s="4" t="s">
        <v>11</v>
      </c>
      <c r="C753" s="4" t="n">
        <v>1</v>
      </c>
      <c r="D753" s="5" t="n">
        <v>29.75</v>
      </c>
      <c r="E753" s="6" t="n">
        <f aca="false">DATE(2024,7,23)</f>
        <v>45496</v>
      </c>
      <c r="F753" s="7" t="n">
        <f aca="false">C753*D753</f>
        <v>29.75</v>
      </c>
      <c r="G753" s="7" t="n">
        <f aca="false">ROUND(F753*0.2,2)</f>
        <v>5.95</v>
      </c>
      <c r="H753" s="4" t="str">
        <f aca="false">IF(F753&gt;500,"Yüksek",IF(F753&gt;100,"Orta","Düşük"))</f>
        <v>Düşük</v>
      </c>
    </row>
    <row r="754" customFormat="false" ht="12.8" hidden="false" customHeight="false" outlineLevel="0" collapsed="false">
      <c r="A754" s="4" t="s">
        <v>12</v>
      </c>
      <c r="B754" s="4" t="s">
        <v>13</v>
      </c>
      <c r="C754" s="4" t="n">
        <v>8</v>
      </c>
      <c r="D754" s="5" t="n">
        <v>32.5</v>
      </c>
      <c r="E754" s="6" t="n">
        <f aca="false">DATE(2024,8,24)</f>
        <v>45528</v>
      </c>
      <c r="F754" s="7" t="n">
        <f aca="false">C754*D754</f>
        <v>260</v>
      </c>
      <c r="G754" s="7" t="n">
        <f aca="false">ROUND(F754*0.2,2)</f>
        <v>52</v>
      </c>
      <c r="H754" s="4" t="str">
        <f aca="false">IF(F754&gt;500,"Yüksek",IF(F754&gt;100,"Orta","Düşük"))</f>
        <v>Orta</v>
      </c>
    </row>
    <row r="755" customFormat="false" ht="12.8" hidden="false" customHeight="false" outlineLevel="0" collapsed="false">
      <c r="A755" s="4" t="s">
        <v>14</v>
      </c>
      <c r="B755" s="4" t="s">
        <v>15</v>
      </c>
      <c r="C755" s="4" t="n">
        <v>15</v>
      </c>
      <c r="D755" s="5" t="n">
        <v>35.25</v>
      </c>
      <c r="E755" s="6" t="n">
        <f aca="false">DATE(2024,9,25)</f>
        <v>45560</v>
      </c>
      <c r="F755" s="7" t="n">
        <f aca="false">C755*D755</f>
        <v>528.75</v>
      </c>
      <c r="G755" s="7" t="n">
        <f aca="false">ROUND(F755*0.2,2)</f>
        <v>105.75</v>
      </c>
      <c r="H755" s="4" t="str">
        <f aca="false">IF(F755&gt;500,"Yüksek",IF(F755&gt;100,"Orta","Düşük"))</f>
        <v>Yüksek</v>
      </c>
    </row>
    <row r="756" customFormat="false" ht="12.8" hidden="false" customHeight="false" outlineLevel="0" collapsed="false">
      <c r="A756" s="4" t="s">
        <v>16</v>
      </c>
      <c r="B756" s="4" t="s">
        <v>17</v>
      </c>
      <c r="C756" s="4" t="n">
        <v>22</v>
      </c>
      <c r="D756" s="5" t="n">
        <v>38</v>
      </c>
      <c r="E756" s="6" t="n">
        <f aca="false">DATE(2024,10,26)</f>
        <v>45591</v>
      </c>
      <c r="F756" s="7" t="n">
        <f aca="false">C756*D756</f>
        <v>836</v>
      </c>
      <c r="G756" s="7" t="n">
        <f aca="false">ROUND(F756*0.2,2)</f>
        <v>167.2</v>
      </c>
      <c r="H756" s="4" t="str">
        <f aca="false">IF(F756&gt;500,"Yüksek",IF(F756&gt;100,"Orta","Düşük"))</f>
        <v>Yüksek</v>
      </c>
    </row>
    <row r="757" customFormat="false" ht="12.8" hidden="false" customHeight="false" outlineLevel="0" collapsed="false">
      <c r="A757" s="4" t="s">
        <v>18</v>
      </c>
      <c r="B757" s="4" t="s">
        <v>19</v>
      </c>
      <c r="C757" s="4" t="n">
        <v>29</v>
      </c>
      <c r="D757" s="5" t="n">
        <v>5</v>
      </c>
      <c r="E757" s="6" t="n">
        <f aca="false">DATE(2024,11,27)</f>
        <v>45623</v>
      </c>
      <c r="F757" s="7" t="n">
        <f aca="false">C757*D757</f>
        <v>145</v>
      </c>
      <c r="G757" s="7" t="n">
        <f aca="false">ROUND(F757*0.2,2)</f>
        <v>29</v>
      </c>
      <c r="H757" s="4" t="str">
        <f aca="false">IF(F757&gt;500,"Yüksek",IF(F757&gt;100,"Orta","Düşük"))</f>
        <v>Orta</v>
      </c>
    </row>
    <row r="758" customFormat="false" ht="12.8" hidden="false" customHeight="false" outlineLevel="0" collapsed="false">
      <c r="A758" s="4" t="s">
        <v>20</v>
      </c>
      <c r="B758" s="4" t="s">
        <v>11</v>
      </c>
      <c r="C758" s="4" t="n">
        <v>36</v>
      </c>
      <c r="D758" s="5" t="n">
        <v>7.75</v>
      </c>
      <c r="E758" s="6" t="n">
        <f aca="false">DATE(2024,12,28)</f>
        <v>45654</v>
      </c>
      <c r="F758" s="7" t="n">
        <f aca="false">C758*D758</f>
        <v>279</v>
      </c>
      <c r="G758" s="7" t="n">
        <f aca="false">ROUND(F758*0.2,2)</f>
        <v>55.8</v>
      </c>
      <c r="H758" s="4" t="str">
        <f aca="false">IF(F758&gt;500,"Yüksek",IF(F758&gt;100,"Orta","Düşük"))</f>
        <v>Orta</v>
      </c>
    </row>
    <row r="759" customFormat="false" ht="12.8" hidden="false" customHeight="false" outlineLevel="0" collapsed="false">
      <c r="A759" s="4" t="s">
        <v>21</v>
      </c>
      <c r="B759" s="4" t="s">
        <v>13</v>
      </c>
      <c r="C759" s="4" t="n">
        <v>43</v>
      </c>
      <c r="D759" s="5" t="n">
        <v>10.5</v>
      </c>
      <c r="E759" s="6" t="n">
        <f aca="false">DATE(2024,1,1)</f>
        <v>45292</v>
      </c>
      <c r="F759" s="7" t="n">
        <f aca="false">C759*D759</f>
        <v>451.5</v>
      </c>
      <c r="G759" s="7" t="n">
        <f aca="false">ROUND(F759*0.2,2)</f>
        <v>90.3</v>
      </c>
      <c r="H759" s="4" t="str">
        <f aca="false">IF(F759&gt;500,"Yüksek",IF(F759&gt;100,"Orta","Düşük"))</f>
        <v>Orta</v>
      </c>
    </row>
    <row r="760" customFormat="false" ht="12.8" hidden="false" customHeight="false" outlineLevel="0" collapsed="false">
      <c r="A760" s="4" t="s">
        <v>22</v>
      </c>
      <c r="B760" s="4" t="s">
        <v>15</v>
      </c>
      <c r="C760" s="4" t="n">
        <v>50</v>
      </c>
      <c r="D760" s="5" t="n">
        <v>13.25</v>
      </c>
      <c r="E760" s="6" t="n">
        <f aca="false">DATE(2024,2,2)</f>
        <v>45324</v>
      </c>
      <c r="F760" s="7" t="n">
        <f aca="false">C760*D760</f>
        <v>662.5</v>
      </c>
      <c r="G760" s="7" t="n">
        <f aca="false">ROUND(F760*0.2,2)</f>
        <v>132.5</v>
      </c>
      <c r="H760" s="4" t="str">
        <f aca="false">IF(F760&gt;500,"Yüksek",IF(F760&gt;100,"Orta","Düşük"))</f>
        <v>Yüksek</v>
      </c>
    </row>
    <row r="761" customFormat="false" ht="12.8" hidden="false" customHeight="false" outlineLevel="0" collapsed="false">
      <c r="A761" s="4" t="s">
        <v>23</v>
      </c>
      <c r="B761" s="4" t="s">
        <v>17</v>
      </c>
      <c r="C761" s="4" t="n">
        <v>7</v>
      </c>
      <c r="D761" s="5" t="n">
        <v>16</v>
      </c>
      <c r="E761" s="6" t="n">
        <f aca="false">DATE(2024,3,3)</f>
        <v>45354</v>
      </c>
      <c r="F761" s="7" t="n">
        <f aca="false">C761*D761</f>
        <v>112</v>
      </c>
      <c r="G761" s="7" t="n">
        <f aca="false">ROUND(F761*0.2,2)</f>
        <v>22.4</v>
      </c>
      <c r="H761" s="4" t="str">
        <f aca="false">IF(F761&gt;500,"Yüksek",IF(F761&gt;100,"Orta","Düşük"))</f>
        <v>Orta</v>
      </c>
    </row>
    <row r="762" customFormat="false" ht="12.8" hidden="false" customHeight="false" outlineLevel="0" collapsed="false">
      <c r="A762" s="4" t="s">
        <v>24</v>
      </c>
      <c r="B762" s="4" t="s">
        <v>19</v>
      </c>
      <c r="C762" s="4" t="n">
        <v>14</v>
      </c>
      <c r="D762" s="5" t="n">
        <v>18.75</v>
      </c>
      <c r="E762" s="6" t="n">
        <f aca="false">DATE(2024,4,4)</f>
        <v>45386</v>
      </c>
      <c r="F762" s="7" t="n">
        <f aca="false">C762*D762</f>
        <v>262.5</v>
      </c>
      <c r="G762" s="7" t="n">
        <f aca="false">ROUND(F762*0.2,2)</f>
        <v>52.5</v>
      </c>
      <c r="H762" s="4" t="str">
        <f aca="false">IF(F762&gt;500,"Yüksek",IF(F762&gt;100,"Orta","Düşük"))</f>
        <v>Orta</v>
      </c>
    </row>
    <row r="763" customFormat="false" ht="12.8" hidden="false" customHeight="false" outlineLevel="0" collapsed="false">
      <c r="A763" s="4" t="s">
        <v>10</v>
      </c>
      <c r="B763" s="4" t="s">
        <v>11</v>
      </c>
      <c r="C763" s="4" t="n">
        <v>21</v>
      </c>
      <c r="D763" s="5" t="n">
        <v>21.5</v>
      </c>
      <c r="E763" s="6" t="n">
        <f aca="false">DATE(2024,5,5)</f>
        <v>45417</v>
      </c>
      <c r="F763" s="7" t="n">
        <f aca="false">C763*D763</f>
        <v>451.5</v>
      </c>
      <c r="G763" s="7" t="n">
        <f aca="false">ROUND(F763*0.2,2)</f>
        <v>90.3</v>
      </c>
      <c r="H763" s="4" t="str">
        <f aca="false">IF(F763&gt;500,"Yüksek",IF(F763&gt;100,"Orta","Düşük"))</f>
        <v>Orta</v>
      </c>
    </row>
    <row r="764" customFormat="false" ht="12.8" hidden="false" customHeight="false" outlineLevel="0" collapsed="false">
      <c r="A764" s="4" t="s">
        <v>12</v>
      </c>
      <c r="B764" s="4" t="s">
        <v>13</v>
      </c>
      <c r="C764" s="4" t="n">
        <v>28</v>
      </c>
      <c r="D764" s="5" t="n">
        <v>24.25</v>
      </c>
      <c r="E764" s="6" t="n">
        <f aca="false">DATE(2024,6,6)</f>
        <v>45449</v>
      </c>
      <c r="F764" s="7" t="n">
        <f aca="false">C764*D764</f>
        <v>679</v>
      </c>
      <c r="G764" s="7" t="n">
        <f aca="false">ROUND(F764*0.2,2)</f>
        <v>135.8</v>
      </c>
      <c r="H764" s="4" t="str">
        <f aca="false">IF(F764&gt;500,"Yüksek",IF(F764&gt;100,"Orta","Düşük"))</f>
        <v>Yüksek</v>
      </c>
    </row>
    <row r="765" customFormat="false" ht="12.8" hidden="false" customHeight="false" outlineLevel="0" collapsed="false">
      <c r="A765" s="4" t="s">
        <v>14</v>
      </c>
      <c r="B765" s="4" t="s">
        <v>15</v>
      </c>
      <c r="C765" s="4" t="n">
        <v>35</v>
      </c>
      <c r="D765" s="5" t="n">
        <v>27</v>
      </c>
      <c r="E765" s="6" t="n">
        <f aca="false">DATE(2024,7,7)</f>
        <v>45480</v>
      </c>
      <c r="F765" s="7" t="n">
        <f aca="false">C765*D765</f>
        <v>945</v>
      </c>
      <c r="G765" s="7" t="n">
        <f aca="false">ROUND(F765*0.2,2)</f>
        <v>189</v>
      </c>
      <c r="H765" s="4" t="str">
        <f aca="false">IF(F765&gt;500,"Yüksek",IF(F765&gt;100,"Orta","Düşük"))</f>
        <v>Yüksek</v>
      </c>
    </row>
    <row r="766" customFormat="false" ht="12.8" hidden="false" customHeight="false" outlineLevel="0" collapsed="false">
      <c r="A766" s="4" t="s">
        <v>16</v>
      </c>
      <c r="B766" s="4" t="s">
        <v>17</v>
      </c>
      <c r="C766" s="4" t="n">
        <v>42</v>
      </c>
      <c r="D766" s="5" t="n">
        <v>29.75</v>
      </c>
      <c r="E766" s="6" t="n">
        <f aca="false">DATE(2024,8,8)</f>
        <v>45512</v>
      </c>
      <c r="F766" s="7" t="n">
        <f aca="false">C766*D766</f>
        <v>1249.5</v>
      </c>
      <c r="G766" s="7" t="n">
        <f aca="false">ROUND(F766*0.2,2)</f>
        <v>249.9</v>
      </c>
      <c r="H766" s="4" t="str">
        <f aca="false">IF(F766&gt;500,"Yüksek",IF(F766&gt;100,"Orta","Düşük"))</f>
        <v>Yüksek</v>
      </c>
    </row>
    <row r="767" customFormat="false" ht="12.8" hidden="false" customHeight="false" outlineLevel="0" collapsed="false">
      <c r="A767" s="4" t="s">
        <v>18</v>
      </c>
      <c r="B767" s="4" t="s">
        <v>19</v>
      </c>
      <c r="C767" s="4" t="n">
        <v>49</v>
      </c>
      <c r="D767" s="5" t="n">
        <v>32.5</v>
      </c>
      <c r="E767" s="6" t="n">
        <f aca="false">DATE(2024,9,9)</f>
        <v>45544</v>
      </c>
      <c r="F767" s="7" t="n">
        <f aca="false">C767*D767</f>
        <v>1592.5</v>
      </c>
      <c r="G767" s="7" t="n">
        <f aca="false">ROUND(F767*0.2,2)</f>
        <v>318.5</v>
      </c>
      <c r="H767" s="4" t="str">
        <f aca="false">IF(F767&gt;500,"Yüksek",IF(F767&gt;100,"Orta","Düşük"))</f>
        <v>Yüksek</v>
      </c>
    </row>
    <row r="768" customFormat="false" ht="12.8" hidden="false" customHeight="false" outlineLevel="0" collapsed="false">
      <c r="A768" s="4" t="s">
        <v>20</v>
      </c>
      <c r="B768" s="4" t="s">
        <v>11</v>
      </c>
      <c r="C768" s="4" t="n">
        <v>6</v>
      </c>
      <c r="D768" s="5" t="n">
        <v>35.25</v>
      </c>
      <c r="E768" s="6" t="n">
        <f aca="false">DATE(2024,10,10)</f>
        <v>45575</v>
      </c>
      <c r="F768" s="7" t="n">
        <f aca="false">C768*D768</f>
        <v>211.5</v>
      </c>
      <c r="G768" s="7" t="n">
        <f aca="false">ROUND(F768*0.2,2)</f>
        <v>42.3</v>
      </c>
      <c r="H768" s="4" t="str">
        <f aca="false">IF(F768&gt;500,"Yüksek",IF(F768&gt;100,"Orta","Düşük"))</f>
        <v>Orta</v>
      </c>
    </row>
    <row r="769" customFormat="false" ht="12.8" hidden="false" customHeight="false" outlineLevel="0" collapsed="false">
      <c r="A769" s="4" t="s">
        <v>21</v>
      </c>
      <c r="B769" s="4" t="s">
        <v>13</v>
      </c>
      <c r="C769" s="4" t="n">
        <v>13</v>
      </c>
      <c r="D769" s="5" t="n">
        <v>38</v>
      </c>
      <c r="E769" s="6" t="n">
        <f aca="false">DATE(2024,11,11)</f>
        <v>45607</v>
      </c>
      <c r="F769" s="7" t="n">
        <f aca="false">C769*D769</f>
        <v>494</v>
      </c>
      <c r="G769" s="7" t="n">
        <f aca="false">ROUND(F769*0.2,2)</f>
        <v>98.8</v>
      </c>
      <c r="H769" s="4" t="str">
        <f aca="false">IF(F769&gt;500,"Yüksek",IF(F769&gt;100,"Orta","Düşük"))</f>
        <v>Orta</v>
      </c>
    </row>
    <row r="770" customFormat="false" ht="12.8" hidden="false" customHeight="false" outlineLevel="0" collapsed="false">
      <c r="A770" s="4" t="s">
        <v>22</v>
      </c>
      <c r="B770" s="4" t="s">
        <v>15</v>
      </c>
      <c r="C770" s="4" t="n">
        <v>20</v>
      </c>
      <c r="D770" s="5" t="n">
        <v>5</v>
      </c>
      <c r="E770" s="6" t="n">
        <f aca="false">DATE(2024,12,12)</f>
        <v>45638</v>
      </c>
      <c r="F770" s="7" t="n">
        <f aca="false">C770*D770</f>
        <v>100</v>
      </c>
      <c r="G770" s="7" t="n">
        <f aca="false">ROUND(F770*0.2,2)</f>
        <v>20</v>
      </c>
      <c r="H770" s="4" t="str">
        <f aca="false">IF(F770&gt;500,"Yüksek",IF(F770&gt;100,"Orta","Düşük"))</f>
        <v>Düşük</v>
      </c>
    </row>
    <row r="771" customFormat="false" ht="12.8" hidden="false" customHeight="false" outlineLevel="0" collapsed="false">
      <c r="A771" s="4" t="s">
        <v>23</v>
      </c>
      <c r="B771" s="4" t="s">
        <v>17</v>
      </c>
      <c r="C771" s="4" t="n">
        <v>27</v>
      </c>
      <c r="D771" s="5" t="n">
        <v>7.75</v>
      </c>
      <c r="E771" s="6" t="n">
        <f aca="false">DATE(2024,1,13)</f>
        <v>45304</v>
      </c>
      <c r="F771" s="7" t="n">
        <f aca="false">C771*D771</f>
        <v>209.25</v>
      </c>
      <c r="G771" s="7" t="n">
        <f aca="false">ROUND(F771*0.2,2)</f>
        <v>41.85</v>
      </c>
      <c r="H771" s="4" t="str">
        <f aca="false">IF(F771&gt;500,"Yüksek",IF(F771&gt;100,"Orta","Düşük"))</f>
        <v>Orta</v>
      </c>
    </row>
    <row r="772" customFormat="false" ht="12.8" hidden="false" customHeight="false" outlineLevel="0" collapsed="false">
      <c r="A772" s="4" t="s">
        <v>24</v>
      </c>
      <c r="B772" s="4" t="s">
        <v>19</v>
      </c>
      <c r="C772" s="4" t="n">
        <v>34</v>
      </c>
      <c r="D772" s="5" t="n">
        <v>10.5</v>
      </c>
      <c r="E772" s="6" t="n">
        <f aca="false">DATE(2024,2,14)</f>
        <v>45336</v>
      </c>
      <c r="F772" s="7" t="n">
        <f aca="false">C772*D772</f>
        <v>357</v>
      </c>
      <c r="G772" s="7" t="n">
        <f aca="false">ROUND(F772*0.2,2)</f>
        <v>71.4</v>
      </c>
      <c r="H772" s="4" t="str">
        <f aca="false">IF(F772&gt;500,"Yüksek",IF(F772&gt;100,"Orta","Düşük"))</f>
        <v>Orta</v>
      </c>
    </row>
    <row r="773" customFormat="false" ht="12.8" hidden="false" customHeight="false" outlineLevel="0" collapsed="false">
      <c r="A773" s="4" t="s">
        <v>10</v>
      </c>
      <c r="B773" s="4" t="s">
        <v>11</v>
      </c>
      <c r="C773" s="4" t="n">
        <v>41</v>
      </c>
      <c r="D773" s="5" t="n">
        <v>13.25</v>
      </c>
      <c r="E773" s="6" t="n">
        <f aca="false">DATE(2024,3,15)</f>
        <v>45366</v>
      </c>
      <c r="F773" s="7" t="n">
        <f aca="false">C773*D773</f>
        <v>543.25</v>
      </c>
      <c r="G773" s="7" t="n">
        <f aca="false">ROUND(F773*0.2,2)</f>
        <v>108.65</v>
      </c>
      <c r="H773" s="4" t="str">
        <f aca="false">IF(F773&gt;500,"Yüksek",IF(F773&gt;100,"Orta","Düşük"))</f>
        <v>Yüksek</v>
      </c>
    </row>
    <row r="774" customFormat="false" ht="12.8" hidden="false" customHeight="false" outlineLevel="0" collapsed="false">
      <c r="A774" s="4" t="s">
        <v>12</v>
      </c>
      <c r="B774" s="4" t="s">
        <v>13</v>
      </c>
      <c r="C774" s="4" t="n">
        <v>48</v>
      </c>
      <c r="D774" s="5" t="n">
        <v>16</v>
      </c>
      <c r="E774" s="6" t="n">
        <f aca="false">DATE(2024,4,16)</f>
        <v>45398</v>
      </c>
      <c r="F774" s="7" t="n">
        <f aca="false">C774*D774</f>
        <v>768</v>
      </c>
      <c r="G774" s="7" t="n">
        <f aca="false">ROUND(F774*0.2,2)</f>
        <v>153.6</v>
      </c>
      <c r="H774" s="4" t="str">
        <f aca="false">IF(F774&gt;500,"Yüksek",IF(F774&gt;100,"Orta","Düşük"))</f>
        <v>Yüksek</v>
      </c>
    </row>
    <row r="775" customFormat="false" ht="12.8" hidden="false" customHeight="false" outlineLevel="0" collapsed="false">
      <c r="A775" s="4" t="s">
        <v>14</v>
      </c>
      <c r="B775" s="4" t="s">
        <v>15</v>
      </c>
      <c r="C775" s="4" t="n">
        <v>5</v>
      </c>
      <c r="D775" s="5" t="n">
        <v>18.75</v>
      </c>
      <c r="E775" s="6" t="n">
        <f aca="false">DATE(2024,5,17)</f>
        <v>45429</v>
      </c>
      <c r="F775" s="7" t="n">
        <f aca="false">C775*D775</f>
        <v>93.75</v>
      </c>
      <c r="G775" s="7" t="n">
        <f aca="false">ROUND(F775*0.2,2)</f>
        <v>18.75</v>
      </c>
      <c r="H775" s="4" t="str">
        <f aca="false">IF(F775&gt;500,"Yüksek",IF(F775&gt;100,"Orta","Düşük"))</f>
        <v>Düşük</v>
      </c>
    </row>
    <row r="776" customFormat="false" ht="12.8" hidden="false" customHeight="false" outlineLevel="0" collapsed="false">
      <c r="A776" s="4" t="s">
        <v>16</v>
      </c>
      <c r="B776" s="4" t="s">
        <v>17</v>
      </c>
      <c r="C776" s="4" t="n">
        <v>12</v>
      </c>
      <c r="D776" s="5" t="n">
        <v>21.5</v>
      </c>
      <c r="E776" s="6" t="n">
        <f aca="false">DATE(2024,6,18)</f>
        <v>45461</v>
      </c>
      <c r="F776" s="7" t="n">
        <f aca="false">C776*D776</f>
        <v>258</v>
      </c>
      <c r="G776" s="7" t="n">
        <f aca="false">ROUND(F776*0.2,2)</f>
        <v>51.6</v>
      </c>
      <c r="H776" s="4" t="str">
        <f aca="false">IF(F776&gt;500,"Yüksek",IF(F776&gt;100,"Orta","Düşük"))</f>
        <v>Orta</v>
      </c>
    </row>
    <row r="777" customFormat="false" ht="12.8" hidden="false" customHeight="false" outlineLevel="0" collapsed="false">
      <c r="A777" s="4" t="s">
        <v>18</v>
      </c>
      <c r="B777" s="4" t="s">
        <v>19</v>
      </c>
      <c r="C777" s="4" t="n">
        <v>19</v>
      </c>
      <c r="D777" s="5" t="n">
        <v>24.25</v>
      </c>
      <c r="E777" s="6" t="n">
        <f aca="false">DATE(2024,7,19)</f>
        <v>45492</v>
      </c>
      <c r="F777" s="7" t="n">
        <f aca="false">C777*D777</f>
        <v>460.75</v>
      </c>
      <c r="G777" s="7" t="n">
        <f aca="false">ROUND(F777*0.2,2)</f>
        <v>92.15</v>
      </c>
      <c r="H777" s="4" t="str">
        <f aca="false">IF(F777&gt;500,"Yüksek",IF(F777&gt;100,"Orta","Düşük"))</f>
        <v>Orta</v>
      </c>
    </row>
    <row r="778" customFormat="false" ht="12.8" hidden="false" customHeight="false" outlineLevel="0" collapsed="false">
      <c r="A778" s="4" t="s">
        <v>20</v>
      </c>
      <c r="B778" s="4" t="s">
        <v>11</v>
      </c>
      <c r="C778" s="4" t="n">
        <v>26</v>
      </c>
      <c r="D778" s="5" t="n">
        <v>27</v>
      </c>
      <c r="E778" s="6" t="n">
        <f aca="false">DATE(2024,8,20)</f>
        <v>45524</v>
      </c>
      <c r="F778" s="7" t="n">
        <f aca="false">C778*D778</f>
        <v>702</v>
      </c>
      <c r="G778" s="7" t="n">
        <f aca="false">ROUND(F778*0.2,2)</f>
        <v>140.4</v>
      </c>
      <c r="H778" s="4" t="str">
        <f aca="false">IF(F778&gt;500,"Yüksek",IF(F778&gt;100,"Orta","Düşük"))</f>
        <v>Yüksek</v>
      </c>
    </row>
    <row r="779" customFormat="false" ht="12.8" hidden="false" customHeight="false" outlineLevel="0" collapsed="false">
      <c r="A779" s="4" t="s">
        <v>21</v>
      </c>
      <c r="B779" s="4" t="s">
        <v>13</v>
      </c>
      <c r="C779" s="4" t="n">
        <v>33</v>
      </c>
      <c r="D779" s="5" t="n">
        <v>29.75</v>
      </c>
      <c r="E779" s="6" t="n">
        <f aca="false">DATE(2024,9,21)</f>
        <v>45556</v>
      </c>
      <c r="F779" s="7" t="n">
        <f aca="false">C779*D779</f>
        <v>981.75</v>
      </c>
      <c r="G779" s="7" t="n">
        <f aca="false">ROUND(F779*0.2,2)</f>
        <v>196.35</v>
      </c>
      <c r="H779" s="4" t="str">
        <f aca="false">IF(F779&gt;500,"Yüksek",IF(F779&gt;100,"Orta","Düşük"))</f>
        <v>Yüksek</v>
      </c>
    </row>
    <row r="780" customFormat="false" ht="12.8" hidden="false" customHeight="false" outlineLevel="0" collapsed="false">
      <c r="A780" s="4" t="s">
        <v>22</v>
      </c>
      <c r="B780" s="4" t="s">
        <v>15</v>
      </c>
      <c r="C780" s="4" t="n">
        <v>40</v>
      </c>
      <c r="D780" s="5" t="n">
        <v>32.5</v>
      </c>
      <c r="E780" s="6" t="n">
        <f aca="false">DATE(2024,10,22)</f>
        <v>45587</v>
      </c>
      <c r="F780" s="7" t="n">
        <f aca="false">C780*D780</f>
        <v>1300</v>
      </c>
      <c r="G780" s="7" t="n">
        <f aca="false">ROUND(F780*0.2,2)</f>
        <v>260</v>
      </c>
      <c r="H780" s="4" t="str">
        <f aca="false">IF(F780&gt;500,"Yüksek",IF(F780&gt;100,"Orta","Düşük"))</f>
        <v>Yüksek</v>
      </c>
    </row>
    <row r="781" customFormat="false" ht="12.8" hidden="false" customHeight="false" outlineLevel="0" collapsed="false">
      <c r="A781" s="4" t="s">
        <v>23</v>
      </c>
      <c r="B781" s="4" t="s">
        <v>17</v>
      </c>
      <c r="C781" s="4" t="n">
        <v>47</v>
      </c>
      <c r="D781" s="5" t="n">
        <v>35.25</v>
      </c>
      <c r="E781" s="6" t="n">
        <f aca="false">DATE(2024,11,23)</f>
        <v>45619</v>
      </c>
      <c r="F781" s="7" t="n">
        <f aca="false">C781*D781</f>
        <v>1656.75</v>
      </c>
      <c r="G781" s="7" t="n">
        <f aca="false">ROUND(F781*0.2,2)</f>
        <v>331.35</v>
      </c>
      <c r="H781" s="4" t="str">
        <f aca="false">IF(F781&gt;500,"Yüksek",IF(F781&gt;100,"Orta","Düşük"))</f>
        <v>Yüksek</v>
      </c>
    </row>
    <row r="782" customFormat="false" ht="12.8" hidden="false" customHeight="false" outlineLevel="0" collapsed="false">
      <c r="A782" s="4" t="s">
        <v>24</v>
      </c>
      <c r="B782" s="4" t="s">
        <v>19</v>
      </c>
      <c r="C782" s="4" t="n">
        <v>4</v>
      </c>
      <c r="D782" s="5" t="n">
        <v>38</v>
      </c>
      <c r="E782" s="6" t="n">
        <f aca="false">DATE(2024,12,24)</f>
        <v>45650</v>
      </c>
      <c r="F782" s="7" t="n">
        <f aca="false">C782*D782</f>
        <v>152</v>
      </c>
      <c r="G782" s="7" t="n">
        <f aca="false">ROUND(F782*0.2,2)</f>
        <v>30.4</v>
      </c>
      <c r="H782" s="4" t="str">
        <f aca="false">IF(F782&gt;500,"Yüksek",IF(F782&gt;100,"Orta","Düşük"))</f>
        <v>Orta</v>
      </c>
    </row>
    <row r="783" customFormat="false" ht="12.8" hidden="false" customHeight="false" outlineLevel="0" collapsed="false">
      <c r="A783" s="4" t="s">
        <v>10</v>
      </c>
      <c r="B783" s="4" t="s">
        <v>11</v>
      </c>
      <c r="C783" s="4" t="n">
        <v>11</v>
      </c>
      <c r="D783" s="5" t="n">
        <v>5</v>
      </c>
      <c r="E783" s="6" t="n">
        <f aca="false">DATE(2024,1,25)</f>
        <v>45316</v>
      </c>
      <c r="F783" s="7" t="n">
        <f aca="false">C783*D783</f>
        <v>55</v>
      </c>
      <c r="G783" s="7" t="n">
        <f aca="false">ROUND(F783*0.2,2)</f>
        <v>11</v>
      </c>
      <c r="H783" s="4" t="str">
        <f aca="false">IF(F783&gt;500,"Yüksek",IF(F783&gt;100,"Orta","Düşük"))</f>
        <v>Düşük</v>
      </c>
    </row>
    <row r="784" customFormat="false" ht="12.8" hidden="false" customHeight="false" outlineLevel="0" collapsed="false">
      <c r="A784" s="4" t="s">
        <v>12</v>
      </c>
      <c r="B784" s="4" t="s">
        <v>13</v>
      </c>
      <c r="C784" s="4" t="n">
        <v>18</v>
      </c>
      <c r="D784" s="5" t="n">
        <v>7.75</v>
      </c>
      <c r="E784" s="6" t="n">
        <f aca="false">DATE(2024,2,26)</f>
        <v>45348</v>
      </c>
      <c r="F784" s="7" t="n">
        <f aca="false">C784*D784</f>
        <v>139.5</v>
      </c>
      <c r="G784" s="7" t="n">
        <f aca="false">ROUND(F784*0.2,2)</f>
        <v>27.9</v>
      </c>
      <c r="H784" s="4" t="str">
        <f aca="false">IF(F784&gt;500,"Yüksek",IF(F784&gt;100,"Orta","Düşük"))</f>
        <v>Orta</v>
      </c>
    </row>
    <row r="785" customFormat="false" ht="12.8" hidden="false" customHeight="false" outlineLevel="0" collapsed="false">
      <c r="A785" s="4" t="s">
        <v>14</v>
      </c>
      <c r="B785" s="4" t="s">
        <v>15</v>
      </c>
      <c r="C785" s="4" t="n">
        <v>25</v>
      </c>
      <c r="D785" s="5" t="n">
        <v>10.5</v>
      </c>
      <c r="E785" s="6" t="n">
        <f aca="false">DATE(2024,3,27)</f>
        <v>45378</v>
      </c>
      <c r="F785" s="7" t="n">
        <f aca="false">C785*D785</f>
        <v>262.5</v>
      </c>
      <c r="G785" s="7" t="n">
        <f aca="false">ROUND(F785*0.2,2)</f>
        <v>52.5</v>
      </c>
      <c r="H785" s="4" t="str">
        <f aca="false">IF(F785&gt;500,"Yüksek",IF(F785&gt;100,"Orta","Düşük"))</f>
        <v>Orta</v>
      </c>
    </row>
    <row r="786" customFormat="false" ht="12.8" hidden="false" customHeight="false" outlineLevel="0" collapsed="false">
      <c r="A786" s="4" t="s">
        <v>16</v>
      </c>
      <c r="B786" s="4" t="s">
        <v>17</v>
      </c>
      <c r="C786" s="4" t="n">
        <v>32</v>
      </c>
      <c r="D786" s="5" t="n">
        <v>13.25</v>
      </c>
      <c r="E786" s="6" t="n">
        <f aca="false">DATE(2024,4,28)</f>
        <v>45410</v>
      </c>
      <c r="F786" s="7" t="n">
        <f aca="false">C786*D786</f>
        <v>424</v>
      </c>
      <c r="G786" s="7" t="n">
        <f aca="false">ROUND(F786*0.2,2)</f>
        <v>84.8</v>
      </c>
      <c r="H786" s="4" t="str">
        <f aca="false">IF(F786&gt;500,"Yüksek",IF(F786&gt;100,"Orta","Düşük"))</f>
        <v>Orta</v>
      </c>
    </row>
    <row r="787" customFormat="false" ht="12.8" hidden="false" customHeight="false" outlineLevel="0" collapsed="false">
      <c r="A787" s="4" t="s">
        <v>18</v>
      </c>
      <c r="B787" s="4" t="s">
        <v>19</v>
      </c>
      <c r="C787" s="4" t="n">
        <v>39</v>
      </c>
      <c r="D787" s="5" t="n">
        <v>16</v>
      </c>
      <c r="E787" s="6" t="n">
        <f aca="false">DATE(2024,5,1)</f>
        <v>45413</v>
      </c>
      <c r="F787" s="7" t="n">
        <f aca="false">C787*D787</f>
        <v>624</v>
      </c>
      <c r="G787" s="7" t="n">
        <f aca="false">ROUND(F787*0.2,2)</f>
        <v>124.8</v>
      </c>
      <c r="H787" s="4" t="str">
        <f aca="false">IF(F787&gt;500,"Yüksek",IF(F787&gt;100,"Orta","Düşük"))</f>
        <v>Yüksek</v>
      </c>
    </row>
    <row r="788" customFormat="false" ht="12.8" hidden="false" customHeight="false" outlineLevel="0" collapsed="false">
      <c r="A788" s="4" t="s">
        <v>20</v>
      </c>
      <c r="B788" s="4" t="s">
        <v>11</v>
      </c>
      <c r="C788" s="4" t="n">
        <v>46</v>
      </c>
      <c r="D788" s="5" t="n">
        <v>18.75</v>
      </c>
      <c r="E788" s="6" t="n">
        <f aca="false">DATE(2024,6,2)</f>
        <v>45445</v>
      </c>
      <c r="F788" s="7" t="n">
        <f aca="false">C788*D788</f>
        <v>862.5</v>
      </c>
      <c r="G788" s="7" t="n">
        <f aca="false">ROUND(F788*0.2,2)</f>
        <v>172.5</v>
      </c>
      <c r="H788" s="4" t="str">
        <f aca="false">IF(F788&gt;500,"Yüksek",IF(F788&gt;100,"Orta","Düşük"))</f>
        <v>Yüksek</v>
      </c>
    </row>
    <row r="789" customFormat="false" ht="12.8" hidden="false" customHeight="false" outlineLevel="0" collapsed="false">
      <c r="A789" s="4" t="s">
        <v>21</v>
      </c>
      <c r="B789" s="4" t="s">
        <v>13</v>
      </c>
      <c r="C789" s="4" t="n">
        <v>3</v>
      </c>
      <c r="D789" s="5" t="n">
        <v>21.5</v>
      </c>
      <c r="E789" s="6" t="n">
        <f aca="false">DATE(2024,7,3)</f>
        <v>45476</v>
      </c>
      <c r="F789" s="7" t="n">
        <f aca="false">C789*D789</f>
        <v>64.5</v>
      </c>
      <c r="G789" s="7" t="n">
        <f aca="false">ROUND(F789*0.2,2)</f>
        <v>12.9</v>
      </c>
      <c r="H789" s="4" t="str">
        <f aca="false">IF(F789&gt;500,"Yüksek",IF(F789&gt;100,"Orta","Düşük"))</f>
        <v>Düşük</v>
      </c>
    </row>
    <row r="790" customFormat="false" ht="12.8" hidden="false" customHeight="false" outlineLevel="0" collapsed="false">
      <c r="A790" s="4" t="s">
        <v>22</v>
      </c>
      <c r="B790" s="4" t="s">
        <v>15</v>
      </c>
      <c r="C790" s="4" t="n">
        <v>10</v>
      </c>
      <c r="D790" s="5" t="n">
        <v>24.25</v>
      </c>
      <c r="E790" s="6" t="n">
        <f aca="false">DATE(2024,8,4)</f>
        <v>45508</v>
      </c>
      <c r="F790" s="7" t="n">
        <f aca="false">C790*D790</f>
        <v>242.5</v>
      </c>
      <c r="G790" s="7" t="n">
        <f aca="false">ROUND(F790*0.2,2)</f>
        <v>48.5</v>
      </c>
      <c r="H790" s="4" t="str">
        <f aca="false">IF(F790&gt;500,"Yüksek",IF(F790&gt;100,"Orta","Düşük"))</f>
        <v>Orta</v>
      </c>
    </row>
    <row r="791" customFormat="false" ht="12.8" hidden="false" customHeight="false" outlineLevel="0" collapsed="false">
      <c r="A791" s="4" t="s">
        <v>23</v>
      </c>
      <c r="B791" s="4" t="s">
        <v>17</v>
      </c>
      <c r="C791" s="4" t="n">
        <v>17</v>
      </c>
      <c r="D791" s="5" t="n">
        <v>27</v>
      </c>
      <c r="E791" s="6" t="n">
        <f aca="false">DATE(2024,9,5)</f>
        <v>45540</v>
      </c>
      <c r="F791" s="7" t="n">
        <f aca="false">C791*D791</f>
        <v>459</v>
      </c>
      <c r="G791" s="7" t="n">
        <f aca="false">ROUND(F791*0.2,2)</f>
        <v>91.8</v>
      </c>
      <c r="H791" s="4" t="str">
        <f aca="false">IF(F791&gt;500,"Yüksek",IF(F791&gt;100,"Orta","Düşük"))</f>
        <v>Orta</v>
      </c>
    </row>
    <row r="792" customFormat="false" ht="12.8" hidden="false" customHeight="false" outlineLevel="0" collapsed="false">
      <c r="A792" s="4" t="s">
        <v>24</v>
      </c>
      <c r="B792" s="4" t="s">
        <v>19</v>
      </c>
      <c r="C792" s="4" t="n">
        <v>24</v>
      </c>
      <c r="D792" s="5" t="n">
        <v>29.75</v>
      </c>
      <c r="E792" s="6" t="n">
        <f aca="false">DATE(2024,10,6)</f>
        <v>45571</v>
      </c>
      <c r="F792" s="7" t="n">
        <f aca="false">C792*D792</f>
        <v>714</v>
      </c>
      <c r="G792" s="7" t="n">
        <f aca="false">ROUND(F792*0.2,2)</f>
        <v>142.8</v>
      </c>
      <c r="H792" s="4" t="str">
        <f aca="false">IF(F792&gt;500,"Yüksek",IF(F792&gt;100,"Orta","Düşük"))</f>
        <v>Yüksek</v>
      </c>
    </row>
    <row r="793" customFormat="false" ht="12.8" hidden="false" customHeight="false" outlineLevel="0" collapsed="false">
      <c r="A793" s="4" t="s">
        <v>10</v>
      </c>
      <c r="B793" s="4" t="s">
        <v>11</v>
      </c>
      <c r="C793" s="4" t="n">
        <v>31</v>
      </c>
      <c r="D793" s="5" t="n">
        <v>32.5</v>
      </c>
      <c r="E793" s="6" t="n">
        <f aca="false">DATE(2024,11,7)</f>
        <v>45603</v>
      </c>
      <c r="F793" s="7" t="n">
        <f aca="false">C793*D793</f>
        <v>1007.5</v>
      </c>
      <c r="G793" s="7" t="n">
        <f aca="false">ROUND(F793*0.2,2)</f>
        <v>201.5</v>
      </c>
      <c r="H793" s="4" t="str">
        <f aca="false">IF(F793&gt;500,"Yüksek",IF(F793&gt;100,"Orta","Düşük"))</f>
        <v>Yüksek</v>
      </c>
    </row>
    <row r="794" customFormat="false" ht="12.8" hidden="false" customHeight="false" outlineLevel="0" collapsed="false">
      <c r="A794" s="4" t="s">
        <v>12</v>
      </c>
      <c r="B794" s="4" t="s">
        <v>13</v>
      </c>
      <c r="C794" s="4" t="n">
        <v>38</v>
      </c>
      <c r="D794" s="5" t="n">
        <v>35.25</v>
      </c>
      <c r="E794" s="6" t="n">
        <f aca="false">DATE(2024,12,8)</f>
        <v>45634</v>
      </c>
      <c r="F794" s="7" t="n">
        <f aca="false">C794*D794</f>
        <v>1339.5</v>
      </c>
      <c r="G794" s="7" t="n">
        <f aca="false">ROUND(F794*0.2,2)</f>
        <v>267.9</v>
      </c>
      <c r="H794" s="4" t="str">
        <f aca="false">IF(F794&gt;500,"Yüksek",IF(F794&gt;100,"Orta","Düşük"))</f>
        <v>Yüksek</v>
      </c>
    </row>
    <row r="795" customFormat="false" ht="12.8" hidden="false" customHeight="false" outlineLevel="0" collapsed="false">
      <c r="A795" s="4" t="s">
        <v>14</v>
      </c>
      <c r="B795" s="4" t="s">
        <v>15</v>
      </c>
      <c r="C795" s="4" t="n">
        <v>45</v>
      </c>
      <c r="D795" s="5" t="n">
        <v>38</v>
      </c>
      <c r="E795" s="6" t="n">
        <f aca="false">DATE(2024,1,9)</f>
        <v>45300</v>
      </c>
      <c r="F795" s="7" t="n">
        <f aca="false">C795*D795</f>
        <v>1710</v>
      </c>
      <c r="G795" s="7" t="n">
        <f aca="false">ROUND(F795*0.2,2)</f>
        <v>342</v>
      </c>
      <c r="H795" s="4" t="str">
        <f aca="false">IF(F795&gt;500,"Yüksek",IF(F795&gt;100,"Orta","Düşük"))</f>
        <v>Yüksek</v>
      </c>
    </row>
    <row r="796" customFormat="false" ht="12.8" hidden="false" customHeight="false" outlineLevel="0" collapsed="false">
      <c r="A796" s="4" t="s">
        <v>16</v>
      </c>
      <c r="B796" s="4" t="s">
        <v>17</v>
      </c>
      <c r="C796" s="4" t="n">
        <v>2</v>
      </c>
      <c r="D796" s="5" t="n">
        <v>5</v>
      </c>
      <c r="E796" s="6" t="n">
        <f aca="false">DATE(2024,2,10)</f>
        <v>45332</v>
      </c>
      <c r="F796" s="7" t="n">
        <f aca="false">C796*D796</f>
        <v>10</v>
      </c>
      <c r="G796" s="7" t="n">
        <f aca="false">ROUND(F796*0.2,2)</f>
        <v>2</v>
      </c>
      <c r="H796" s="4" t="str">
        <f aca="false">IF(F796&gt;500,"Yüksek",IF(F796&gt;100,"Orta","Düşük"))</f>
        <v>Düşük</v>
      </c>
    </row>
    <row r="797" customFormat="false" ht="12.8" hidden="false" customHeight="false" outlineLevel="0" collapsed="false">
      <c r="A797" s="4" t="s">
        <v>18</v>
      </c>
      <c r="B797" s="4" t="s">
        <v>19</v>
      </c>
      <c r="C797" s="4" t="n">
        <v>9</v>
      </c>
      <c r="D797" s="5" t="n">
        <v>7.75</v>
      </c>
      <c r="E797" s="6" t="n">
        <f aca="false">DATE(2024,3,11)</f>
        <v>45362</v>
      </c>
      <c r="F797" s="7" t="n">
        <f aca="false">C797*D797</f>
        <v>69.75</v>
      </c>
      <c r="G797" s="7" t="n">
        <f aca="false">ROUND(F797*0.2,2)</f>
        <v>13.95</v>
      </c>
      <c r="H797" s="4" t="str">
        <f aca="false">IF(F797&gt;500,"Yüksek",IF(F797&gt;100,"Orta","Düşük"))</f>
        <v>Düşük</v>
      </c>
    </row>
    <row r="798" customFormat="false" ht="12.8" hidden="false" customHeight="false" outlineLevel="0" collapsed="false">
      <c r="A798" s="4" t="s">
        <v>20</v>
      </c>
      <c r="B798" s="4" t="s">
        <v>11</v>
      </c>
      <c r="C798" s="4" t="n">
        <v>16</v>
      </c>
      <c r="D798" s="5" t="n">
        <v>10.5</v>
      </c>
      <c r="E798" s="6" t="n">
        <f aca="false">DATE(2024,4,12)</f>
        <v>45394</v>
      </c>
      <c r="F798" s="7" t="n">
        <f aca="false">C798*D798</f>
        <v>168</v>
      </c>
      <c r="G798" s="7" t="n">
        <f aca="false">ROUND(F798*0.2,2)</f>
        <v>33.6</v>
      </c>
      <c r="H798" s="4" t="str">
        <f aca="false">IF(F798&gt;500,"Yüksek",IF(F798&gt;100,"Orta","Düşük"))</f>
        <v>Orta</v>
      </c>
    </row>
    <row r="799" customFormat="false" ht="12.8" hidden="false" customHeight="false" outlineLevel="0" collapsed="false">
      <c r="A799" s="4" t="s">
        <v>21</v>
      </c>
      <c r="B799" s="4" t="s">
        <v>13</v>
      </c>
      <c r="C799" s="4" t="n">
        <v>23</v>
      </c>
      <c r="D799" s="5" t="n">
        <v>13.25</v>
      </c>
      <c r="E799" s="6" t="n">
        <f aca="false">DATE(2024,5,13)</f>
        <v>45425</v>
      </c>
      <c r="F799" s="7" t="n">
        <f aca="false">C799*D799</f>
        <v>304.75</v>
      </c>
      <c r="G799" s="7" t="n">
        <f aca="false">ROUND(F799*0.2,2)</f>
        <v>60.95</v>
      </c>
      <c r="H799" s="4" t="str">
        <f aca="false">IF(F799&gt;500,"Yüksek",IF(F799&gt;100,"Orta","Düşük"))</f>
        <v>Orta</v>
      </c>
    </row>
    <row r="800" customFormat="false" ht="12.8" hidden="false" customHeight="false" outlineLevel="0" collapsed="false">
      <c r="A800" s="4" t="s">
        <v>22</v>
      </c>
      <c r="B800" s="4" t="s">
        <v>15</v>
      </c>
      <c r="C800" s="4" t="n">
        <v>30</v>
      </c>
      <c r="D800" s="5" t="n">
        <v>16</v>
      </c>
      <c r="E800" s="6" t="n">
        <f aca="false">DATE(2024,6,14)</f>
        <v>45457</v>
      </c>
      <c r="F800" s="7" t="n">
        <f aca="false">C800*D800</f>
        <v>480</v>
      </c>
      <c r="G800" s="7" t="n">
        <f aca="false">ROUND(F800*0.2,2)</f>
        <v>96</v>
      </c>
      <c r="H800" s="4" t="str">
        <f aca="false">IF(F800&gt;500,"Yüksek",IF(F800&gt;100,"Orta","Düşük"))</f>
        <v>Orta</v>
      </c>
    </row>
    <row r="801" customFormat="false" ht="12.8" hidden="false" customHeight="false" outlineLevel="0" collapsed="false">
      <c r="A801" s="4" t="s">
        <v>23</v>
      </c>
      <c r="B801" s="4" t="s">
        <v>17</v>
      </c>
      <c r="C801" s="4" t="n">
        <v>37</v>
      </c>
      <c r="D801" s="5" t="n">
        <v>18.75</v>
      </c>
      <c r="E801" s="6" t="n">
        <f aca="false">DATE(2024,7,15)</f>
        <v>45488</v>
      </c>
      <c r="F801" s="7" t="n">
        <f aca="false">C801*D801</f>
        <v>693.75</v>
      </c>
      <c r="G801" s="7" t="n">
        <f aca="false">ROUND(F801*0.2,2)</f>
        <v>138.75</v>
      </c>
      <c r="H801" s="4" t="str">
        <f aca="false">IF(F801&gt;500,"Yüksek",IF(F801&gt;100,"Orta","Düşük"))</f>
        <v>Yüksek</v>
      </c>
    </row>
    <row r="802" customFormat="false" ht="12.8" hidden="false" customHeight="false" outlineLevel="0" collapsed="false">
      <c r="A802" s="4" t="s">
        <v>24</v>
      </c>
      <c r="B802" s="4" t="s">
        <v>19</v>
      </c>
      <c r="C802" s="4" t="n">
        <v>44</v>
      </c>
      <c r="D802" s="5" t="n">
        <v>21.5</v>
      </c>
      <c r="E802" s="6" t="n">
        <f aca="false">DATE(2024,8,16)</f>
        <v>45520</v>
      </c>
      <c r="F802" s="7" t="n">
        <f aca="false">C802*D802</f>
        <v>946</v>
      </c>
      <c r="G802" s="7" t="n">
        <f aca="false">ROUND(F802*0.2,2)</f>
        <v>189.2</v>
      </c>
      <c r="H802" s="4" t="str">
        <f aca="false">IF(F802&gt;500,"Yüksek",IF(F802&gt;100,"Orta","Düşük"))</f>
        <v>Yüksek</v>
      </c>
    </row>
    <row r="803" customFormat="false" ht="12.8" hidden="false" customHeight="false" outlineLevel="0" collapsed="false">
      <c r="A803" s="4" t="s">
        <v>10</v>
      </c>
      <c r="B803" s="4" t="s">
        <v>11</v>
      </c>
      <c r="C803" s="4" t="n">
        <v>1</v>
      </c>
      <c r="D803" s="5" t="n">
        <v>24.25</v>
      </c>
      <c r="E803" s="6" t="n">
        <f aca="false">DATE(2024,9,17)</f>
        <v>45552</v>
      </c>
      <c r="F803" s="7" t="n">
        <f aca="false">C803*D803</f>
        <v>24.25</v>
      </c>
      <c r="G803" s="7" t="n">
        <f aca="false">ROUND(F803*0.2,2)</f>
        <v>4.85</v>
      </c>
      <c r="H803" s="4" t="str">
        <f aca="false">IF(F803&gt;500,"Yüksek",IF(F803&gt;100,"Orta","Düşük"))</f>
        <v>Düşük</v>
      </c>
    </row>
    <row r="804" customFormat="false" ht="12.8" hidden="false" customHeight="false" outlineLevel="0" collapsed="false">
      <c r="A804" s="4" t="s">
        <v>12</v>
      </c>
      <c r="B804" s="4" t="s">
        <v>13</v>
      </c>
      <c r="C804" s="4" t="n">
        <v>8</v>
      </c>
      <c r="D804" s="5" t="n">
        <v>27</v>
      </c>
      <c r="E804" s="6" t="n">
        <f aca="false">DATE(2024,10,18)</f>
        <v>45583</v>
      </c>
      <c r="F804" s="7" t="n">
        <f aca="false">C804*D804</f>
        <v>216</v>
      </c>
      <c r="G804" s="7" t="n">
        <f aca="false">ROUND(F804*0.2,2)</f>
        <v>43.2</v>
      </c>
      <c r="H804" s="4" t="str">
        <f aca="false">IF(F804&gt;500,"Yüksek",IF(F804&gt;100,"Orta","Düşük"))</f>
        <v>Orta</v>
      </c>
    </row>
    <row r="805" customFormat="false" ht="12.8" hidden="false" customHeight="false" outlineLevel="0" collapsed="false">
      <c r="A805" s="4" t="s">
        <v>14</v>
      </c>
      <c r="B805" s="4" t="s">
        <v>15</v>
      </c>
      <c r="C805" s="4" t="n">
        <v>15</v>
      </c>
      <c r="D805" s="5" t="n">
        <v>29.75</v>
      </c>
      <c r="E805" s="6" t="n">
        <f aca="false">DATE(2024,11,19)</f>
        <v>45615</v>
      </c>
      <c r="F805" s="7" t="n">
        <f aca="false">C805*D805</f>
        <v>446.25</v>
      </c>
      <c r="G805" s="7" t="n">
        <f aca="false">ROUND(F805*0.2,2)</f>
        <v>89.25</v>
      </c>
      <c r="H805" s="4" t="str">
        <f aca="false">IF(F805&gt;500,"Yüksek",IF(F805&gt;100,"Orta","Düşük"))</f>
        <v>Orta</v>
      </c>
    </row>
    <row r="806" customFormat="false" ht="12.8" hidden="false" customHeight="false" outlineLevel="0" collapsed="false">
      <c r="A806" s="4" t="s">
        <v>16</v>
      </c>
      <c r="B806" s="4" t="s">
        <v>17</v>
      </c>
      <c r="C806" s="4" t="n">
        <v>22</v>
      </c>
      <c r="D806" s="5" t="n">
        <v>32.5</v>
      </c>
      <c r="E806" s="6" t="n">
        <f aca="false">DATE(2024,12,20)</f>
        <v>45646</v>
      </c>
      <c r="F806" s="7" t="n">
        <f aca="false">C806*D806</f>
        <v>715</v>
      </c>
      <c r="G806" s="7" t="n">
        <f aca="false">ROUND(F806*0.2,2)</f>
        <v>143</v>
      </c>
      <c r="H806" s="4" t="str">
        <f aca="false">IF(F806&gt;500,"Yüksek",IF(F806&gt;100,"Orta","Düşük"))</f>
        <v>Yüksek</v>
      </c>
    </row>
    <row r="807" customFormat="false" ht="12.8" hidden="false" customHeight="false" outlineLevel="0" collapsed="false">
      <c r="A807" s="4" t="s">
        <v>18</v>
      </c>
      <c r="B807" s="4" t="s">
        <v>19</v>
      </c>
      <c r="C807" s="4" t="n">
        <v>29</v>
      </c>
      <c r="D807" s="5" t="n">
        <v>35.25</v>
      </c>
      <c r="E807" s="6" t="n">
        <f aca="false">DATE(2024,1,21)</f>
        <v>45312</v>
      </c>
      <c r="F807" s="7" t="n">
        <f aca="false">C807*D807</f>
        <v>1022.25</v>
      </c>
      <c r="G807" s="7" t="n">
        <f aca="false">ROUND(F807*0.2,2)</f>
        <v>204.45</v>
      </c>
      <c r="H807" s="4" t="str">
        <f aca="false">IF(F807&gt;500,"Yüksek",IF(F807&gt;100,"Orta","Düşük"))</f>
        <v>Yüksek</v>
      </c>
    </row>
    <row r="808" customFormat="false" ht="12.8" hidden="false" customHeight="false" outlineLevel="0" collapsed="false">
      <c r="A808" s="4" t="s">
        <v>20</v>
      </c>
      <c r="B808" s="4" t="s">
        <v>11</v>
      </c>
      <c r="C808" s="4" t="n">
        <v>36</v>
      </c>
      <c r="D808" s="5" t="n">
        <v>38</v>
      </c>
      <c r="E808" s="6" t="n">
        <f aca="false">DATE(2024,2,22)</f>
        <v>45344</v>
      </c>
      <c r="F808" s="7" t="n">
        <f aca="false">C808*D808</f>
        <v>1368</v>
      </c>
      <c r="G808" s="7" t="n">
        <f aca="false">ROUND(F808*0.2,2)</f>
        <v>273.6</v>
      </c>
      <c r="H808" s="4" t="str">
        <f aca="false">IF(F808&gt;500,"Yüksek",IF(F808&gt;100,"Orta","Düşük"))</f>
        <v>Yüksek</v>
      </c>
    </row>
    <row r="809" customFormat="false" ht="12.8" hidden="false" customHeight="false" outlineLevel="0" collapsed="false">
      <c r="A809" s="4" t="s">
        <v>21</v>
      </c>
      <c r="B809" s="4" t="s">
        <v>13</v>
      </c>
      <c r="C809" s="4" t="n">
        <v>43</v>
      </c>
      <c r="D809" s="5" t="n">
        <v>5</v>
      </c>
      <c r="E809" s="6" t="n">
        <f aca="false">DATE(2024,3,23)</f>
        <v>45374</v>
      </c>
      <c r="F809" s="7" t="n">
        <f aca="false">C809*D809</f>
        <v>215</v>
      </c>
      <c r="G809" s="7" t="n">
        <f aca="false">ROUND(F809*0.2,2)</f>
        <v>43</v>
      </c>
      <c r="H809" s="4" t="str">
        <f aca="false">IF(F809&gt;500,"Yüksek",IF(F809&gt;100,"Orta","Düşük"))</f>
        <v>Orta</v>
      </c>
    </row>
    <row r="810" customFormat="false" ht="12.8" hidden="false" customHeight="false" outlineLevel="0" collapsed="false">
      <c r="A810" s="4" t="s">
        <v>22</v>
      </c>
      <c r="B810" s="4" t="s">
        <v>15</v>
      </c>
      <c r="C810" s="4" t="n">
        <v>50</v>
      </c>
      <c r="D810" s="5" t="n">
        <v>7.75</v>
      </c>
      <c r="E810" s="6" t="n">
        <f aca="false">DATE(2024,4,24)</f>
        <v>45406</v>
      </c>
      <c r="F810" s="7" t="n">
        <f aca="false">C810*D810</f>
        <v>387.5</v>
      </c>
      <c r="G810" s="7" t="n">
        <f aca="false">ROUND(F810*0.2,2)</f>
        <v>77.5</v>
      </c>
      <c r="H810" s="4" t="str">
        <f aca="false">IF(F810&gt;500,"Yüksek",IF(F810&gt;100,"Orta","Düşük"))</f>
        <v>Orta</v>
      </c>
    </row>
    <row r="811" customFormat="false" ht="12.8" hidden="false" customHeight="false" outlineLevel="0" collapsed="false">
      <c r="A811" s="4" t="s">
        <v>23</v>
      </c>
      <c r="B811" s="4" t="s">
        <v>17</v>
      </c>
      <c r="C811" s="4" t="n">
        <v>7</v>
      </c>
      <c r="D811" s="5" t="n">
        <v>10.5</v>
      </c>
      <c r="E811" s="6" t="n">
        <f aca="false">DATE(2024,5,25)</f>
        <v>45437</v>
      </c>
      <c r="F811" s="7" t="n">
        <f aca="false">C811*D811</f>
        <v>73.5</v>
      </c>
      <c r="G811" s="7" t="n">
        <f aca="false">ROUND(F811*0.2,2)</f>
        <v>14.7</v>
      </c>
      <c r="H811" s="4" t="str">
        <f aca="false">IF(F811&gt;500,"Yüksek",IF(F811&gt;100,"Orta","Düşük"))</f>
        <v>Düşük</v>
      </c>
    </row>
    <row r="812" customFormat="false" ht="12.8" hidden="false" customHeight="false" outlineLevel="0" collapsed="false">
      <c r="A812" s="4" t="s">
        <v>24</v>
      </c>
      <c r="B812" s="4" t="s">
        <v>19</v>
      </c>
      <c r="C812" s="4" t="n">
        <v>14</v>
      </c>
      <c r="D812" s="5" t="n">
        <v>13.25</v>
      </c>
      <c r="E812" s="6" t="n">
        <f aca="false">DATE(2024,6,26)</f>
        <v>45469</v>
      </c>
      <c r="F812" s="7" t="n">
        <f aca="false">C812*D812</f>
        <v>185.5</v>
      </c>
      <c r="G812" s="7" t="n">
        <f aca="false">ROUND(F812*0.2,2)</f>
        <v>37.1</v>
      </c>
      <c r="H812" s="4" t="str">
        <f aca="false">IF(F812&gt;500,"Yüksek",IF(F812&gt;100,"Orta","Düşük"))</f>
        <v>Orta</v>
      </c>
    </row>
    <row r="813" customFormat="false" ht="12.8" hidden="false" customHeight="false" outlineLevel="0" collapsed="false">
      <c r="A813" s="4" t="s">
        <v>10</v>
      </c>
      <c r="B813" s="4" t="s">
        <v>11</v>
      </c>
      <c r="C813" s="4" t="n">
        <v>21</v>
      </c>
      <c r="D813" s="5" t="n">
        <v>16</v>
      </c>
      <c r="E813" s="6" t="n">
        <f aca="false">DATE(2024,7,27)</f>
        <v>45500</v>
      </c>
      <c r="F813" s="7" t="n">
        <f aca="false">C813*D813</f>
        <v>336</v>
      </c>
      <c r="G813" s="7" t="n">
        <f aca="false">ROUND(F813*0.2,2)</f>
        <v>67.2</v>
      </c>
      <c r="H813" s="4" t="str">
        <f aca="false">IF(F813&gt;500,"Yüksek",IF(F813&gt;100,"Orta","Düşük"))</f>
        <v>Orta</v>
      </c>
    </row>
    <row r="814" customFormat="false" ht="12.8" hidden="false" customHeight="false" outlineLevel="0" collapsed="false">
      <c r="A814" s="4" t="s">
        <v>12</v>
      </c>
      <c r="B814" s="4" t="s">
        <v>13</v>
      </c>
      <c r="C814" s="4" t="n">
        <v>28</v>
      </c>
      <c r="D814" s="5" t="n">
        <v>18.75</v>
      </c>
      <c r="E814" s="6" t="n">
        <f aca="false">DATE(2024,8,28)</f>
        <v>45532</v>
      </c>
      <c r="F814" s="7" t="n">
        <f aca="false">C814*D814</f>
        <v>525</v>
      </c>
      <c r="G814" s="7" t="n">
        <f aca="false">ROUND(F814*0.2,2)</f>
        <v>105</v>
      </c>
      <c r="H814" s="4" t="str">
        <f aca="false">IF(F814&gt;500,"Yüksek",IF(F814&gt;100,"Orta","Düşük"))</f>
        <v>Yüksek</v>
      </c>
    </row>
    <row r="815" customFormat="false" ht="12.8" hidden="false" customHeight="false" outlineLevel="0" collapsed="false">
      <c r="A815" s="4" t="s">
        <v>14</v>
      </c>
      <c r="B815" s="4" t="s">
        <v>15</v>
      </c>
      <c r="C815" s="4" t="n">
        <v>35</v>
      </c>
      <c r="D815" s="5" t="n">
        <v>21.5</v>
      </c>
      <c r="E815" s="6" t="n">
        <f aca="false">DATE(2024,9,1)</f>
        <v>45536</v>
      </c>
      <c r="F815" s="7" t="n">
        <f aca="false">C815*D815</f>
        <v>752.5</v>
      </c>
      <c r="G815" s="7" t="n">
        <f aca="false">ROUND(F815*0.2,2)</f>
        <v>150.5</v>
      </c>
      <c r="H815" s="4" t="str">
        <f aca="false">IF(F815&gt;500,"Yüksek",IF(F815&gt;100,"Orta","Düşük"))</f>
        <v>Yüksek</v>
      </c>
    </row>
    <row r="816" customFormat="false" ht="12.8" hidden="false" customHeight="false" outlineLevel="0" collapsed="false">
      <c r="A816" s="4" t="s">
        <v>16</v>
      </c>
      <c r="B816" s="4" t="s">
        <v>17</v>
      </c>
      <c r="C816" s="4" t="n">
        <v>42</v>
      </c>
      <c r="D816" s="5" t="n">
        <v>24.25</v>
      </c>
      <c r="E816" s="6" t="n">
        <f aca="false">DATE(2024,10,2)</f>
        <v>45567</v>
      </c>
      <c r="F816" s="7" t="n">
        <f aca="false">C816*D816</f>
        <v>1018.5</v>
      </c>
      <c r="G816" s="7" t="n">
        <f aca="false">ROUND(F816*0.2,2)</f>
        <v>203.7</v>
      </c>
      <c r="H816" s="4" t="str">
        <f aca="false">IF(F816&gt;500,"Yüksek",IF(F816&gt;100,"Orta","Düşük"))</f>
        <v>Yüksek</v>
      </c>
    </row>
    <row r="817" customFormat="false" ht="12.8" hidden="false" customHeight="false" outlineLevel="0" collapsed="false">
      <c r="A817" s="4" t="s">
        <v>18</v>
      </c>
      <c r="B817" s="4" t="s">
        <v>19</v>
      </c>
      <c r="C817" s="4" t="n">
        <v>49</v>
      </c>
      <c r="D817" s="5" t="n">
        <v>27</v>
      </c>
      <c r="E817" s="6" t="n">
        <f aca="false">DATE(2024,11,3)</f>
        <v>45599</v>
      </c>
      <c r="F817" s="7" t="n">
        <f aca="false">C817*D817</f>
        <v>1323</v>
      </c>
      <c r="G817" s="7" t="n">
        <f aca="false">ROUND(F817*0.2,2)</f>
        <v>264.6</v>
      </c>
      <c r="H817" s="4" t="str">
        <f aca="false">IF(F817&gt;500,"Yüksek",IF(F817&gt;100,"Orta","Düşük"))</f>
        <v>Yüksek</v>
      </c>
    </row>
    <row r="818" customFormat="false" ht="12.8" hidden="false" customHeight="false" outlineLevel="0" collapsed="false">
      <c r="A818" s="4" t="s">
        <v>20</v>
      </c>
      <c r="B818" s="4" t="s">
        <v>11</v>
      </c>
      <c r="C818" s="4" t="n">
        <v>6</v>
      </c>
      <c r="D818" s="5" t="n">
        <v>29.75</v>
      </c>
      <c r="E818" s="6" t="n">
        <f aca="false">DATE(2024,12,4)</f>
        <v>45630</v>
      </c>
      <c r="F818" s="7" t="n">
        <f aca="false">C818*D818</f>
        <v>178.5</v>
      </c>
      <c r="G818" s="7" t="n">
        <f aca="false">ROUND(F818*0.2,2)</f>
        <v>35.7</v>
      </c>
      <c r="H818" s="4" t="str">
        <f aca="false">IF(F818&gt;500,"Yüksek",IF(F818&gt;100,"Orta","Düşük"))</f>
        <v>Orta</v>
      </c>
    </row>
    <row r="819" customFormat="false" ht="12.8" hidden="false" customHeight="false" outlineLevel="0" collapsed="false">
      <c r="A819" s="4" t="s">
        <v>21</v>
      </c>
      <c r="B819" s="4" t="s">
        <v>13</v>
      </c>
      <c r="C819" s="4" t="n">
        <v>13</v>
      </c>
      <c r="D819" s="5" t="n">
        <v>32.5</v>
      </c>
      <c r="E819" s="6" t="n">
        <f aca="false">DATE(2024,1,5)</f>
        <v>45296</v>
      </c>
      <c r="F819" s="7" t="n">
        <f aca="false">C819*D819</f>
        <v>422.5</v>
      </c>
      <c r="G819" s="7" t="n">
        <f aca="false">ROUND(F819*0.2,2)</f>
        <v>84.5</v>
      </c>
      <c r="H819" s="4" t="str">
        <f aca="false">IF(F819&gt;500,"Yüksek",IF(F819&gt;100,"Orta","Düşük"))</f>
        <v>Orta</v>
      </c>
    </row>
    <row r="820" customFormat="false" ht="12.8" hidden="false" customHeight="false" outlineLevel="0" collapsed="false">
      <c r="A820" s="4" t="s">
        <v>22</v>
      </c>
      <c r="B820" s="4" t="s">
        <v>15</v>
      </c>
      <c r="C820" s="4" t="n">
        <v>20</v>
      </c>
      <c r="D820" s="5" t="n">
        <v>35.25</v>
      </c>
      <c r="E820" s="6" t="n">
        <f aca="false">DATE(2024,2,6)</f>
        <v>45328</v>
      </c>
      <c r="F820" s="7" t="n">
        <f aca="false">C820*D820</f>
        <v>705</v>
      </c>
      <c r="G820" s="7" t="n">
        <f aca="false">ROUND(F820*0.2,2)</f>
        <v>141</v>
      </c>
      <c r="H820" s="4" t="str">
        <f aca="false">IF(F820&gt;500,"Yüksek",IF(F820&gt;100,"Orta","Düşük"))</f>
        <v>Yüksek</v>
      </c>
    </row>
    <row r="821" customFormat="false" ht="12.8" hidden="false" customHeight="false" outlineLevel="0" collapsed="false">
      <c r="A821" s="4" t="s">
        <v>23</v>
      </c>
      <c r="B821" s="4" t="s">
        <v>17</v>
      </c>
      <c r="C821" s="4" t="n">
        <v>27</v>
      </c>
      <c r="D821" s="5" t="n">
        <v>38</v>
      </c>
      <c r="E821" s="6" t="n">
        <f aca="false">DATE(2024,3,7)</f>
        <v>45358</v>
      </c>
      <c r="F821" s="7" t="n">
        <f aca="false">C821*D821</f>
        <v>1026</v>
      </c>
      <c r="G821" s="7" t="n">
        <f aca="false">ROUND(F821*0.2,2)</f>
        <v>205.2</v>
      </c>
      <c r="H821" s="4" t="str">
        <f aca="false">IF(F821&gt;500,"Yüksek",IF(F821&gt;100,"Orta","Düşük"))</f>
        <v>Yüksek</v>
      </c>
    </row>
    <row r="822" customFormat="false" ht="12.8" hidden="false" customHeight="false" outlineLevel="0" collapsed="false">
      <c r="A822" s="4" t="s">
        <v>24</v>
      </c>
      <c r="B822" s="4" t="s">
        <v>19</v>
      </c>
      <c r="C822" s="4" t="n">
        <v>34</v>
      </c>
      <c r="D822" s="5" t="n">
        <v>5</v>
      </c>
      <c r="E822" s="6" t="n">
        <f aca="false">DATE(2024,4,8)</f>
        <v>45390</v>
      </c>
      <c r="F822" s="7" t="n">
        <f aca="false">C822*D822</f>
        <v>170</v>
      </c>
      <c r="G822" s="7" t="n">
        <f aca="false">ROUND(F822*0.2,2)</f>
        <v>34</v>
      </c>
      <c r="H822" s="4" t="str">
        <f aca="false">IF(F822&gt;500,"Yüksek",IF(F822&gt;100,"Orta","Düşük"))</f>
        <v>Orta</v>
      </c>
    </row>
    <row r="823" customFormat="false" ht="12.8" hidden="false" customHeight="false" outlineLevel="0" collapsed="false">
      <c r="A823" s="4" t="s">
        <v>10</v>
      </c>
      <c r="B823" s="4" t="s">
        <v>11</v>
      </c>
      <c r="C823" s="4" t="n">
        <v>41</v>
      </c>
      <c r="D823" s="5" t="n">
        <v>7.75</v>
      </c>
      <c r="E823" s="6" t="n">
        <f aca="false">DATE(2024,5,9)</f>
        <v>45421</v>
      </c>
      <c r="F823" s="7" t="n">
        <f aca="false">C823*D823</f>
        <v>317.75</v>
      </c>
      <c r="G823" s="7" t="n">
        <f aca="false">ROUND(F823*0.2,2)</f>
        <v>63.55</v>
      </c>
      <c r="H823" s="4" t="str">
        <f aca="false">IF(F823&gt;500,"Yüksek",IF(F823&gt;100,"Orta","Düşük"))</f>
        <v>Orta</v>
      </c>
    </row>
    <row r="824" customFormat="false" ht="12.8" hidden="false" customHeight="false" outlineLevel="0" collapsed="false">
      <c r="A824" s="4" t="s">
        <v>12</v>
      </c>
      <c r="B824" s="4" t="s">
        <v>13</v>
      </c>
      <c r="C824" s="4" t="n">
        <v>48</v>
      </c>
      <c r="D824" s="5" t="n">
        <v>10.5</v>
      </c>
      <c r="E824" s="6" t="n">
        <f aca="false">DATE(2024,6,10)</f>
        <v>45453</v>
      </c>
      <c r="F824" s="7" t="n">
        <f aca="false">C824*D824</f>
        <v>504</v>
      </c>
      <c r="G824" s="7" t="n">
        <f aca="false">ROUND(F824*0.2,2)</f>
        <v>100.8</v>
      </c>
      <c r="H824" s="4" t="str">
        <f aca="false">IF(F824&gt;500,"Yüksek",IF(F824&gt;100,"Orta","Düşük"))</f>
        <v>Yüksek</v>
      </c>
    </row>
    <row r="825" customFormat="false" ht="12.8" hidden="false" customHeight="false" outlineLevel="0" collapsed="false">
      <c r="A825" s="4" t="s">
        <v>14</v>
      </c>
      <c r="B825" s="4" t="s">
        <v>15</v>
      </c>
      <c r="C825" s="4" t="n">
        <v>5</v>
      </c>
      <c r="D825" s="5" t="n">
        <v>13.25</v>
      </c>
      <c r="E825" s="6" t="n">
        <f aca="false">DATE(2024,7,11)</f>
        <v>45484</v>
      </c>
      <c r="F825" s="7" t="n">
        <f aca="false">C825*D825</f>
        <v>66.25</v>
      </c>
      <c r="G825" s="7" t="n">
        <f aca="false">ROUND(F825*0.2,2)</f>
        <v>13.25</v>
      </c>
      <c r="H825" s="4" t="str">
        <f aca="false">IF(F825&gt;500,"Yüksek",IF(F825&gt;100,"Orta","Düşük"))</f>
        <v>Düşük</v>
      </c>
    </row>
    <row r="826" customFormat="false" ht="12.8" hidden="false" customHeight="false" outlineLevel="0" collapsed="false">
      <c r="A826" s="4" t="s">
        <v>16</v>
      </c>
      <c r="B826" s="4" t="s">
        <v>17</v>
      </c>
      <c r="C826" s="4" t="n">
        <v>12</v>
      </c>
      <c r="D826" s="5" t="n">
        <v>16</v>
      </c>
      <c r="E826" s="6" t="n">
        <f aca="false">DATE(2024,8,12)</f>
        <v>45516</v>
      </c>
      <c r="F826" s="7" t="n">
        <f aca="false">C826*D826</f>
        <v>192</v>
      </c>
      <c r="G826" s="7" t="n">
        <f aca="false">ROUND(F826*0.2,2)</f>
        <v>38.4</v>
      </c>
      <c r="H826" s="4" t="str">
        <f aca="false">IF(F826&gt;500,"Yüksek",IF(F826&gt;100,"Orta","Düşük"))</f>
        <v>Orta</v>
      </c>
    </row>
    <row r="827" customFormat="false" ht="12.8" hidden="false" customHeight="false" outlineLevel="0" collapsed="false">
      <c r="A827" s="4" t="s">
        <v>18</v>
      </c>
      <c r="B827" s="4" t="s">
        <v>19</v>
      </c>
      <c r="C827" s="4" t="n">
        <v>19</v>
      </c>
      <c r="D827" s="5" t="n">
        <v>18.75</v>
      </c>
      <c r="E827" s="6" t="n">
        <f aca="false">DATE(2024,9,13)</f>
        <v>45548</v>
      </c>
      <c r="F827" s="7" t="n">
        <f aca="false">C827*D827</f>
        <v>356.25</v>
      </c>
      <c r="G827" s="7" t="n">
        <f aca="false">ROUND(F827*0.2,2)</f>
        <v>71.25</v>
      </c>
      <c r="H827" s="4" t="str">
        <f aca="false">IF(F827&gt;500,"Yüksek",IF(F827&gt;100,"Orta","Düşük"))</f>
        <v>Orta</v>
      </c>
    </row>
    <row r="828" customFormat="false" ht="12.8" hidden="false" customHeight="false" outlineLevel="0" collapsed="false">
      <c r="A828" s="4" t="s">
        <v>20</v>
      </c>
      <c r="B828" s="4" t="s">
        <v>11</v>
      </c>
      <c r="C828" s="4" t="n">
        <v>26</v>
      </c>
      <c r="D828" s="5" t="n">
        <v>21.5</v>
      </c>
      <c r="E828" s="6" t="n">
        <f aca="false">DATE(2024,10,14)</f>
        <v>45579</v>
      </c>
      <c r="F828" s="7" t="n">
        <f aca="false">C828*D828</f>
        <v>559</v>
      </c>
      <c r="G828" s="7" t="n">
        <f aca="false">ROUND(F828*0.2,2)</f>
        <v>111.8</v>
      </c>
      <c r="H828" s="4" t="str">
        <f aca="false">IF(F828&gt;500,"Yüksek",IF(F828&gt;100,"Orta","Düşük"))</f>
        <v>Yüksek</v>
      </c>
    </row>
    <row r="829" customFormat="false" ht="12.8" hidden="false" customHeight="false" outlineLevel="0" collapsed="false">
      <c r="A829" s="4" t="s">
        <v>21</v>
      </c>
      <c r="B829" s="4" t="s">
        <v>13</v>
      </c>
      <c r="C829" s="4" t="n">
        <v>33</v>
      </c>
      <c r="D829" s="5" t="n">
        <v>24.25</v>
      </c>
      <c r="E829" s="6" t="n">
        <f aca="false">DATE(2024,11,15)</f>
        <v>45611</v>
      </c>
      <c r="F829" s="7" t="n">
        <f aca="false">C829*D829</f>
        <v>800.25</v>
      </c>
      <c r="G829" s="7" t="n">
        <f aca="false">ROUND(F829*0.2,2)</f>
        <v>160.05</v>
      </c>
      <c r="H829" s="4" t="str">
        <f aca="false">IF(F829&gt;500,"Yüksek",IF(F829&gt;100,"Orta","Düşük"))</f>
        <v>Yüksek</v>
      </c>
    </row>
    <row r="830" customFormat="false" ht="12.8" hidden="false" customHeight="false" outlineLevel="0" collapsed="false">
      <c r="A830" s="4" t="s">
        <v>22</v>
      </c>
      <c r="B830" s="4" t="s">
        <v>15</v>
      </c>
      <c r="C830" s="4" t="n">
        <v>40</v>
      </c>
      <c r="D830" s="5" t="n">
        <v>27</v>
      </c>
      <c r="E830" s="6" t="n">
        <f aca="false">DATE(2024,12,16)</f>
        <v>45642</v>
      </c>
      <c r="F830" s="7" t="n">
        <f aca="false">C830*D830</f>
        <v>1080</v>
      </c>
      <c r="G830" s="7" t="n">
        <f aca="false">ROUND(F830*0.2,2)</f>
        <v>216</v>
      </c>
      <c r="H830" s="4" t="str">
        <f aca="false">IF(F830&gt;500,"Yüksek",IF(F830&gt;100,"Orta","Düşük"))</f>
        <v>Yüksek</v>
      </c>
    </row>
    <row r="831" customFormat="false" ht="12.8" hidden="false" customHeight="false" outlineLevel="0" collapsed="false">
      <c r="A831" s="4" t="s">
        <v>23</v>
      </c>
      <c r="B831" s="4" t="s">
        <v>17</v>
      </c>
      <c r="C831" s="4" t="n">
        <v>47</v>
      </c>
      <c r="D831" s="5" t="n">
        <v>29.75</v>
      </c>
      <c r="E831" s="6" t="n">
        <f aca="false">DATE(2024,1,17)</f>
        <v>45308</v>
      </c>
      <c r="F831" s="7" t="n">
        <f aca="false">C831*D831</f>
        <v>1398.25</v>
      </c>
      <c r="G831" s="7" t="n">
        <f aca="false">ROUND(F831*0.2,2)</f>
        <v>279.65</v>
      </c>
      <c r="H831" s="4" t="str">
        <f aca="false">IF(F831&gt;500,"Yüksek",IF(F831&gt;100,"Orta","Düşük"))</f>
        <v>Yüksek</v>
      </c>
    </row>
    <row r="832" customFormat="false" ht="12.8" hidden="false" customHeight="false" outlineLevel="0" collapsed="false">
      <c r="A832" s="4" t="s">
        <v>24</v>
      </c>
      <c r="B832" s="4" t="s">
        <v>19</v>
      </c>
      <c r="C832" s="4" t="n">
        <v>4</v>
      </c>
      <c r="D832" s="5" t="n">
        <v>32.5</v>
      </c>
      <c r="E832" s="6" t="n">
        <f aca="false">DATE(2024,2,18)</f>
        <v>45340</v>
      </c>
      <c r="F832" s="7" t="n">
        <f aca="false">C832*D832</f>
        <v>130</v>
      </c>
      <c r="G832" s="7" t="n">
        <f aca="false">ROUND(F832*0.2,2)</f>
        <v>26</v>
      </c>
      <c r="H832" s="4" t="str">
        <f aca="false">IF(F832&gt;500,"Yüksek",IF(F832&gt;100,"Orta","Düşük"))</f>
        <v>Orta</v>
      </c>
    </row>
    <row r="833" customFormat="false" ht="12.8" hidden="false" customHeight="false" outlineLevel="0" collapsed="false">
      <c r="A833" s="4" t="s">
        <v>10</v>
      </c>
      <c r="B833" s="4" t="s">
        <v>11</v>
      </c>
      <c r="C833" s="4" t="n">
        <v>11</v>
      </c>
      <c r="D833" s="5" t="n">
        <v>35.25</v>
      </c>
      <c r="E833" s="6" t="n">
        <f aca="false">DATE(2024,3,19)</f>
        <v>45370</v>
      </c>
      <c r="F833" s="7" t="n">
        <f aca="false">C833*D833</f>
        <v>387.75</v>
      </c>
      <c r="G833" s="7" t="n">
        <f aca="false">ROUND(F833*0.2,2)</f>
        <v>77.55</v>
      </c>
      <c r="H833" s="4" t="str">
        <f aca="false">IF(F833&gt;500,"Yüksek",IF(F833&gt;100,"Orta","Düşük"))</f>
        <v>Orta</v>
      </c>
    </row>
    <row r="834" customFormat="false" ht="12.8" hidden="false" customHeight="false" outlineLevel="0" collapsed="false">
      <c r="A834" s="4" t="s">
        <v>12</v>
      </c>
      <c r="B834" s="4" t="s">
        <v>13</v>
      </c>
      <c r="C834" s="4" t="n">
        <v>18</v>
      </c>
      <c r="D834" s="5" t="n">
        <v>38</v>
      </c>
      <c r="E834" s="6" t="n">
        <f aca="false">DATE(2024,4,20)</f>
        <v>45402</v>
      </c>
      <c r="F834" s="7" t="n">
        <f aca="false">C834*D834</f>
        <v>684</v>
      </c>
      <c r="G834" s="7" t="n">
        <f aca="false">ROUND(F834*0.2,2)</f>
        <v>136.8</v>
      </c>
      <c r="H834" s="4" t="str">
        <f aca="false">IF(F834&gt;500,"Yüksek",IF(F834&gt;100,"Orta","Düşük"))</f>
        <v>Yüksek</v>
      </c>
    </row>
    <row r="835" customFormat="false" ht="12.8" hidden="false" customHeight="false" outlineLevel="0" collapsed="false">
      <c r="A835" s="4" t="s">
        <v>14</v>
      </c>
      <c r="B835" s="4" t="s">
        <v>15</v>
      </c>
      <c r="C835" s="4" t="n">
        <v>25</v>
      </c>
      <c r="D835" s="5" t="n">
        <v>5</v>
      </c>
      <c r="E835" s="6" t="n">
        <f aca="false">DATE(2024,5,21)</f>
        <v>45433</v>
      </c>
      <c r="F835" s="7" t="n">
        <f aca="false">C835*D835</f>
        <v>125</v>
      </c>
      <c r="G835" s="7" t="n">
        <f aca="false">ROUND(F835*0.2,2)</f>
        <v>25</v>
      </c>
      <c r="H835" s="4" t="str">
        <f aca="false">IF(F835&gt;500,"Yüksek",IF(F835&gt;100,"Orta","Düşük"))</f>
        <v>Orta</v>
      </c>
    </row>
    <row r="836" customFormat="false" ht="12.8" hidden="false" customHeight="false" outlineLevel="0" collapsed="false">
      <c r="A836" s="4" t="s">
        <v>16</v>
      </c>
      <c r="B836" s="4" t="s">
        <v>17</v>
      </c>
      <c r="C836" s="4" t="n">
        <v>32</v>
      </c>
      <c r="D836" s="5" t="n">
        <v>7.75</v>
      </c>
      <c r="E836" s="6" t="n">
        <f aca="false">DATE(2024,6,22)</f>
        <v>45465</v>
      </c>
      <c r="F836" s="7" t="n">
        <f aca="false">C836*D836</f>
        <v>248</v>
      </c>
      <c r="G836" s="7" t="n">
        <f aca="false">ROUND(F836*0.2,2)</f>
        <v>49.6</v>
      </c>
      <c r="H836" s="4" t="str">
        <f aca="false">IF(F836&gt;500,"Yüksek",IF(F836&gt;100,"Orta","Düşük"))</f>
        <v>Orta</v>
      </c>
    </row>
    <row r="837" customFormat="false" ht="12.8" hidden="false" customHeight="false" outlineLevel="0" collapsed="false">
      <c r="A837" s="4" t="s">
        <v>18</v>
      </c>
      <c r="B837" s="4" t="s">
        <v>19</v>
      </c>
      <c r="C837" s="4" t="n">
        <v>39</v>
      </c>
      <c r="D837" s="5" t="n">
        <v>10.5</v>
      </c>
      <c r="E837" s="6" t="n">
        <f aca="false">DATE(2024,7,23)</f>
        <v>45496</v>
      </c>
      <c r="F837" s="7" t="n">
        <f aca="false">C837*D837</f>
        <v>409.5</v>
      </c>
      <c r="G837" s="7" t="n">
        <f aca="false">ROUND(F837*0.2,2)</f>
        <v>81.9</v>
      </c>
      <c r="H837" s="4" t="str">
        <f aca="false">IF(F837&gt;500,"Yüksek",IF(F837&gt;100,"Orta","Düşük"))</f>
        <v>Orta</v>
      </c>
    </row>
    <row r="838" customFormat="false" ht="12.8" hidden="false" customHeight="false" outlineLevel="0" collapsed="false">
      <c r="A838" s="4" t="s">
        <v>20</v>
      </c>
      <c r="B838" s="4" t="s">
        <v>11</v>
      </c>
      <c r="C838" s="4" t="n">
        <v>46</v>
      </c>
      <c r="D838" s="5" t="n">
        <v>13.25</v>
      </c>
      <c r="E838" s="6" t="n">
        <f aca="false">DATE(2024,8,24)</f>
        <v>45528</v>
      </c>
      <c r="F838" s="7" t="n">
        <f aca="false">C838*D838</f>
        <v>609.5</v>
      </c>
      <c r="G838" s="7" t="n">
        <f aca="false">ROUND(F838*0.2,2)</f>
        <v>121.9</v>
      </c>
      <c r="H838" s="4" t="str">
        <f aca="false">IF(F838&gt;500,"Yüksek",IF(F838&gt;100,"Orta","Düşük"))</f>
        <v>Yüksek</v>
      </c>
    </row>
    <row r="839" customFormat="false" ht="12.8" hidden="false" customHeight="false" outlineLevel="0" collapsed="false">
      <c r="A839" s="4" t="s">
        <v>21</v>
      </c>
      <c r="B839" s="4" t="s">
        <v>13</v>
      </c>
      <c r="C839" s="4" t="n">
        <v>3</v>
      </c>
      <c r="D839" s="5" t="n">
        <v>16</v>
      </c>
      <c r="E839" s="6" t="n">
        <f aca="false">DATE(2024,9,25)</f>
        <v>45560</v>
      </c>
      <c r="F839" s="7" t="n">
        <f aca="false">C839*D839</f>
        <v>48</v>
      </c>
      <c r="G839" s="7" t="n">
        <f aca="false">ROUND(F839*0.2,2)</f>
        <v>9.6</v>
      </c>
      <c r="H839" s="4" t="str">
        <f aca="false">IF(F839&gt;500,"Yüksek",IF(F839&gt;100,"Orta","Düşük"))</f>
        <v>Düşük</v>
      </c>
    </row>
    <row r="840" customFormat="false" ht="12.8" hidden="false" customHeight="false" outlineLevel="0" collapsed="false">
      <c r="A840" s="4" t="s">
        <v>22</v>
      </c>
      <c r="B840" s="4" t="s">
        <v>15</v>
      </c>
      <c r="C840" s="4" t="n">
        <v>10</v>
      </c>
      <c r="D840" s="5" t="n">
        <v>18.75</v>
      </c>
      <c r="E840" s="6" t="n">
        <f aca="false">DATE(2024,10,26)</f>
        <v>45591</v>
      </c>
      <c r="F840" s="7" t="n">
        <f aca="false">C840*D840</f>
        <v>187.5</v>
      </c>
      <c r="G840" s="7" t="n">
        <f aca="false">ROUND(F840*0.2,2)</f>
        <v>37.5</v>
      </c>
      <c r="H840" s="4" t="str">
        <f aca="false">IF(F840&gt;500,"Yüksek",IF(F840&gt;100,"Orta","Düşük"))</f>
        <v>Orta</v>
      </c>
    </row>
    <row r="841" customFormat="false" ht="12.8" hidden="false" customHeight="false" outlineLevel="0" collapsed="false">
      <c r="A841" s="4" t="s">
        <v>23</v>
      </c>
      <c r="B841" s="4" t="s">
        <v>17</v>
      </c>
      <c r="C841" s="4" t="n">
        <v>17</v>
      </c>
      <c r="D841" s="5" t="n">
        <v>21.5</v>
      </c>
      <c r="E841" s="6" t="n">
        <f aca="false">DATE(2024,11,27)</f>
        <v>45623</v>
      </c>
      <c r="F841" s="7" t="n">
        <f aca="false">C841*D841</f>
        <v>365.5</v>
      </c>
      <c r="G841" s="7" t="n">
        <f aca="false">ROUND(F841*0.2,2)</f>
        <v>73.1</v>
      </c>
      <c r="H841" s="4" t="str">
        <f aca="false">IF(F841&gt;500,"Yüksek",IF(F841&gt;100,"Orta","Düşük"))</f>
        <v>Orta</v>
      </c>
    </row>
    <row r="842" customFormat="false" ht="12.8" hidden="false" customHeight="false" outlineLevel="0" collapsed="false">
      <c r="A842" s="4" t="s">
        <v>24</v>
      </c>
      <c r="B842" s="4" t="s">
        <v>19</v>
      </c>
      <c r="C842" s="4" t="n">
        <v>24</v>
      </c>
      <c r="D842" s="5" t="n">
        <v>24.25</v>
      </c>
      <c r="E842" s="6" t="n">
        <f aca="false">DATE(2024,12,28)</f>
        <v>45654</v>
      </c>
      <c r="F842" s="7" t="n">
        <f aca="false">C842*D842</f>
        <v>582</v>
      </c>
      <c r="G842" s="7" t="n">
        <f aca="false">ROUND(F842*0.2,2)</f>
        <v>116.4</v>
      </c>
      <c r="H842" s="4" t="str">
        <f aca="false">IF(F842&gt;500,"Yüksek",IF(F842&gt;100,"Orta","Düşük"))</f>
        <v>Yüksek</v>
      </c>
    </row>
    <row r="843" customFormat="false" ht="12.8" hidden="false" customHeight="false" outlineLevel="0" collapsed="false">
      <c r="A843" s="4" t="s">
        <v>10</v>
      </c>
      <c r="B843" s="4" t="s">
        <v>11</v>
      </c>
      <c r="C843" s="4" t="n">
        <v>31</v>
      </c>
      <c r="D843" s="5" t="n">
        <v>27</v>
      </c>
      <c r="E843" s="6" t="n">
        <f aca="false">DATE(2024,1,1)</f>
        <v>45292</v>
      </c>
      <c r="F843" s="7" t="n">
        <f aca="false">C843*D843</f>
        <v>837</v>
      </c>
      <c r="G843" s="7" t="n">
        <f aca="false">ROUND(F843*0.2,2)</f>
        <v>167.4</v>
      </c>
      <c r="H843" s="4" t="str">
        <f aca="false">IF(F843&gt;500,"Yüksek",IF(F843&gt;100,"Orta","Düşük"))</f>
        <v>Yüksek</v>
      </c>
    </row>
    <row r="844" customFormat="false" ht="12.8" hidden="false" customHeight="false" outlineLevel="0" collapsed="false">
      <c r="A844" s="4" t="s">
        <v>12</v>
      </c>
      <c r="B844" s="4" t="s">
        <v>13</v>
      </c>
      <c r="C844" s="4" t="n">
        <v>38</v>
      </c>
      <c r="D844" s="5" t="n">
        <v>29.75</v>
      </c>
      <c r="E844" s="6" t="n">
        <f aca="false">DATE(2024,2,2)</f>
        <v>45324</v>
      </c>
      <c r="F844" s="7" t="n">
        <f aca="false">C844*D844</f>
        <v>1130.5</v>
      </c>
      <c r="G844" s="7" t="n">
        <f aca="false">ROUND(F844*0.2,2)</f>
        <v>226.1</v>
      </c>
      <c r="H844" s="4" t="str">
        <f aca="false">IF(F844&gt;500,"Yüksek",IF(F844&gt;100,"Orta","Düşük"))</f>
        <v>Yüksek</v>
      </c>
    </row>
    <row r="845" customFormat="false" ht="12.8" hidden="false" customHeight="false" outlineLevel="0" collapsed="false">
      <c r="A845" s="4" t="s">
        <v>14</v>
      </c>
      <c r="B845" s="4" t="s">
        <v>15</v>
      </c>
      <c r="C845" s="4" t="n">
        <v>45</v>
      </c>
      <c r="D845" s="5" t="n">
        <v>32.5</v>
      </c>
      <c r="E845" s="6" t="n">
        <f aca="false">DATE(2024,3,3)</f>
        <v>45354</v>
      </c>
      <c r="F845" s="7" t="n">
        <f aca="false">C845*D845</f>
        <v>1462.5</v>
      </c>
      <c r="G845" s="7" t="n">
        <f aca="false">ROUND(F845*0.2,2)</f>
        <v>292.5</v>
      </c>
      <c r="H845" s="4" t="str">
        <f aca="false">IF(F845&gt;500,"Yüksek",IF(F845&gt;100,"Orta","Düşük"))</f>
        <v>Yüksek</v>
      </c>
    </row>
    <row r="846" customFormat="false" ht="12.8" hidden="false" customHeight="false" outlineLevel="0" collapsed="false">
      <c r="A846" s="4" t="s">
        <v>16</v>
      </c>
      <c r="B846" s="4" t="s">
        <v>17</v>
      </c>
      <c r="C846" s="4" t="n">
        <v>2</v>
      </c>
      <c r="D846" s="5" t="n">
        <v>35.25</v>
      </c>
      <c r="E846" s="6" t="n">
        <f aca="false">DATE(2024,4,4)</f>
        <v>45386</v>
      </c>
      <c r="F846" s="7" t="n">
        <f aca="false">C846*D846</f>
        <v>70.5</v>
      </c>
      <c r="G846" s="7" t="n">
        <f aca="false">ROUND(F846*0.2,2)</f>
        <v>14.1</v>
      </c>
      <c r="H846" s="4" t="str">
        <f aca="false">IF(F846&gt;500,"Yüksek",IF(F846&gt;100,"Orta","Düşük"))</f>
        <v>Düşük</v>
      </c>
    </row>
    <row r="847" customFormat="false" ht="12.8" hidden="false" customHeight="false" outlineLevel="0" collapsed="false">
      <c r="A847" s="4" t="s">
        <v>18</v>
      </c>
      <c r="B847" s="4" t="s">
        <v>19</v>
      </c>
      <c r="C847" s="4" t="n">
        <v>9</v>
      </c>
      <c r="D847" s="5" t="n">
        <v>38</v>
      </c>
      <c r="E847" s="6" t="n">
        <f aca="false">DATE(2024,5,5)</f>
        <v>45417</v>
      </c>
      <c r="F847" s="7" t="n">
        <f aca="false">C847*D847</f>
        <v>342</v>
      </c>
      <c r="G847" s="7" t="n">
        <f aca="false">ROUND(F847*0.2,2)</f>
        <v>68.4</v>
      </c>
      <c r="H847" s="4" t="str">
        <f aca="false">IF(F847&gt;500,"Yüksek",IF(F847&gt;100,"Orta","Düşük"))</f>
        <v>Orta</v>
      </c>
    </row>
    <row r="848" customFormat="false" ht="12.8" hidden="false" customHeight="false" outlineLevel="0" collapsed="false">
      <c r="A848" s="4" t="s">
        <v>20</v>
      </c>
      <c r="B848" s="4" t="s">
        <v>11</v>
      </c>
      <c r="C848" s="4" t="n">
        <v>16</v>
      </c>
      <c r="D848" s="5" t="n">
        <v>5</v>
      </c>
      <c r="E848" s="6" t="n">
        <f aca="false">DATE(2024,6,6)</f>
        <v>45449</v>
      </c>
      <c r="F848" s="7" t="n">
        <f aca="false">C848*D848</f>
        <v>80</v>
      </c>
      <c r="G848" s="7" t="n">
        <f aca="false">ROUND(F848*0.2,2)</f>
        <v>16</v>
      </c>
      <c r="H848" s="4" t="str">
        <f aca="false">IF(F848&gt;500,"Yüksek",IF(F848&gt;100,"Orta","Düşük"))</f>
        <v>Düşük</v>
      </c>
    </row>
    <row r="849" customFormat="false" ht="12.8" hidden="false" customHeight="false" outlineLevel="0" collapsed="false">
      <c r="A849" s="4" t="s">
        <v>21</v>
      </c>
      <c r="B849" s="4" t="s">
        <v>13</v>
      </c>
      <c r="C849" s="4" t="n">
        <v>23</v>
      </c>
      <c r="D849" s="5" t="n">
        <v>7.75</v>
      </c>
      <c r="E849" s="6" t="n">
        <f aca="false">DATE(2024,7,7)</f>
        <v>45480</v>
      </c>
      <c r="F849" s="7" t="n">
        <f aca="false">C849*D849</f>
        <v>178.25</v>
      </c>
      <c r="G849" s="7" t="n">
        <f aca="false">ROUND(F849*0.2,2)</f>
        <v>35.65</v>
      </c>
      <c r="H849" s="4" t="str">
        <f aca="false">IF(F849&gt;500,"Yüksek",IF(F849&gt;100,"Orta","Düşük"))</f>
        <v>Orta</v>
      </c>
    </row>
    <row r="850" customFormat="false" ht="12.8" hidden="false" customHeight="false" outlineLevel="0" collapsed="false">
      <c r="A850" s="4" t="s">
        <v>22</v>
      </c>
      <c r="B850" s="4" t="s">
        <v>15</v>
      </c>
      <c r="C850" s="4" t="n">
        <v>30</v>
      </c>
      <c r="D850" s="5" t="n">
        <v>10.5</v>
      </c>
      <c r="E850" s="6" t="n">
        <f aca="false">DATE(2024,8,8)</f>
        <v>45512</v>
      </c>
      <c r="F850" s="7" t="n">
        <f aca="false">C850*D850</f>
        <v>315</v>
      </c>
      <c r="G850" s="7" t="n">
        <f aca="false">ROUND(F850*0.2,2)</f>
        <v>63</v>
      </c>
      <c r="H850" s="4" t="str">
        <f aca="false">IF(F850&gt;500,"Yüksek",IF(F850&gt;100,"Orta","Düşük"))</f>
        <v>Orta</v>
      </c>
    </row>
    <row r="851" customFormat="false" ht="12.8" hidden="false" customHeight="false" outlineLevel="0" collapsed="false">
      <c r="A851" s="4" t="s">
        <v>23</v>
      </c>
      <c r="B851" s="4" t="s">
        <v>17</v>
      </c>
      <c r="C851" s="4" t="n">
        <v>37</v>
      </c>
      <c r="D851" s="5" t="n">
        <v>13.25</v>
      </c>
      <c r="E851" s="6" t="n">
        <f aca="false">DATE(2024,9,9)</f>
        <v>45544</v>
      </c>
      <c r="F851" s="7" t="n">
        <f aca="false">C851*D851</f>
        <v>490.25</v>
      </c>
      <c r="G851" s="7" t="n">
        <f aca="false">ROUND(F851*0.2,2)</f>
        <v>98.05</v>
      </c>
      <c r="H851" s="4" t="str">
        <f aca="false">IF(F851&gt;500,"Yüksek",IF(F851&gt;100,"Orta","Düşük"))</f>
        <v>Orta</v>
      </c>
    </row>
    <row r="852" customFormat="false" ht="12.8" hidden="false" customHeight="false" outlineLevel="0" collapsed="false">
      <c r="A852" s="4" t="s">
        <v>24</v>
      </c>
      <c r="B852" s="4" t="s">
        <v>19</v>
      </c>
      <c r="C852" s="4" t="n">
        <v>44</v>
      </c>
      <c r="D852" s="5" t="n">
        <v>16</v>
      </c>
      <c r="E852" s="6" t="n">
        <f aca="false">DATE(2024,10,10)</f>
        <v>45575</v>
      </c>
      <c r="F852" s="7" t="n">
        <f aca="false">C852*D852</f>
        <v>704</v>
      </c>
      <c r="G852" s="7" t="n">
        <f aca="false">ROUND(F852*0.2,2)</f>
        <v>140.8</v>
      </c>
      <c r="H852" s="4" t="str">
        <f aca="false">IF(F852&gt;500,"Yüksek",IF(F852&gt;100,"Orta","Düşük"))</f>
        <v>Yüksek</v>
      </c>
    </row>
    <row r="853" customFormat="false" ht="12.8" hidden="false" customHeight="false" outlineLevel="0" collapsed="false">
      <c r="A853" s="4" t="s">
        <v>10</v>
      </c>
      <c r="B853" s="4" t="s">
        <v>11</v>
      </c>
      <c r="C853" s="4" t="n">
        <v>1</v>
      </c>
      <c r="D853" s="5" t="n">
        <v>18.75</v>
      </c>
      <c r="E853" s="6" t="n">
        <f aca="false">DATE(2024,11,11)</f>
        <v>45607</v>
      </c>
      <c r="F853" s="7" t="n">
        <f aca="false">C853*D853</f>
        <v>18.75</v>
      </c>
      <c r="G853" s="7" t="n">
        <f aca="false">ROUND(F853*0.2,2)</f>
        <v>3.75</v>
      </c>
      <c r="H853" s="4" t="str">
        <f aca="false">IF(F853&gt;500,"Yüksek",IF(F853&gt;100,"Orta","Düşük"))</f>
        <v>Düşük</v>
      </c>
    </row>
    <row r="854" customFormat="false" ht="12.8" hidden="false" customHeight="false" outlineLevel="0" collapsed="false">
      <c r="A854" s="4" t="s">
        <v>12</v>
      </c>
      <c r="B854" s="4" t="s">
        <v>13</v>
      </c>
      <c r="C854" s="4" t="n">
        <v>8</v>
      </c>
      <c r="D854" s="5" t="n">
        <v>21.5</v>
      </c>
      <c r="E854" s="6" t="n">
        <f aca="false">DATE(2024,12,12)</f>
        <v>45638</v>
      </c>
      <c r="F854" s="7" t="n">
        <f aca="false">C854*D854</f>
        <v>172</v>
      </c>
      <c r="G854" s="7" t="n">
        <f aca="false">ROUND(F854*0.2,2)</f>
        <v>34.4</v>
      </c>
      <c r="H854" s="4" t="str">
        <f aca="false">IF(F854&gt;500,"Yüksek",IF(F854&gt;100,"Orta","Düşük"))</f>
        <v>Orta</v>
      </c>
    </row>
    <row r="855" customFormat="false" ht="12.8" hidden="false" customHeight="false" outlineLevel="0" collapsed="false">
      <c r="A855" s="4" t="s">
        <v>14</v>
      </c>
      <c r="B855" s="4" t="s">
        <v>15</v>
      </c>
      <c r="C855" s="4" t="n">
        <v>15</v>
      </c>
      <c r="D855" s="5" t="n">
        <v>24.25</v>
      </c>
      <c r="E855" s="6" t="n">
        <f aca="false">DATE(2024,1,13)</f>
        <v>45304</v>
      </c>
      <c r="F855" s="7" t="n">
        <f aca="false">C855*D855</f>
        <v>363.75</v>
      </c>
      <c r="G855" s="7" t="n">
        <f aca="false">ROUND(F855*0.2,2)</f>
        <v>72.75</v>
      </c>
      <c r="H855" s="4" t="str">
        <f aca="false">IF(F855&gt;500,"Yüksek",IF(F855&gt;100,"Orta","Düşük"))</f>
        <v>Orta</v>
      </c>
    </row>
    <row r="856" customFormat="false" ht="12.8" hidden="false" customHeight="false" outlineLevel="0" collapsed="false">
      <c r="A856" s="4" t="s">
        <v>16</v>
      </c>
      <c r="B856" s="4" t="s">
        <v>17</v>
      </c>
      <c r="C856" s="4" t="n">
        <v>22</v>
      </c>
      <c r="D856" s="5" t="n">
        <v>27</v>
      </c>
      <c r="E856" s="6" t="n">
        <f aca="false">DATE(2024,2,14)</f>
        <v>45336</v>
      </c>
      <c r="F856" s="7" t="n">
        <f aca="false">C856*D856</f>
        <v>594</v>
      </c>
      <c r="G856" s="7" t="n">
        <f aca="false">ROUND(F856*0.2,2)</f>
        <v>118.8</v>
      </c>
      <c r="H856" s="4" t="str">
        <f aca="false">IF(F856&gt;500,"Yüksek",IF(F856&gt;100,"Orta","Düşük"))</f>
        <v>Yüksek</v>
      </c>
    </row>
    <row r="857" customFormat="false" ht="12.8" hidden="false" customHeight="false" outlineLevel="0" collapsed="false">
      <c r="A857" s="4" t="s">
        <v>18</v>
      </c>
      <c r="B857" s="4" t="s">
        <v>19</v>
      </c>
      <c r="C857" s="4" t="n">
        <v>29</v>
      </c>
      <c r="D857" s="5" t="n">
        <v>29.75</v>
      </c>
      <c r="E857" s="6" t="n">
        <f aca="false">DATE(2024,3,15)</f>
        <v>45366</v>
      </c>
      <c r="F857" s="7" t="n">
        <f aca="false">C857*D857</f>
        <v>862.75</v>
      </c>
      <c r="G857" s="7" t="n">
        <f aca="false">ROUND(F857*0.2,2)</f>
        <v>172.55</v>
      </c>
      <c r="H857" s="4" t="str">
        <f aca="false">IF(F857&gt;500,"Yüksek",IF(F857&gt;100,"Orta","Düşük"))</f>
        <v>Yüksek</v>
      </c>
    </row>
    <row r="858" customFormat="false" ht="12.8" hidden="false" customHeight="false" outlineLevel="0" collapsed="false">
      <c r="A858" s="4" t="s">
        <v>20</v>
      </c>
      <c r="B858" s="4" t="s">
        <v>11</v>
      </c>
      <c r="C858" s="4" t="n">
        <v>36</v>
      </c>
      <c r="D858" s="5" t="n">
        <v>32.5</v>
      </c>
      <c r="E858" s="6" t="n">
        <f aca="false">DATE(2024,4,16)</f>
        <v>45398</v>
      </c>
      <c r="F858" s="7" t="n">
        <f aca="false">C858*D858</f>
        <v>1170</v>
      </c>
      <c r="G858" s="7" t="n">
        <f aca="false">ROUND(F858*0.2,2)</f>
        <v>234</v>
      </c>
      <c r="H858" s="4" t="str">
        <f aca="false">IF(F858&gt;500,"Yüksek",IF(F858&gt;100,"Orta","Düşük"))</f>
        <v>Yüksek</v>
      </c>
    </row>
    <row r="859" customFormat="false" ht="12.8" hidden="false" customHeight="false" outlineLevel="0" collapsed="false">
      <c r="A859" s="4" t="s">
        <v>21</v>
      </c>
      <c r="B859" s="4" t="s">
        <v>13</v>
      </c>
      <c r="C859" s="4" t="n">
        <v>43</v>
      </c>
      <c r="D859" s="5" t="n">
        <v>35.25</v>
      </c>
      <c r="E859" s="6" t="n">
        <f aca="false">DATE(2024,5,17)</f>
        <v>45429</v>
      </c>
      <c r="F859" s="7" t="n">
        <f aca="false">C859*D859</f>
        <v>1515.75</v>
      </c>
      <c r="G859" s="7" t="n">
        <f aca="false">ROUND(F859*0.2,2)</f>
        <v>303.15</v>
      </c>
      <c r="H859" s="4" t="str">
        <f aca="false">IF(F859&gt;500,"Yüksek",IF(F859&gt;100,"Orta","Düşük"))</f>
        <v>Yüksek</v>
      </c>
    </row>
    <row r="860" customFormat="false" ht="12.8" hidden="false" customHeight="false" outlineLevel="0" collapsed="false">
      <c r="A860" s="4" t="s">
        <v>22</v>
      </c>
      <c r="B860" s="4" t="s">
        <v>15</v>
      </c>
      <c r="C860" s="4" t="n">
        <v>50</v>
      </c>
      <c r="D860" s="5" t="n">
        <v>38</v>
      </c>
      <c r="E860" s="6" t="n">
        <f aca="false">DATE(2024,6,18)</f>
        <v>45461</v>
      </c>
      <c r="F860" s="7" t="n">
        <f aca="false">C860*D860</f>
        <v>1900</v>
      </c>
      <c r="G860" s="7" t="n">
        <f aca="false">ROUND(F860*0.2,2)</f>
        <v>380</v>
      </c>
      <c r="H860" s="4" t="str">
        <f aca="false">IF(F860&gt;500,"Yüksek",IF(F860&gt;100,"Orta","Düşük"))</f>
        <v>Yüksek</v>
      </c>
    </row>
    <row r="861" customFormat="false" ht="12.8" hidden="false" customHeight="false" outlineLevel="0" collapsed="false">
      <c r="A861" s="4" t="s">
        <v>23</v>
      </c>
      <c r="B861" s="4" t="s">
        <v>17</v>
      </c>
      <c r="C861" s="4" t="n">
        <v>7</v>
      </c>
      <c r="D861" s="5" t="n">
        <v>5</v>
      </c>
      <c r="E861" s="6" t="n">
        <f aca="false">DATE(2024,7,19)</f>
        <v>45492</v>
      </c>
      <c r="F861" s="7" t="n">
        <f aca="false">C861*D861</f>
        <v>35</v>
      </c>
      <c r="G861" s="7" t="n">
        <f aca="false">ROUND(F861*0.2,2)</f>
        <v>7</v>
      </c>
      <c r="H861" s="4" t="str">
        <f aca="false">IF(F861&gt;500,"Yüksek",IF(F861&gt;100,"Orta","Düşük"))</f>
        <v>Düşük</v>
      </c>
    </row>
    <row r="862" customFormat="false" ht="12.8" hidden="false" customHeight="false" outlineLevel="0" collapsed="false">
      <c r="A862" s="4" t="s">
        <v>24</v>
      </c>
      <c r="B862" s="4" t="s">
        <v>19</v>
      </c>
      <c r="C862" s="4" t="n">
        <v>14</v>
      </c>
      <c r="D862" s="5" t="n">
        <v>7.75</v>
      </c>
      <c r="E862" s="6" t="n">
        <f aca="false">DATE(2024,8,20)</f>
        <v>45524</v>
      </c>
      <c r="F862" s="7" t="n">
        <f aca="false">C862*D862</f>
        <v>108.5</v>
      </c>
      <c r="G862" s="7" t="n">
        <f aca="false">ROUND(F862*0.2,2)</f>
        <v>21.7</v>
      </c>
      <c r="H862" s="4" t="str">
        <f aca="false">IF(F862&gt;500,"Yüksek",IF(F862&gt;100,"Orta","Düşük"))</f>
        <v>Orta</v>
      </c>
    </row>
    <row r="863" customFormat="false" ht="12.8" hidden="false" customHeight="false" outlineLevel="0" collapsed="false">
      <c r="A863" s="4" t="s">
        <v>10</v>
      </c>
      <c r="B863" s="4" t="s">
        <v>11</v>
      </c>
      <c r="C863" s="4" t="n">
        <v>21</v>
      </c>
      <c r="D863" s="5" t="n">
        <v>10.5</v>
      </c>
      <c r="E863" s="6" t="n">
        <f aca="false">DATE(2024,9,21)</f>
        <v>45556</v>
      </c>
      <c r="F863" s="7" t="n">
        <f aca="false">C863*D863</f>
        <v>220.5</v>
      </c>
      <c r="G863" s="7" t="n">
        <f aca="false">ROUND(F863*0.2,2)</f>
        <v>44.1</v>
      </c>
      <c r="H863" s="4" t="str">
        <f aca="false">IF(F863&gt;500,"Yüksek",IF(F863&gt;100,"Orta","Düşük"))</f>
        <v>Orta</v>
      </c>
    </row>
    <row r="864" customFormat="false" ht="12.8" hidden="false" customHeight="false" outlineLevel="0" collapsed="false">
      <c r="A864" s="4" t="s">
        <v>12</v>
      </c>
      <c r="B864" s="4" t="s">
        <v>13</v>
      </c>
      <c r="C864" s="4" t="n">
        <v>28</v>
      </c>
      <c r="D864" s="5" t="n">
        <v>13.25</v>
      </c>
      <c r="E864" s="6" t="n">
        <f aca="false">DATE(2024,10,22)</f>
        <v>45587</v>
      </c>
      <c r="F864" s="7" t="n">
        <f aca="false">C864*D864</f>
        <v>371</v>
      </c>
      <c r="G864" s="7" t="n">
        <f aca="false">ROUND(F864*0.2,2)</f>
        <v>74.2</v>
      </c>
      <c r="H864" s="4" t="str">
        <f aca="false">IF(F864&gt;500,"Yüksek",IF(F864&gt;100,"Orta","Düşük"))</f>
        <v>Orta</v>
      </c>
    </row>
    <row r="865" customFormat="false" ht="12.8" hidden="false" customHeight="false" outlineLevel="0" collapsed="false">
      <c r="A865" s="4" t="s">
        <v>14</v>
      </c>
      <c r="B865" s="4" t="s">
        <v>15</v>
      </c>
      <c r="C865" s="4" t="n">
        <v>35</v>
      </c>
      <c r="D865" s="5" t="n">
        <v>16</v>
      </c>
      <c r="E865" s="6" t="n">
        <f aca="false">DATE(2024,11,23)</f>
        <v>45619</v>
      </c>
      <c r="F865" s="7" t="n">
        <f aca="false">C865*D865</f>
        <v>560</v>
      </c>
      <c r="G865" s="7" t="n">
        <f aca="false">ROUND(F865*0.2,2)</f>
        <v>112</v>
      </c>
      <c r="H865" s="4" t="str">
        <f aca="false">IF(F865&gt;500,"Yüksek",IF(F865&gt;100,"Orta","Düşük"))</f>
        <v>Yüksek</v>
      </c>
    </row>
    <row r="866" customFormat="false" ht="12.8" hidden="false" customHeight="false" outlineLevel="0" collapsed="false">
      <c r="A866" s="4" t="s">
        <v>16</v>
      </c>
      <c r="B866" s="4" t="s">
        <v>17</v>
      </c>
      <c r="C866" s="4" t="n">
        <v>42</v>
      </c>
      <c r="D866" s="5" t="n">
        <v>18.75</v>
      </c>
      <c r="E866" s="6" t="n">
        <f aca="false">DATE(2024,12,24)</f>
        <v>45650</v>
      </c>
      <c r="F866" s="7" t="n">
        <f aca="false">C866*D866</f>
        <v>787.5</v>
      </c>
      <c r="G866" s="7" t="n">
        <f aca="false">ROUND(F866*0.2,2)</f>
        <v>157.5</v>
      </c>
      <c r="H866" s="4" t="str">
        <f aca="false">IF(F866&gt;500,"Yüksek",IF(F866&gt;100,"Orta","Düşük"))</f>
        <v>Yüksek</v>
      </c>
    </row>
    <row r="867" customFormat="false" ht="12.8" hidden="false" customHeight="false" outlineLevel="0" collapsed="false">
      <c r="A867" s="4" t="s">
        <v>18</v>
      </c>
      <c r="B867" s="4" t="s">
        <v>19</v>
      </c>
      <c r="C867" s="4" t="n">
        <v>49</v>
      </c>
      <c r="D867" s="5" t="n">
        <v>21.5</v>
      </c>
      <c r="E867" s="6" t="n">
        <f aca="false">DATE(2024,1,25)</f>
        <v>45316</v>
      </c>
      <c r="F867" s="7" t="n">
        <f aca="false">C867*D867</f>
        <v>1053.5</v>
      </c>
      <c r="G867" s="7" t="n">
        <f aca="false">ROUND(F867*0.2,2)</f>
        <v>210.7</v>
      </c>
      <c r="H867" s="4" t="str">
        <f aca="false">IF(F867&gt;500,"Yüksek",IF(F867&gt;100,"Orta","Düşük"))</f>
        <v>Yüksek</v>
      </c>
    </row>
    <row r="868" customFormat="false" ht="12.8" hidden="false" customHeight="false" outlineLevel="0" collapsed="false">
      <c r="A868" s="4" t="s">
        <v>20</v>
      </c>
      <c r="B868" s="4" t="s">
        <v>11</v>
      </c>
      <c r="C868" s="4" t="n">
        <v>6</v>
      </c>
      <c r="D868" s="5" t="n">
        <v>24.25</v>
      </c>
      <c r="E868" s="6" t="n">
        <f aca="false">DATE(2024,2,26)</f>
        <v>45348</v>
      </c>
      <c r="F868" s="7" t="n">
        <f aca="false">C868*D868</f>
        <v>145.5</v>
      </c>
      <c r="G868" s="7" t="n">
        <f aca="false">ROUND(F868*0.2,2)</f>
        <v>29.1</v>
      </c>
      <c r="H868" s="4" t="str">
        <f aca="false">IF(F868&gt;500,"Yüksek",IF(F868&gt;100,"Orta","Düşük"))</f>
        <v>Orta</v>
      </c>
    </row>
    <row r="869" customFormat="false" ht="12.8" hidden="false" customHeight="false" outlineLevel="0" collapsed="false">
      <c r="A869" s="4" t="s">
        <v>21</v>
      </c>
      <c r="B869" s="4" t="s">
        <v>13</v>
      </c>
      <c r="C869" s="4" t="n">
        <v>13</v>
      </c>
      <c r="D869" s="5" t="n">
        <v>27</v>
      </c>
      <c r="E869" s="6" t="n">
        <f aca="false">DATE(2024,3,27)</f>
        <v>45378</v>
      </c>
      <c r="F869" s="7" t="n">
        <f aca="false">C869*D869</f>
        <v>351</v>
      </c>
      <c r="G869" s="7" t="n">
        <f aca="false">ROUND(F869*0.2,2)</f>
        <v>70.2</v>
      </c>
      <c r="H869" s="4" t="str">
        <f aca="false">IF(F869&gt;500,"Yüksek",IF(F869&gt;100,"Orta","Düşük"))</f>
        <v>Orta</v>
      </c>
    </row>
    <row r="870" customFormat="false" ht="12.8" hidden="false" customHeight="false" outlineLevel="0" collapsed="false">
      <c r="A870" s="4" t="s">
        <v>22</v>
      </c>
      <c r="B870" s="4" t="s">
        <v>15</v>
      </c>
      <c r="C870" s="4" t="n">
        <v>20</v>
      </c>
      <c r="D870" s="5" t="n">
        <v>29.75</v>
      </c>
      <c r="E870" s="6" t="n">
        <f aca="false">DATE(2024,4,28)</f>
        <v>45410</v>
      </c>
      <c r="F870" s="7" t="n">
        <f aca="false">C870*D870</f>
        <v>595</v>
      </c>
      <c r="G870" s="7" t="n">
        <f aca="false">ROUND(F870*0.2,2)</f>
        <v>119</v>
      </c>
      <c r="H870" s="4" t="str">
        <f aca="false">IF(F870&gt;500,"Yüksek",IF(F870&gt;100,"Orta","Düşük"))</f>
        <v>Yüksek</v>
      </c>
    </row>
    <row r="871" customFormat="false" ht="12.8" hidden="false" customHeight="false" outlineLevel="0" collapsed="false">
      <c r="A871" s="4" t="s">
        <v>23</v>
      </c>
      <c r="B871" s="4" t="s">
        <v>17</v>
      </c>
      <c r="C871" s="4" t="n">
        <v>27</v>
      </c>
      <c r="D871" s="5" t="n">
        <v>32.5</v>
      </c>
      <c r="E871" s="6" t="n">
        <f aca="false">DATE(2024,5,1)</f>
        <v>45413</v>
      </c>
      <c r="F871" s="7" t="n">
        <f aca="false">C871*D871</f>
        <v>877.5</v>
      </c>
      <c r="G871" s="7" t="n">
        <f aca="false">ROUND(F871*0.2,2)</f>
        <v>175.5</v>
      </c>
      <c r="H871" s="4" t="str">
        <f aca="false">IF(F871&gt;500,"Yüksek",IF(F871&gt;100,"Orta","Düşük"))</f>
        <v>Yüksek</v>
      </c>
    </row>
    <row r="872" customFormat="false" ht="12.8" hidden="false" customHeight="false" outlineLevel="0" collapsed="false">
      <c r="A872" s="4" t="s">
        <v>24</v>
      </c>
      <c r="B872" s="4" t="s">
        <v>19</v>
      </c>
      <c r="C872" s="4" t="n">
        <v>34</v>
      </c>
      <c r="D872" s="5" t="n">
        <v>35.25</v>
      </c>
      <c r="E872" s="6" t="n">
        <f aca="false">DATE(2024,6,2)</f>
        <v>45445</v>
      </c>
      <c r="F872" s="7" t="n">
        <f aca="false">C872*D872</f>
        <v>1198.5</v>
      </c>
      <c r="G872" s="7" t="n">
        <f aca="false">ROUND(F872*0.2,2)</f>
        <v>239.7</v>
      </c>
      <c r="H872" s="4" t="str">
        <f aca="false">IF(F872&gt;500,"Yüksek",IF(F872&gt;100,"Orta","Düşük"))</f>
        <v>Yüksek</v>
      </c>
    </row>
    <row r="873" customFormat="false" ht="12.8" hidden="false" customHeight="false" outlineLevel="0" collapsed="false">
      <c r="A873" s="4" t="s">
        <v>10</v>
      </c>
      <c r="B873" s="4" t="s">
        <v>11</v>
      </c>
      <c r="C873" s="4" t="n">
        <v>41</v>
      </c>
      <c r="D873" s="5" t="n">
        <v>38</v>
      </c>
      <c r="E873" s="6" t="n">
        <f aca="false">DATE(2024,7,3)</f>
        <v>45476</v>
      </c>
      <c r="F873" s="7" t="n">
        <f aca="false">C873*D873</f>
        <v>1558</v>
      </c>
      <c r="G873" s="7" t="n">
        <f aca="false">ROUND(F873*0.2,2)</f>
        <v>311.6</v>
      </c>
      <c r="H873" s="4" t="str">
        <f aca="false">IF(F873&gt;500,"Yüksek",IF(F873&gt;100,"Orta","Düşük"))</f>
        <v>Yüksek</v>
      </c>
    </row>
    <row r="874" customFormat="false" ht="12.8" hidden="false" customHeight="false" outlineLevel="0" collapsed="false">
      <c r="A874" s="4" t="s">
        <v>12</v>
      </c>
      <c r="B874" s="4" t="s">
        <v>13</v>
      </c>
      <c r="C874" s="4" t="n">
        <v>48</v>
      </c>
      <c r="D874" s="5" t="n">
        <v>5</v>
      </c>
      <c r="E874" s="6" t="n">
        <f aca="false">DATE(2024,8,4)</f>
        <v>45508</v>
      </c>
      <c r="F874" s="7" t="n">
        <f aca="false">C874*D874</f>
        <v>240</v>
      </c>
      <c r="G874" s="7" t="n">
        <f aca="false">ROUND(F874*0.2,2)</f>
        <v>48</v>
      </c>
      <c r="H874" s="4" t="str">
        <f aca="false">IF(F874&gt;500,"Yüksek",IF(F874&gt;100,"Orta","Düşük"))</f>
        <v>Orta</v>
      </c>
    </row>
    <row r="875" customFormat="false" ht="12.8" hidden="false" customHeight="false" outlineLevel="0" collapsed="false">
      <c r="A875" s="4" t="s">
        <v>14</v>
      </c>
      <c r="B875" s="4" t="s">
        <v>15</v>
      </c>
      <c r="C875" s="4" t="n">
        <v>5</v>
      </c>
      <c r="D875" s="5" t="n">
        <v>7.75</v>
      </c>
      <c r="E875" s="6" t="n">
        <f aca="false">DATE(2024,9,5)</f>
        <v>45540</v>
      </c>
      <c r="F875" s="7" t="n">
        <f aca="false">C875*D875</f>
        <v>38.75</v>
      </c>
      <c r="G875" s="7" t="n">
        <f aca="false">ROUND(F875*0.2,2)</f>
        <v>7.75</v>
      </c>
      <c r="H875" s="4" t="str">
        <f aca="false">IF(F875&gt;500,"Yüksek",IF(F875&gt;100,"Orta","Düşük"))</f>
        <v>Düşük</v>
      </c>
    </row>
    <row r="876" customFormat="false" ht="12.8" hidden="false" customHeight="false" outlineLevel="0" collapsed="false">
      <c r="A876" s="4" t="s">
        <v>16</v>
      </c>
      <c r="B876" s="4" t="s">
        <v>17</v>
      </c>
      <c r="C876" s="4" t="n">
        <v>12</v>
      </c>
      <c r="D876" s="5" t="n">
        <v>10.5</v>
      </c>
      <c r="E876" s="6" t="n">
        <f aca="false">DATE(2024,10,6)</f>
        <v>45571</v>
      </c>
      <c r="F876" s="7" t="n">
        <f aca="false">C876*D876</f>
        <v>126</v>
      </c>
      <c r="G876" s="7" t="n">
        <f aca="false">ROUND(F876*0.2,2)</f>
        <v>25.2</v>
      </c>
      <c r="H876" s="4" t="str">
        <f aca="false">IF(F876&gt;500,"Yüksek",IF(F876&gt;100,"Orta","Düşük"))</f>
        <v>Orta</v>
      </c>
    </row>
    <row r="877" customFormat="false" ht="12.8" hidden="false" customHeight="false" outlineLevel="0" collapsed="false">
      <c r="A877" s="4" t="s">
        <v>18</v>
      </c>
      <c r="B877" s="4" t="s">
        <v>19</v>
      </c>
      <c r="C877" s="4" t="n">
        <v>19</v>
      </c>
      <c r="D877" s="5" t="n">
        <v>13.25</v>
      </c>
      <c r="E877" s="6" t="n">
        <f aca="false">DATE(2024,11,7)</f>
        <v>45603</v>
      </c>
      <c r="F877" s="7" t="n">
        <f aca="false">C877*D877</f>
        <v>251.75</v>
      </c>
      <c r="G877" s="7" t="n">
        <f aca="false">ROUND(F877*0.2,2)</f>
        <v>50.35</v>
      </c>
      <c r="H877" s="4" t="str">
        <f aca="false">IF(F877&gt;500,"Yüksek",IF(F877&gt;100,"Orta","Düşük"))</f>
        <v>Orta</v>
      </c>
    </row>
    <row r="878" customFormat="false" ht="12.8" hidden="false" customHeight="false" outlineLevel="0" collapsed="false">
      <c r="A878" s="4" t="s">
        <v>20</v>
      </c>
      <c r="B878" s="4" t="s">
        <v>11</v>
      </c>
      <c r="C878" s="4" t="n">
        <v>26</v>
      </c>
      <c r="D878" s="5" t="n">
        <v>16</v>
      </c>
      <c r="E878" s="6" t="n">
        <f aca="false">DATE(2024,12,8)</f>
        <v>45634</v>
      </c>
      <c r="F878" s="7" t="n">
        <f aca="false">C878*D878</f>
        <v>416</v>
      </c>
      <c r="G878" s="7" t="n">
        <f aca="false">ROUND(F878*0.2,2)</f>
        <v>83.2</v>
      </c>
      <c r="H878" s="4" t="str">
        <f aca="false">IF(F878&gt;500,"Yüksek",IF(F878&gt;100,"Orta","Düşük"))</f>
        <v>Orta</v>
      </c>
    </row>
    <row r="879" customFormat="false" ht="12.8" hidden="false" customHeight="false" outlineLevel="0" collapsed="false">
      <c r="A879" s="4" t="s">
        <v>21</v>
      </c>
      <c r="B879" s="4" t="s">
        <v>13</v>
      </c>
      <c r="C879" s="4" t="n">
        <v>33</v>
      </c>
      <c r="D879" s="5" t="n">
        <v>18.75</v>
      </c>
      <c r="E879" s="6" t="n">
        <f aca="false">DATE(2024,1,9)</f>
        <v>45300</v>
      </c>
      <c r="F879" s="7" t="n">
        <f aca="false">C879*D879</f>
        <v>618.75</v>
      </c>
      <c r="G879" s="7" t="n">
        <f aca="false">ROUND(F879*0.2,2)</f>
        <v>123.75</v>
      </c>
      <c r="H879" s="4" t="str">
        <f aca="false">IF(F879&gt;500,"Yüksek",IF(F879&gt;100,"Orta","Düşük"))</f>
        <v>Yüksek</v>
      </c>
    </row>
    <row r="880" customFormat="false" ht="12.8" hidden="false" customHeight="false" outlineLevel="0" collapsed="false">
      <c r="A880" s="4" t="s">
        <v>22</v>
      </c>
      <c r="B880" s="4" t="s">
        <v>15</v>
      </c>
      <c r="C880" s="4" t="n">
        <v>40</v>
      </c>
      <c r="D880" s="5" t="n">
        <v>21.5</v>
      </c>
      <c r="E880" s="6" t="n">
        <f aca="false">DATE(2024,2,10)</f>
        <v>45332</v>
      </c>
      <c r="F880" s="7" t="n">
        <f aca="false">C880*D880</f>
        <v>860</v>
      </c>
      <c r="G880" s="7" t="n">
        <f aca="false">ROUND(F880*0.2,2)</f>
        <v>172</v>
      </c>
      <c r="H880" s="4" t="str">
        <f aca="false">IF(F880&gt;500,"Yüksek",IF(F880&gt;100,"Orta","Düşük"))</f>
        <v>Yüksek</v>
      </c>
    </row>
    <row r="881" customFormat="false" ht="12.8" hidden="false" customHeight="false" outlineLevel="0" collapsed="false">
      <c r="A881" s="4" t="s">
        <v>23</v>
      </c>
      <c r="B881" s="4" t="s">
        <v>17</v>
      </c>
      <c r="C881" s="4" t="n">
        <v>47</v>
      </c>
      <c r="D881" s="5" t="n">
        <v>24.25</v>
      </c>
      <c r="E881" s="6" t="n">
        <f aca="false">DATE(2024,3,11)</f>
        <v>45362</v>
      </c>
      <c r="F881" s="7" t="n">
        <f aca="false">C881*D881</f>
        <v>1139.75</v>
      </c>
      <c r="G881" s="7" t="n">
        <f aca="false">ROUND(F881*0.2,2)</f>
        <v>227.95</v>
      </c>
      <c r="H881" s="4" t="str">
        <f aca="false">IF(F881&gt;500,"Yüksek",IF(F881&gt;100,"Orta","Düşük"))</f>
        <v>Yüksek</v>
      </c>
    </row>
    <row r="882" customFormat="false" ht="12.8" hidden="false" customHeight="false" outlineLevel="0" collapsed="false">
      <c r="A882" s="4" t="s">
        <v>24</v>
      </c>
      <c r="B882" s="4" t="s">
        <v>19</v>
      </c>
      <c r="C882" s="4" t="n">
        <v>4</v>
      </c>
      <c r="D882" s="5" t="n">
        <v>27</v>
      </c>
      <c r="E882" s="6" t="n">
        <f aca="false">DATE(2024,4,12)</f>
        <v>45394</v>
      </c>
      <c r="F882" s="7" t="n">
        <f aca="false">C882*D882</f>
        <v>108</v>
      </c>
      <c r="G882" s="7" t="n">
        <f aca="false">ROUND(F882*0.2,2)</f>
        <v>21.6</v>
      </c>
      <c r="H882" s="4" t="str">
        <f aca="false">IF(F882&gt;500,"Yüksek",IF(F882&gt;100,"Orta","Düşük"))</f>
        <v>Orta</v>
      </c>
    </row>
    <row r="883" customFormat="false" ht="12.8" hidden="false" customHeight="false" outlineLevel="0" collapsed="false">
      <c r="A883" s="4" t="s">
        <v>10</v>
      </c>
      <c r="B883" s="4" t="s">
        <v>11</v>
      </c>
      <c r="C883" s="4" t="n">
        <v>11</v>
      </c>
      <c r="D883" s="5" t="n">
        <v>29.75</v>
      </c>
      <c r="E883" s="6" t="n">
        <f aca="false">DATE(2024,5,13)</f>
        <v>45425</v>
      </c>
      <c r="F883" s="7" t="n">
        <f aca="false">C883*D883</f>
        <v>327.25</v>
      </c>
      <c r="G883" s="7" t="n">
        <f aca="false">ROUND(F883*0.2,2)</f>
        <v>65.45</v>
      </c>
      <c r="H883" s="4" t="str">
        <f aca="false">IF(F883&gt;500,"Yüksek",IF(F883&gt;100,"Orta","Düşük"))</f>
        <v>Orta</v>
      </c>
    </row>
    <row r="884" customFormat="false" ht="12.8" hidden="false" customHeight="false" outlineLevel="0" collapsed="false">
      <c r="A884" s="4" t="s">
        <v>12</v>
      </c>
      <c r="B884" s="4" t="s">
        <v>13</v>
      </c>
      <c r="C884" s="4" t="n">
        <v>18</v>
      </c>
      <c r="D884" s="5" t="n">
        <v>32.5</v>
      </c>
      <c r="E884" s="6" t="n">
        <f aca="false">DATE(2024,6,14)</f>
        <v>45457</v>
      </c>
      <c r="F884" s="7" t="n">
        <f aca="false">C884*D884</f>
        <v>585</v>
      </c>
      <c r="G884" s="7" t="n">
        <f aca="false">ROUND(F884*0.2,2)</f>
        <v>117</v>
      </c>
      <c r="H884" s="4" t="str">
        <f aca="false">IF(F884&gt;500,"Yüksek",IF(F884&gt;100,"Orta","Düşük"))</f>
        <v>Yüksek</v>
      </c>
    </row>
    <row r="885" customFormat="false" ht="12.8" hidden="false" customHeight="false" outlineLevel="0" collapsed="false">
      <c r="A885" s="4" t="s">
        <v>14</v>
      </c>
      <c r="B885" s="4" t="s">
        <v>15</v>
      </c>
      <c r="C885" s="4" t="n">
        <v>25</v>
      </c>
      <c r="D885" s="5" t="n">
        <v>35.25</v>
      </c>
      <c r="E885" s="6" t="n">
        <f aca="false">DATE(2024,7,15)</f>
        <v>45488</v>
      </c>
      <c r="F885" s="7" t="n">
        <f aca="false">C885*D885</f>
        <v>881.25</v>
      </c>
      <c r="G885" s="7" t="n">
        <f aca="false">ROUND(F885*0.2,2)</f>
        <v>176.25</v>
      </c>
      <c r="H885" s="4" t="str">
        <f aca="false">IF(F885&gt;500,"Yüksek",IF(F885&gt;100,"Orta","Düşük"))</f>
        <v>Yüksek</v>
      </c>
    </row>
    <row r="886" customFormat="false" ht="12.8" hidden="false" customHeight="false" outlineLevel="0" collapsed="false">
      <c r="A886" s="4" t="s">
        <v>16</v>
      </c>
      <c r="B886" s="4" t="s">
        <v>17</v>
      </c>
      <c r="C886" s="4" t="n">
        <v>32</v>
      </c>
      <c r="D886" s="5" t="n">
        <v>38</v>
      </c>
      <c r="E886" s="6" t="n">
        <f aca="false">DATE(2024,8,16)</f>
        <v>45520</v>
      </c>
      <c r="F886" s="7" t="n">
        <f aca="false">C886*D886</f>
        <v>1216</v>
      </c>
      <c r="G886" s="7" t="n">
        <f aca="false">ROUND(F886*0.2,2)</f>
        <v>243.2</v>
      </c>
      <c r="H886" s="4" t="str">
        <f aca="false">IF(F886&gt;500,"Yüksek",IF(F886&gt;100,"Orta","Düşük"))</f>
        <v>Yüksek</v>
      </c>
    </row>
    <row r="887" customFormat="false" ht="12.8" hidden="false" customHeight="false" outlineLevel="0" collapsed="false">
      <c r="A887" s="4" t="s">
        <v>18</v>
      </c>
      <c r="B887" s="4" t="s">
        <v>19</v>
      </c>
      <c r="C887" s="4" t="n">
        <v>39</v>
      </c>
      <c r="D887" s="5" t="n">
        <v>5</v>
      </c>
      <c r="E887" s="6" t="n">
        <f aca="false">DATE(2024,9,17)</f>
        <v>45552</v>
      </c>
      <c r="F887" s="7" t="n">
        <f aca="false">C887*D887</f>
        <v>195</v>
      </c>
      <c r="G887" s="7" t="n">
        <f aca="false">ROUND(F887*0.2,2)</f>
        <v>39</v>
      </c>
      <c r="H887" s="4" t="str">
        <f aca="false">IF(F887&gt;500,"Yüksek",IF(F887&gt;100,"Orta","Düşük"))</f>
        <v>Orta</v>
      </c>
    </row>
    <row r="888" customFormat="false" ht="12.8" hidden="false" customHeight="false" outlineLevel="0" collapsed="false">
      <c r="A888" s="4" t="s">
        <v>20</v>
      </c>
      <c r="B888" s="4" t="s">
        <v>11</v>
      </c>
      <c r="C888" s="4" t="n">
        <v>46</v>
      </c>
      <c r="D888" s="5" t="n">
        <v>7.75</v>
      </c>
      <c r="E888" s="6" t="n">
        <f aca="false">DATE(2024,10,18)</f>
        <v>45583</v>
      </c>
      <c r="F888" s="7" t="n">
        <f aca="false">C888*D888</f>
        <v>356.5</v>
      </c>
      <c r="G888" s="7" t="n">
        <f aca="false">ROUND(F888*0.2,2)</f>
        <v>71.3</v>
      </c>
      <c r="H888" s="4" t="str">
        <f aca="false">IF(F888&gt;500,"Yüksek",IF(F888&gt;100,"Orta","Düşük"))</f>
        <v>Orta</v>
      </c>
    </row>
    <row r="889" customFormat="false" ht="12.8" hidden="false" customHeight="false" outlineLevel="0" collapsed="false">
      <c r="A889" s="4" t="s">
        <v>21</v>
      </c>
      <c r="B889" s="4" t="s">
        <v>13</v>
      </c>
      <c r="C889" s="4" t="n">
        <v>3</v>
      </c>
      <c r="D889" s="5" t="n">
        <v>10.5</v>
      </c>
      <c r="E889" s="6" t="n">
        <f aca="false">DATE(2024,11,19)</f>
        <v>45615</v>
      </c>
      <c r="F889" s="7" t="n">
        <f aca="false">C889*D889</f>
        <v>31.5</v>
      </c>
      <c r="G889" s="7" t="n">
        <f aca="false">ROUND(F889*0.2,2)</f>
        <v>6.3</v>
      </c>
      <c r="H889" s="4" t="str">
        <f aca="false">IF(F889&gt;500,"Yüksek",IF(F889&gt;100,"Orta","Düşük"))</f>
        <v>Düşük</v>
      </c>
    </row>
    <row r="890" customFormat="false" ht="12.8" hidden="false" customHeight="false" outlineLevel="0" collapsed="false">
      <c r="A890" s="4" t="s">
        <v>22</v>
      </c>
      <c r="B890" s="4" t="s">
        <v>15</v>
      </c>
      <c r="C890" s="4" t="n">
        <v>10</v>
      </c>
      <c r="D890" s="5" t="n">
        <v>13.25</v>
      </c>
      <c r="E890" s="6" t="n">
        <f aca="false">DATE(2024,12,20)</f>
        <v>45646</v>
      </c>
      <c r="F890" s="7" t="n">
        <f aca="false">C890*D890</f>
        <v>132.5</v>
      </c>
      <c r="G890" s="7" t="n">
        <f aca="false">ROUND(F890*0.2,2)</f>
        <v>26.5</v>
      </c>
      <c r="H890" s="4" t="str">
        <f aca="false">IF(F890&gt;500,"Yüksek",IF(F890&gt;100,"Orta","Düşük"))</f>
        <v>Orta</v>
      </c>
    </row>
    <row r="891" customFormat="false" ht="12.8" hidden="false" customHeight="false" outlineLevel="0" collapsed="false">
      <c r="A891" s="4" t="s">
        <v>23</v>
      </c>
      <c r="B891" s="4" t="s">
        <v>17</v>
      </c>
      <c r="C891" s="4" t="n">
        <v>17</v>
      </c>
      <c r="D891" s="5" t="n">
        <v>16</v>
      </c>
      <c r="E891" s="6" t="n">
        <f aca="false">DATE(2024,1,21)</f>
        <v>45312</v>
      </c>
      <c r="F891" s="7" t="n">
        <f aca="false">C891*D891</f>
        <v>272</v>
      </c>
      <c r="G891" s="7" t="n">
        <f aca="false">ROUND(F891*0.2,2)</f>
        <v>54.4</v>
      </c>
      <c r="H891" s="4" t="str">
        <f aca="false">IF(F891&gt;500,"Yüksek",IF(F891&gt;100,"Orta","Düşük"))</f>
        <v>Orta</v>
      </c>
    </row>
    <row r="892" customFormat="false" ht="12.8" hidden="false" customHeight="false" outlineLevel="0" collapsed="false">
      <c r="A892" s="4" t="s">
        <v>24</v>
      </c>
      <c r="B892" s="4" t="s">
        <v>19</v>
      </c>
      <c r="C892" s="4" t="n">
        <v>24</v>
      </c>
      <c r="D892" s="5" t="n">
        <v>18.75</v>
      </c>
      <c r="E892" s="6" t="n">
        <f aca="false">DATE(2024,2,22)</f>
        <v>45344</v>
      </c>
      <c r="F892" s="7" t="n">
        <f aca="false">C892*D892</f>
        <v>450</v>
      </c>
      <c r="G892" s="7" t="n">
        <f aca="false">ROUND(F892*0.2,2)</f>
        <v>90</v>
      </c>
      <c r="H892" s="4" t="str">
        <f aca="false">IF(F892&gt;500,"Yüksek",IF(F892&gt;100,"Orta","Düşük"))</f>
        <v>Orta</v>
      </c>
    </row>
    <row r="893" customFormat="false" ht="12.8" hidden="false" customHeight="false" outlineLevel="0" collapsed="false">
      <c r="A893" s="4" t="s">
        <v>10</v>
      </c>
      <c r="B893" s="4" t="s">
        <v>11</v>
      </c>
      <c r="C893" s="4" t="n">
        <v>31</v>
      </c>
      <c r="D893" s="5" t="n">
        <v>21.5</v>
      </c>
      <c r="E893" s="6" t="n">
        <f aca="false">DATE(2024,3,23)</f>
        <v>45374</v>
      </c>
      <c r="F893" s="7" t="n">
        <f aca="false">C893*D893</f>
        <v>666.5</v>
      </c>
      <c r="G893" s="7" t="n">
        <f aca="false">ROUND(F893*0.2,2)</f>
        <v>133.3</v>
      </c>
      <c r="H893" s="4" t="str">
        <f aca="false">IF(F893&gt;500,"Yüksek",IF(F893&gt;100,"Orta","Düşük"))</f>
        <v>Yüksek</v>
      </c>
    </row>
    <row r="894" customFormat="false" ht="12.8" hidden="false" customHeight="false" outlineLevel="0" collapsed="false">
      <c r="A894" s="4" t="s">
        <v>12</v>
      </c>
      <c r="B894" s="4" t="s">
        <v>13</v>
      </c>
      <c r="C894" s="4" t="n">
        <v>38</v>
      </c>
      <c r="D894" s="5" t="n">
        <v>24.25</v>
      </c>
      <c r="E894" s="6" t="n">
        <f aca="false">DATE(2024,4,24)</f>
        <v>45406</v>
      </c>
      <c r="F894" s="7" t="n">
        <f aca="false">C894*D894</f>
        <v>921.5</v>
      </c>
      <c r="G894" s="7" t="n">
        <f aca="false">ROUND(F894*0.2,2)</f>
        <v>184.3</v>
      </c>
      <c r="H894" s="4" t="str">
        <f aca="false">IF(F894&gt;500,"Yüksek",IF(F894&gt;100,"Orta","Düşük"))</f>
        <v>Yüksek</v>
      </c>
    </row>
    <row r="895" customFormat="false" ht="12.8" hidden="false" customHeight="false" outlineLevel="0" collapsed="false">
      <c r="A895" s="4" t="s">
        <v>14</v>
      </c>
      <c r="B895" s="4" t="s">
        <v>15</v>
      </c>
      <c r="C895" s="4" t="n">
        <v>45</v>
      </c>
      <c r="D895" s="5" t="n">
        <v>27</v>
      </c>
      <c r="E895" s="6" t="n">
        <f aca="false">DATE(2024,5,25)</f>
        <v>45437</v>
      </c>
      <c r="F895" s="7" t="n">
        <f aca="false">C895*D895</f>
        <v>1215</v>
      </c>
      <c r="G895" s="7" t="n">
        <f aca="false">ROUND(F895*0.2,2)</f>
        <v>243</v>
      </c>
      <c r="H895" s="4" t="str">
        <f aca="false">IF(F895&gt;500,"Yüksek",IF(F895&gt;100,"Orta","Düşük"))</f>
        <v>Yüksek</v>
      </c>
    </row>
    <row r="896" customFormat="false" ht="12.8" hidden="false" customHeight="false" outlineLevel="0" collapsed="false">
      <c r="A896" s="4" t="s">
        <v>16</v>
      </c>
      <c r="B896" s="4" t="s">
        <v>17</v>
      </c>
      <c r="C896" s="4" t="n">
        <v>2</v>
      </c>
      <c r="D896" s="5" t="n">
        <v>29.75</v>
      </c>
      <c r="E896" s="6" t="n">
        <f aca="false">DATE(2024,6,26)</f>
        <v>45469</v>
      </c>
      <c r="F896" s="7" t="n">
        <f aca="false">C896*D896</f>
        <v>59.5</v>
      </c>
      <c r="G896" s="7" t="n">
        <f aca="false">ROUND(F896*0.2,2)</f>
        <v>11.9</v>
      </c>
      <c r="H896" s="4" t="str">
        <f aca="false">IF(F896&gt;500,"Yüksek",IF(F896&gt;100,"Orta","Düşük"))</f>
        <v>Düşük</v>
      </c>
    </row>
    <row r="897" customFormat="false" ht="12.8" hidden="false" customHeight="false" outlineLevel="0" collapsed="false">
      <c r="A897" s="4" t="s">
        <v>18</v>
      </c>
      <c r="B897" s="4" t="s">
        <v>19</v>
      </c>
      <c r="C897" s="4" t="n">
        <v>9</v>
      </c>
      <c r="D897" s="5" t="n">
        <v>32.5</v>
      </c>
      <c r="E897" s="6" t="n">
        <f aca="false">DATE(2024,7,27)</f>
        <v>45500</v>
      </c>
      <c r="F897" s="7" t="n">
        <f aca="false">C897*D897</f>
        <v>292.5</v>
      </c>
      <c r="G897" s="7" t="n">
        <f aca="false">ROUND(F897*0.2,2)</f>
        <v>58.5</v>
      </c>
      <c r="H897" s="4" t="str">
        <f aca="false">IF(F897&gt;500,"Yüksek",IF(F897&gt;100,"Orta","Düşük"))</f>
        <v>Orta</v>
      </c>
    </row>
    <row r="898" customFormat="false" ht="12.8" hidden="false" customHeight="false" outlineLevel="0" collapsed="false">
      <c r="A898" s="4" t="s">
        <v>20</v>
      </c>
      <c r="B898" s="4" t="s">
        <v>11</v>
      </c>
      <c r="C898" s="4" t="n">
        <v>16</v>
      </c>
      <c r="D898" s="5" t="n">
        <v>35.25</v>
      </c>
      <c r="E898" s="6" t="n">
        <f aca="false">DATE(2024,8,28)</f>
        <v>45532</v>
      </c>
      <c r="F898" s="7" t="n">
        <f aca="false">C898*D898</f>
        <v>564</v>
      </c>
      <c r="G898" s="7" t="n">
        <f aca="false">ROUND(F898*0.2,2)</f>
        <v>112.8</v>
      </c>
      <c r="H898" s="4" t="str">
        <f aca="false">IF(F898&gt;500,"Yüksek",IF(F898&gt;100,"Orta","Düşük"))</f>
        <v>Yüksek</v>
      </c>
    </row>
    <row r="899" customFormat="false" ht="12.8" hidden="false" customHeight="false" outlineLevel="0" collapsed="false">
      <c r="A899" s="4" t="s">
        <v>21</v>
      </c>
      <c r="B899" s="4" t="s">
        <v>13</v>
      </c>
      <c r="C899" s="4" t="n">
        <v>23</v>
      </c>
      <c r="D899" s="5" t="n">
        <v>38</v>
      </c>
      <c r="E899" s="6" t="n">
        <f aca="false">DATE(2024,9,1)</f>
        <v>45536</v>
      </c>
      <c r="F899" s="7" t="n">
        <f aca="false">C899*D899</f>
        <v>874</v>
      </c>
      <c r="G899" s="7" t="n">
        <f aca="false">ROUND(F899*0.2,2)</f>
        <v>174.8</v>
      </c>
      <c r="H899" s="4" t="str">
        <f aca="false">IF(F899&gt;500,"Yüksek",IF(F899&gt;100,"Orta","Düşük"))</f>
        <v>Yüksek</v>
      </c>
    </row>
    <row r="900" customFormat="false" ht="12.8" hidden="false" customHeight="false" outlineLevel="0" collapsed="false">
      <c r="A900" s="4" t="s">
        <v>22</v>
      </c>
      <c r="B900" s="4" t="s">
        <v>15</v>
      </c>
      <c r="C900" s="4" t="n">
        <v>30</v>
      </c>
      <c r="D900" s="5" t="n">
        <v>5</v>
      </c>
      <c r="E900" s="6" t="n">
        <f aca="false">DATE(2024,10,2)</f>
        <v>45567</v>
      </c>
      <c r="F900" s="7" t="n">
        <f aca="false">C900*D900</f>
        <v>150</v>
      </c>
      <c r="G900" s="7" t="n">
        <f aca="false">ROUND(F900*0.2,2)</f>
        <v>30</v>
      </c>
      <c r="H900" s="4" t="str">
        <f aca="false">IF(F900&gt;500,"Yüksek",IF(F900&gt;100,"Orta","Düşük"))</f>
        <v>Orta</v>
      </c>
    </row>
    <row r="901" customFormat="false" ht="12.8" hidden="false" customHeight="false" outlineLevel="0" collapsed="false">
      <c r="A901" s="4" t="s">
        <v>23</v>
      </c>
      <c r="B901" s="4" t="s">
        <v>17</v>
      </c>
      <c r="C901" s="4" t="n">
        <v>37</v>
      </c>
      <c r="D901" s="5" t="n">
        <v>7.75</v>
      </c>
      <c r="E901" s="6" t="n">
        <f aca="false">DATE(2024,11,3)</f>
        <v>45599</v>
      </c>
      <c r="F901" s="7" t="n">
        <f aca="false">C901*D901</f>
        <v>286.75</v>
      </c>
      <c r="G901" s="7" t="n">
        <f aca="false">ROUND(F901*0.2,2)</f>
        <v>57.35</v>
      </c>
      <c r="H901" s="4" t="str">
        <f aca="false">IF(F901&gt;500,"Yüksek",IF(F901&gt;100,"Orta","Düşük"))</f>
        <v>Orta</v>
      </c>
    </row>
    <row r="902" customFormat="false" ht="12.8" hidden="false" customHeight="false" outlineLevel="0" collapsed="false">
      <c r="A902" s="4" t="s">
        <v>24</v>
      </c>
      <c r="B902" s="4" t="s">
        <v>19</v>
      </c>
      <c r="C902" s="4" t="n">
        <v>44</v>
      </c>
      <c r="D902" s="5" t="n">
        <v>10.5</v>
      </c>
      <c r="E902" s="6" t="n">
        <f aca="false">DATE(2024,12,4)</f>
        <v>45630</v>
      </c>
      <c r="F902" s="7" t="n">
        <f aca="false">C902*D902</f>
        <v>462</v>
      </c>
      <c r="G902" s="7" t="n">
        <f aca="false">ROUND(F902*0.2,2)</f>
        <v>92.4</v>
      </c>
      <c r="H902" s="4" t="str">
        <f aca="false">IF(F902&gt;500,"Yüksek",IF(F902&gt;100,"Orta","Düşük"))</f>
        <v>Orta</v>
      </c>
    </row>
    <row r="903" customFormat="false" ht="12.8" hidden="false" customHeight="false" outlineLevel="0" collapsed="false">
      <c r="A903" s="4" t="s">
        <v>10</v>
      </c>
      <c r="B903" s="4" t="s">
        <v>11</v>
      </c>
      <c r="C903" s="4" t="n">
        <v>1</v>
      </c>
      <c r="D903" s="5" t="n">
        <v>13.25</v>
      </c>
      <c r="E903" s="6" t="n">
        <f aca="false">DATE(2024,1,5)</f>
        <v>45296</v>
      </c>
      <c r="F903" s="7" t="n">
        <f aca="false">C903*D903</f>
        <v>13.25</v>
      </c>
      <c r="G903" s="7" t="n">
        <f aca="false">ROUND(F903*0.2,2)</f>
        <v>2.65</v>
      </c>
      <c r="H903" s="4" t="str">
        <f aca="false">IF(F903&gt;500,"Yüksek",IF(F903&gt;100,"Orta","Düşük"))</f>
        <v>Düşük</v>
      </c>
    </row>
    <row r="904" customFormat="false" ht="12.8" hidden="false" customHeight="false" outlineLevel="0" collapsed="false">
      <c r="A904" s="4" t="s">
        <v>12</v>
      </c>
      <c r="B904" s="4" t="s">
        <v>13</v>
      </c>
      <c r="C904" s="4" t="n">
        <v>8</v>
      </c>
      <c r="D904" s="5" t="n">
        <v>16</v>
      </c>
      <c r="E904" s="6" t="n">
        <f aca="false">DATE(2024,2,6)</f>
        <v>45328</v>
      </c>
      <c r="F904" s="7" t="n">
        <f aca="false">C904*D904</f>
        <v>128</v>
      </c>
      <c r="G904" s="7" t="n">
        <f aca="false">ROUND(F904*0.2,2)</f>
        <v>25.6</v>
      </c>
      <c r="H904" s="4" t="str">
        <f aca="false">IF(F904&gt;500,"Yüksek",IF(F904&gt;100,"Orta","Düşük"))</f>
        <v>Orta</v>
      </c>
    </row>
    <row r="905" customFormat="false" ht="12.8" hidden="false" customHeight="false" outlineLevel="0" collapsed="false">
      <c r="A905" s="4" t="s">
        <v>14</v>
      </c>
      <c r="B905" s="4" t="s">
        <v>15</v>
      </c>
      <c r="C905" s="4" t="n">
        <v>15</v>
      </c>
      <c r="D905" s="5" t="n">
        <v>18.75</v>
      </c>
      <c r="E905" s="6" t="n">
        <f aca="false">DATE(2024,3,7)</f>
        <v>45358</v>
      </c>
      <c r="F905" s="7" t="n">
        <f aca="false">C905*D905</f>
        <v>281.25</v>
      </c>
      <c r="G905" s="7" t="n">
        <f aca="false">ROUND(F905*0.2,2)</f>
        <v>56.25</v>
      </c>
      <c r="H905" s="4" t="str">
        <f aca="false">IF(F905&gt;500,"Yüksek",IF(F905&gt;100,"Orta","Düşük"))</f>
        <v>Orta</v>
      </c>
    </row>
    <row r="906" customFormat="false" ht="12.8" hidden="false" customHeight="false" outlineLevel="0" collapsed="false">
      <c r="A906" s="4" t="s">
        <v>16</v>
      </c>
      <c r="B906" s="4" t="s">
        <v>17</v>
      </c>
      <c r="C906" s="4" t="n">
        <v>22</v>
      </c>
      <c r="D906" s="5" t="n">
        <v>21.5</v>
      </c>
      <c r="E906" s="6" t="n">
        <f aca="false">DATE(2024,4,8)</f>
        <v>45390</v>
      </c>
      <c r="F906" s="7" t="n">
        <f aca="false">C906*D906</f>
        <v>473</v>
      </c>
      <c r="G906" s="7" t="n">
        <f aca="false">ROUND(F906*0.2,2)</f>
        <v>94.6</v>
      </c>
      <c r="H906" s="4" t="str">
        <f aca="false">IF(F906&gt;500,"Yüksek",IF(F906&gt;100,"Orta","Düşük"))</f>
        <v>Orta</v>
      </c>
    </row>
    <row r="907" customFormat="false" ht="12.8" hidden="false" customHeight="false" outlineLevel="0" collapsed="false">
      <c r="A907" s="4" t="s">
        <v>18</v>
      </c>
      <c r="B907" s="4" t="s">
        <v>19</v>
      </c>
      <c r="C907" s="4" t="n">
        <v>29</v>
      </c>
      <c r="D907" s="5" t="n">
        <v>24.25</v>
      </c>
      <c r="E907" s="6" t="n">
        <f aca="false">DATE(2024,5,9)</f>
        <v>45421</v>
      </c>
      <c r="F907" s="7" t="n">
        <f aca="false">C907*D907</f>
        <v>703.25</v>
      </c>
      <c r="G907" s="7" t="n">
        <f aca="false">ROUND(F907*0.2,2)</f>
        <v>140.65</v>
      </c>
      <c r="H907" s="4" t="str">
        <f aca="false">IF(F907&gt;500,"Yüksek",IF(F907&gt;100,"Orta","Düşük"))</f>
        <v>Yüksek</v>
      </c>
    </row>
    <row r="908" customFormat="false" ht="12.8" hidden="false" customHeight="false" outlineLevel="0" collapsed="false">
      <c r="A908" s="4" t="s">
        <v>20</v>
      </c>
      <c r="B908" s="4" t="s">
        <v>11</v>
      </c>
      <c r="C908" s="4" t="n">
        <v>36</v>
      </c>
      <c r="D908" s="5" t="n">
        <v>27</v>
      </c>
      <c r="E908" s="6" t="n">
        <f aca="false">DATE(2024,6,10)</f>
        <v>45453</v>
      </c>
      <c r="F908" s="7" t="n">
        <f aca="false">C908*D908</f>
        <v>972</v>
      </c>
      <c r="G908" s="7" t="n">
        <f aca="false">ROUND(F908*0.2,2)</f>
        <v>194.4</v>
      </c>
      <c r="H908" s="4" t="str">
        <f aca="false">IF(F908&gt;500,"Yüksek",IF(F908&gt;100,"Orta","Düşük"))</f>
        <v>Yüksek</v>
      </c>
    </row>
    <row r="909" customFormat="false" ht="12.8" hidden="false" customHeight="false" outlineLevel="0" collapsed="false">
      <c r="A909" s="4" t="s">
        <v>21</v>
      </c>
      <c r="B909" s="4" t="s">
        <v>13</v>
      </c>
      <c r="C909" s="4" t="n">
        <v>43</v>
      </c>
      <c r="D909" s="5" t="n">
        <v>29.75</v>
      </c>
      <c r="E909" s="6" t="n">
        <f aca="false">DATE(2024,7,11)</f>
        <v>45484</v>
      </c>
      <c r="F909" s="7" t="n">
        <f aca="false">C909*D909</f>
        <v>1279.25</v>
      </c>
      <c r="G909" s="7" t="n">
        <f aca="false">ROUND(F909*0.2,2)</f>
        <v>255.85</v>
      </c>
      <c r="H909" s="4" t="str">
        <f aca="false">IF(F909&gt;500,"Yüksek",IF(F909&gt;100,"Orta","Düşük"))</f>
        <v>Yüksek</v>
      </c>
    </row>
    <row r="910" customFormat="false" ht="12.8" hidden="false" customHeight="false" outlineLevel="0" collapsed="false">
      <c r="A910" s="4" t="s">
        <v>22</v>
      </c>
      <c r="B910" s="4" t="s">
        <v>15</v>
      </c>
      <c r="C910" s="4" t="n">
        <v>50</v>
      </c>
      <c r="D910" s="5" t="n">
        <v>32.5</v>
      </c>
      <c r="E910" s="6" t="n">
        <f aca="false">DATE(2024,8,12)</f>
        <v>45516</v>
      </c>
      <c r="F910" s="7" t="n">
        <f aca="false">C910*D910</f>
        <v>1625</v>
      </c>
      <c r="G910" s="7" t="n">
        <f aca="false">ROUND(F910*0.2,2)</f>
        <v>325</v>
      </c>
      <c r="H910" s="4" t="str">
        <f aca="false">IF(F910&gt;500,"Yüksek",IF(F910&gt;100,"Orta","Düşük"))</f>
        <v>Yüksek</v>
      </c>
    </row>
    <row r="911" customFormat="false" ht="12.8" hidden="false" customHeight="false" outlineLevel="0" collapsed="false">
      <c r="A911" s="4" t="s">
        <v>23</v>
      </c>
      <c r="B911" s="4" t="s">
        <v>17</v>
      </c>
      <c r="C911" s="4" t="n">
        <v>7</v>
      </c>
      <c r="D911" s="5" t="n">
        <v>35.25</v>
      </c>
      <c r="E911" s="6" t="n">
        <f aca="false">DATE(2024,9,13)</f>
        <v>45548</v>
      </c>
      <c r="F911" s="7" t="n">
        <f aca="false">C911*D911</f>
        <v>246.75</v>
      </c>
      <c r="G911" s="7" t="n">
        <f aca="false">ROUND(F911*0.2,2)</f>
        <v>49.35</v>
      </c>
      <c r="H911" s="4" t="str">
        <f aca="false">IF(F911&gt;500,"Yüksek",IF(F911&gt;100,"Orta","Düşük"))</f>
        <v>Orta</v>
      </c>
    </row>
    <row r="912" customFormat="false" ht="12.8" hidden="false" customHeight="false" outlineLevel="0" collapsed="false">
      <c r="A912" s="4" t="s">
        <v>24</v>
      </c>
      <c r="B912" s="4" t="s">
        <v>19</v>
      </c>
      <c r="C912" s="4" t="n">
        <v>14</v>
      </c>
      <c r="D912" s="5" t="n">
        <v>38</v>
      </c>
      <c r="E912" s="6" t="n">
        <f aca="false">DATE(2024,10,14)</f>
        <v>45579</v>
      </c>
      <c r="F912" s="7" t="n">
        <f aca="false">C912*D912</f>
        <v>532</v>
      </c>
      <c r="G912" s="7" t="n">
        <f aca="false">ROUND(F912*0.2,2)</f>
        <v>106.4</v>
      </c>
      <c r="H912" s="4" t="str">
        <f aca="false">IF(F912&gt;500,"Yüksek",IF(F912&gt;100,"Orta","Düşük"))</f>
        <v>Yüksek</v>
      </c>
    </row>
    <row r="913" customFormat="false" ht="12.8" hidden="false" customHeight="false" outlineLevel="0" collapsed="false">
      <c r="A913" s="4" t="s">
        <v>10</v>
      </c>
      <c r="B913" s="4" t="s">
        <v>11</v>
      </c>
      <c r="C913" s="4" t="n">
        <v>21</v>
      </c>
      <c r="D913" s="5" t="n">
        <v>5</v>
      </c>
      <c r="E913" s="6" t="n">
        <f aca="false">DATE(2024,11,15)</f>
        <v>45611</v>
      </c>
      <c r="F913" s="7" t="n">
        <f aca="false">C913*D913</f>
        <v>105</v>
      </c>
      <c r="G913" s="7" t="n">
        <f aca="false">ROUND(F913*0.2,2)</f>
        <v>21</v>
      </c>
      <c r="H913" s="4" t="str">
        <f aca="false">IF(F913&gt;500,"Yüksek",IF(F913&gt;100,"Orta","Düşük"))</f>
        <v>Orta</v>
      </c>
    </row>
    <row r="914" customFormat="false" ht="12.8" hidden="false" customHeight="false" outlineLevel="0" collapsed="false">
      <c r="A914" s="4" t="s">
        <v>12</v>
      </c>
      <c r="B914" s="4" t="s">
        <v>13</v>
      </c>
      <c r="C914" s="4" t="n">
        <v>28</v>
      </c>
      <c r="D914" s="5" t="n">
        <v>7.75</v>
      </c>
      <c r="E914" s="6" t="n">
        <f aca="false">DATE(2024,12,16)</f>
        <v>45642</v>
      </c>
      <c r="F914" s="7" t="n">
        <f aca="false">C914*D914</f>
        <v>217</v>
      </c>
      <c r="G914" s="7" t="n">
        <f aca="false">ROUND(F914*0.2,2)</f>
        <v>43.4</v>
      </c>
      <c r="H914" s="4" t="str">
        <f aca="false">IF(F914&gt;500,"Yüksek",IF(F914&gt;100,"Orta","Düşük"))</f>
        <v>Orta</v>
      </c>
    </row>
    <row r="915" customFormat="false" ht="12.8" hidden="false" customHeight="false" outlineLevel="0" collapsed="false">
      <c r="A915" s="4" t="s">
        <v>14</v>
      </c>
      <c r="B915" s="4" t="s">
        <v>15</v>
      </c>
      <c r="C915" s="4" t="n">
        <v>35</v>
      </c>
      <c r="D915" s="5" t="n">
        <v>10.5</v>
      </c>
      <c r="E915" s="6" t="n">
        <f aca="false">DATE(2024,1,17)</f>
        <v>45308</v>
      </c>
      <c r="F915" s="7" t="n">
        <f aca="false">C915*D915</f>
        <v>367.5</v>
      </c>
      <c r="G915" s="7" t="n">
        <f aca="false">ROUND(F915*0.2,2)</f>
        <v>73.5</v>
      </c>
      <c r="H915" s="4" t="str">
        <f aca="false">IF(F915&gt;500,"Yüksek",IF(F915&gt;100,"Orta","Düşük"))</f>
        <v>Orta</v>
      </c>
    </row>
    <row r="916" customFormat="false" ht="12.8" hidden="false" customHeight="false" outlineLevel="0" collapsed="false">
      <c r="A916" s="4" t="s">
        <v>16</v>
      </c>
      <c r="B916" s="4" t="s">
        <v>17</v>
      </c>
      <c r="C916" s="4" t="n">
        <v>42</v>
      </c>
      <c r="D916" s="5" t="n">
        <v>13.25</v>
      </c>
      <c r="E916" s="6" t="n">
        <f aca="false">DATE(2024,2,18)</f>
        <v>45340</v>
      </c>
      <c r="F916" s="7" t="n">
        <f aca="false">C916*D916</f>
        <v>556.5</v>
      </c>
      <c r="G916" s="7" t="n">
        <f aca="false">ROUND(F916*0.2,2)</f>
        <v>111.3</v>
      </c>
      <c r="H916" s="4" t="str">
        <f aca="false">IF(F916&gt;500,"Yüksek",IF(F916&gt;100,"Orta","Düşük"))</f>
        <v>Yüksek</v>
      </c>
    </row>
    <row r="917" customFormat="false" ht="12.8" hidden="false" customHeight="false" outlineLevel="0" collapsed="false">
      <c r="A917" s="4" t="s">
        <v>18</v>
      </c>
      <c r="B917" s="4" t="s">
        <v>19</v>
      </c>
      <c r="C917" s="4" t="n">
        <v>49</v>
      </c>
      <c r="D917" s="5" t="n">
        <v>16</v>
      </c>
      <c r="E917" s="6" t="n">
        <f aca="false">DATE(2024,3,19)</f>
        <v>45370</v>
      </c>
      <c r="F917" s="7" t="n">
        <f aca="false">C917*D917</f>
        <v>784</v>
      </c>
      <c r="G917" s="7" t="n">
        <f aca="false">ROUND(F917*0.2,2)</f>
        <v>156.8</v>
      </c>
      <c r="H917" s="4" t="str">
        <f aca="false">IF(F917&gt;500,"Yüksek",IF(F917&gt;100,"Orta","Düşük"))</f>
        <v>Yüksek</v>
      </c>
    </row>
    <row r="918" customFormat="false" ht="12.8" hidden="false" customHeight="false" outlineLevel="0" collapsed="false">
      <c r="A918" s="4" t="s">
        <v>20</v>
      </c>
      <c r="B918" s="4" t="s">
        <v>11</v>
      </c>
      <c r="C918" s="4" t="n">
        <v>6</v>
      </c>
      <c r="D918" s="5" t="n">
        <v>18.75</v>
      </c>
      <c r="E918" s="6" t="n">
        <f aca="false">DATE(2024,4,20)</f>
        <v>45402</v>
      </c>
      <c r="F918" s="7" t="n">
        <f aca="false">C918*D918</f>
        <v>112.5</v>
      </c>
      <c r="G918" s="7" t="n">
        <f aca="false">ROUND(F918*0.2,2)</f>
        <v>22.5</v>
      </c>
      <c r="H918" s="4" t="str">
        <f aca="false">IF(F918&gt;500,"Yüksek",IF(F918&gt;100,"Orta","Düşük"))</f>
        <v>Orta</v>
      </c>
    </row>
    <row r="919" customFormat="false" ht="12.8" hidden="false" customHeight="false" outlineLevel="0" collapsed="false">
      <c r="A919" s="4" t="s">
        <v>21</v>
      </c>
      <c r="B919" s="4" t="s">
        <v>13</v>
      </c>
      <c r="C919" s="4" t="n">
        <v>13</v>
      </c>
      <c r="D919" s="5" t="n">
        <v>21.5</v>
      </c>
      <c r="E919" s="6" t="n">
        <f aca="false">DATE(2024,5,21)</f>
        <v>45433</v>
      </c>
      <c r="F919" s="7" t="n">
        <f aca="false">C919*D919</f>
        <v>279.5</v>
      </c>
      <c r="G919" s="7" t="n">
        <f aca="false">ROUND(F919*0.2,2)</f>
        <v>55.9</v>
      </c>
      <c r="H919" s="4" t="str">
        <f aca="false">IF(F919&gt;500,"Yüksek",IF(F919&gt;100,"Orta","Düşük"))</f>
        <v>Orta</v>
      </c>
    </row>
    <row r="920" customFormat="false" ht="12.8" hidden="false" customHeight="false" outlineLevel="0" collapsed="false">
      <c r="A920" s="4" t="s">
        <v>22</v>
      </c>
      <c r="B920" s="4" t="s">
        <v>15</v>
      </c>
      <c r="C920" s="4" t="n">
        <v>20</v>
      </c>
      <c r="D920" s="5" t="n">
        <v>24.25</v>
      </c>
      <c r="E920" s="6" t="n">
        <f aca="false">DATE(2024,6,22)</f>
        <v>45465</v>
      </c>
      <c r="F920" s="7" t="n">
        <f aca="false">C920*D920</f>
        <v>485</v>
      </c>
      <c r="G920" s="7" t="n">
        <f aca="false">ROUND(F920*0.2,2)</f>
        <v>97</v>
      </c>
      <c r="H920" s="4" t="str">
        <f aca="false">IF(F920&gt;500,"Yüksek",IF(F920&gt;100,"Orta","Düşük"))</f>
        <v>Orta</v>
      </c>
    </row>
    <row r="921" customFormat="false" ht="12.8" hidden="false" customHeight="false" outlineLevel="0" collapsed="false">
      <c r="A921" s="4" t="s">
        <v>23</v>
      </c>
      <c r="B921" s="4" t="s">
        <v>17</v>
      </c>
      <c r="C921" s="4" t="n">
        <v>27</v>
      </c>
      <c r="D921" s="5" t="n">
        <v>27</v>
      </c>
      <c r="E921" s="6" t="n">
        <f aca="false">DATE(2024,7,23)</f>
        <v>45496</v>
      </c>
      <c r="F921" s="7" t="n">
        <f aca="false">C921*D921</f>
        <v>729</v>
      </c>
      <c r="G921" s="7" t="n">
        <f aca="false">ROUND(F921*0.2,2)</f>
        <v>145.8</v>
      </c>
      <c r="H921" s="4" t="str">
        <f aca="false">IF(F921&gt;500,"Yüksek",IF(F921&gt;100,"Orta","Düşük"))</f>
        <v>Yüksek</v>
      </c>
    </row>
    <row r="922" customFormat="false" ht="12.8" hidden="false" customHeight="false" outlineLevel="0" collapsed="false">
      <c r="A922" s="4" t="s">
        <v>24</v>
      </c>
      <c r="B922" s="4" t="s">
        <v>19</v>
      </c>
      <c r="C922" s="4" t="n">
        <v>34</v>
      </c>
      <c r="D922" s="5" t="n">
        <v>29.75</v>
      </c>
      <c r="E922" s="6" t="n">
        <f aca="false">DATE(2024,8,24)</f>
        <v>45528</v>
      </c>
      <c r="F922" s="7" t="n">
        <f aca="false">C922*D922</f>
        <v>1011.5</v>
      </c>
      <c r="G922" s="7" t="n">
        <f aca="false">ROUND(F922*0.2,2)</f>
        <v>202.3</v>
      </c>
      <c r="H922" s="4" t="str">
        <f aca="false">IF(F922&gt;500,"Yüksek",IF(F922&gt;100,"Orta","Düşük"))</f>
        <v>Yüksek</v>
      </c>
    </row>
    <row r="923" customFormat="false" ht="12.8" hidden="false" customHeight="false" outlineLevel="0" collapsed="false">
      <c r="A923" s="4" t="s">
        <v>10</v>
      </c>
      <c r="B923" s="4" t="s">
        <v>11</v>
      </c>
      <c r="C923" s="4" t="n">
        <v>41</v>
      </c>
      <c r="D923" s="5" t="n">
        <v>32.5</v>
      </c>
      <c r="E923" s="6" t="n">
        <f aca="false">DATE(2024,9,25)</f>
        <v>45560</v>
      </c>
      <c r="F923" s="7" t="n">
        <f aca="false">C923*D923</f>
        <v>1332.5</v>
      </c>
      <c r="G923" s="7" t="n">
        <f aca="false">ROUND(F923*0.2,2)</f>
        <v>266.5</v>
      </c>
      <c r="H923" s="4" t="str">
        <f aca="false">IF(F923&gt;500,"Yüksek",IF(F923&gt;100,"Orta","Düşük"))</f>
        <v>Yüksek</v>
      </c>
    </row>
    <row r="924" customFormat="false" ht="12.8" hidden="false" customHeight="false" outlineLevel="0" collapsed="false">
      <c r="A924" s="4" t="s">
        <v>12</v>
      </c>
      <c r="B924" s="4" t="s">
        <v>13</v>
      </c>
      <c r="C924" s="4" t="n">
        <v>48</v>
      </c>
      <c r="D924" s="5" t="n">
        <v>35.25</v>
      </c>
      <c r="E924" s="6" t="n">
        <f aca="false">DATE(2024,10,26)</f>
        <v>45591</v>
      </c>
      <c r="F924" s="7" t="n">
        <f aca="false">C924*D924</f>
        <v>1692</v>
      </c>
      <c r="G924" s="7" t="n">
        <f aca="false">ROUND(F924*0.2,2)</f>
        <v>338.4</v>
      </c>
      <c r="H924" s="4" t="str">
        <f aca="false">IF(F924&gt;500,"Yüksek",IF(F924&gt;100,"Orta","Düşük"))</f>
        <v>Yüksek</v>
      </c>
    </row>
    <row r="925" customFormat="false" ht="12.8" hidden="false" customHeight="false" outlineLevel="0" collapsed="false">
      <c r="A925" s="4" t="s">
        <v>14</v>
      </c>
      <c r="B925" s="4" t="s">
        <v>15</v>
      </c>
      <c r="C925" s="4" t="n">
        <v>5</v>
      </c>
      <c r="D925" s="5" t="n">
        <v>38</v>
      </c>
      <c r="E925" s="6" t="n">
        <f aca="false">DATE(2024,11,27)</f>
        <v>45623</v>
      </c>
      <c r="F925" s="7" t="n">
        <f aca="false">C925*D925</f>
        <v>190</v>
      </c>
      <c r="G925" s="7" t="n">
        <f aca="false">ROUND(F925*0.2,2)</f>
        <v>38</v>
      </c>
      <c r="H925" s="4" t="str">
        <f aca="false">IF(F925&gt;500,"Yüksek",IF(F925&gt;100,"Orta","Düşük"))</f>
        <v>Orta</v>
      </c>
    </row>
    <row r="926" customFormat="false" ht="12.8" hidden="false" customHeight="false" outlineLevel="0" collapsed="false">
      <c r="A926" s="4" t="s">
        <v>16</v>
      </c>
      <c r="B926" s="4" t="s">
        <v>17</v>
      </c>
      <c r="C926" s="4" t="n">
        <v>12</v>
      </c>
      <c r="D926" s="5" t="n">
        <v>5</v>
      </c>
      <c r="E926" s="6" t="n">
        <f aca="false">DATE(2024,12,28)</f>
        <v>45654</v>
      </c>
      <c r="F926" s="7" t="n">
        <f aca="false">C926*D926</f>
        <v>60</v>
      </c>
      <c r="G926" s="7" t="n">
        <f aca="false">ROUND(F926*0.2,2)</f>
        <v>12</v>
      </c>
      <c r="H926" s="4" t="str">
        <f aca="false">IF(F926&gt;500,"Yüksek",IF(F926&gt;100,"Orta","Düşük"))</f>
        <v>Düşük</v>
      </c>
    </row>
    <row r="927" customFormat="false" ht="12.8" hidden="false" customHeight="false" outlineLevel="0" collapsed="false">
      <c r="A927" s="4" t="s">
        <v>18</v>
      </c>
      <c r="B927" s="4" t="s">
        <v>19</v>
      </c>
      <c r="C927" s="4" t="n">
        <v>19</v>
      </c>
      <c r="D927" s="5" t="n">
        <v>7.75</v>
      </c>
      <c r="E927" s="6" t="n">
        <f aca="false">DATE(2024,1,1)</f>
        <v>45292</v>
      </c>
      <c r="F927" s="7" t="n">
        <f aca="false">C927*D927</f>
        <v>147.25</v>
      </c>
      <c r="G927" s="7" t="n">
        <f aca="false">ROUND(F927*0.2,2)</f>
        <v>29.45</v>
      </c>
      <c r="H927" s="4" t="str">
        <f aca="false">IF(F927&gt;500,"Yüksek",IF(F927&gt;100,"Orta","Düşük"))</f>
        <v>Orta</v>
      </c>
    </row>
    <row r="928" customFormat="false" ht="12.8" hidden="false" customHeight="false" outlineLevel="0" collapsed="false">
      <c r="A928" s="4" t="s">
        <v>20</v>
      </c>
      <c r="B928" s="4" t="s">
        <v>11</v>
      </c>
      <c r="C928" s="4" t="n">
        <v>26</v>
      </c>
      <c r="D928" s="5" t="n">
        <v>10.5</v>
      </c>
      <c r="E928" s="6" t="n">
        <f aca="false">DATE(2024,2,2)</f>
        <v>45324</v>
      </c>
      <c r="F928" s="7" t="n">
        <f aca="false">C928*D928</f>
        <v>273</v>
      </c>
      <c r="G928" s="7" t="n">
        <f aca="false">ROUND(F928*0.2,2)</f>
        <v>54.6</v>
      </c>
      <c r="H928" s="4" t="str">
        <f aca="false">IF(F928&gt;500,"Yüksek",IF(F928&gt;100,"Orta","Düşük"))</f>
        <v>Orta</v>
      </c>
    </row>
    <row r="929" customFormat="false" ht="12.8" hidden="false" customHeight="false" outlineLevel="0" collapsed="false">
      <c r="A929" s="4" t="s">
        <v>21</v>
      </c>
      <c r="B929" s="4" t="s">
        <v>13</v>
      </c>
      <c r="C929" s="4" t="n">
        <v>33</v>
      </c>
      <c r="D929" s="5" t="n">
        <v>13.25</v>
      </c>
      <c r="E929" s="6" t="n">
        <f aca="false">DATE(2024,3,3)</f>
        <v>45354</v>
      </c>
      <c r="F929" s="7" t="n">
        <f aca="false">C929*D929</f>
        <v>437.25</v>
      </c>
      <c r="G929" s="7" t="n">
        <f aca="false">ROUND(F929*0.2,2)</f>
        <v>87.45</v>
      </c>
      <c r="H929" s="4" t="str">
        <f aca="false">IF(F929&gt;500,"Yüksek",IF(F929&gt;100,"Orta","Düşük"))</f>
        <v>Orta</v>
      </c>
    </row>
    <row r="930" customFormat="false" ht="12.8" hidden="false" customHeight="false" outlineLevel="0" collapsed="false">
      <c r="A930" s="4" t="s">
        <v>22</v>
      </c>
      <c r="B930" s="4" t="s">
        <v>15</v>
      </c>
      <c r="C930" s="4" t="n">
        <v>40</v>
      </c>
      <c r="D930" s="5" t="n">
        <v>16</v>
      </c>
      <c r="E930" s="6" t="n">
        <f aca="false">DATE(2024,4,4)</f>
        <v>45386</v>
      </c>
      <c r="F930" s="7" t="n">
        <f aca="false">C930*D930</f>
        <v>640</v>
      </c>
      <c r="G930" s="7" t="n">
        <f aca="false">ROUND(F930*0.2,2)</f>
        <v>128</v>
      </c>
      <c r="H930" s="4" t="str">
        <f aca="false">IF(F930&gt;500,"Yüksek",IF(F930&gt;100,"Orta","Düşük"))</f>
        <v>Yüksek</v>
      </c>
    </row>
    <row r="931" customFormat="false" ht="12.8" hidden="false" customHeight="false" outlineLevel="0" collapsed="false">
      <c r="A931" s="4" t="s">
        <v>23</v>
      </c>
      <c r="B931" s="4" t="s">
        <v>17</v>
      </c>
      <c r="C931" s="4" t="n">
        <v>47</v>
      </c>
      <c r="D931" s="5" t="n">
        <v>18.75</v>
      </c>
      <c r="E931" s="6" t="n">
        <f aca="false">DATE(2024,5,5)</f>
        <v>45417</v>
      </c>
      <c r="F931" s="7" t="n">
        <f aca="false">C931*D931</f>
        <v>881.25</v>
      </c>
      <c r="G931" s="7" t="n">
        <f aca="false">ROUND(F931*0.2,2)</f>
        <v>176.25</v>
      </c>
      <c r="H931" s="4" t="str">
        <f aca="false">IF(F931&gt;500,"Yüksek",IF(F931&gt;100,"Orta","Düşük"))</f>
        <v>Yüksek</v>
      </c>
    </row>
    <row r="932" customFormat="false" ht="12.8" hidden="false" customHeight="false" outlineLevel="0" collapsed="false">
      <c r="A932" s="4" t="s">
        <v>24</v>
      </c>
      <c r="B932" s="4" t="s">
        <v>19</v>
      </c>
      <c r="C932" s="4" t="n">
        <v>4</v>
      </c>
      <c r="D932" s="5" t="n">
        <v>21.5</v>
      </c>
      <c r="E932" s="6" t="n">
        <f aca="false">DATE(2024,6,6)</f>
        <v>45449</v>
      </c>
      <c r="F932" s="7" t="n">
        <f aca="false">C932*D932</f>
        <v>86</v>
      </c>
      <c r="G932" s="7" t="n">
        <f aca="false">ROUND(F932*0.2,2)</f>
        <v>17.2</v>
      </c>
      <c r="H932" s="4" t="str">
        <f aca="false">IF(F932&gt;500,"Yüksek",IF(F932&gt;100,"Orta","Düşük"))</f>
        <v>Düşük</v>
      </c>
    </row>
    <row r="933" customFormat="false" ht="12.8" hidden="false" customHeight="false" outlineLevel="0" collapsed="false">
      <c r="A933" s="4" t="s">
        <v>10</v>
      </c>
      <c r="B933" s="4" t="s">
        <v>11</v>
      </c>
      <c r="C933" s="4" t="n">
        <v>11</v>
      </c>
      <c r="D933" s="5" t="n">
        <v>24.25</v>
      </c>
      <c r="E933" s="6" t="n">
        <f aca="false">DATE(2024,7,7)</f>
        <v>45480</v>
      </c>
      <c r="F933" s="7" t="n">
        <f aca="false">C933*D933</f>
        <v>266.75</v>
      </c>
      <c r="G933" s="7" t="n">
        <f aca="false">ROUND(F933*0.2,2)</f>
        <v>53.35</v>
      </c>
      <c r="H933" s="4" t="str">
        <f aca="false">IF(F933&gt;500,"Yüksek",IF(F933&gt;100,"Orta","Düşük"))</f>
        <v>Orta</v>
      </c>
    </row>
    <row r="934" customFormat="false" ht="12.8" hidden="false" customHeight="false" outlineLevel="0" collapsed="false">
      <c r="A934" s="4" t="s">
        <v>12</v>
      </c>
      <c r="B934" s="4" t="s">
        <v>13</v>
      </c>
      <c r="C934" s="4" t="n">
        <v>18</v>
      </c>
      <c r="D934" s="5" t="n">
        <v>27</v>
      </c>
      <c r="E934" s="6" t="n">
        <f aca="false">DATE(2024,8,8)</f>
        <v>45512</v>
      </c>
      <c r="F934" s="7" t="n">
        <f aca="false">C934*D934</f>
        <v>486</v>
      </c>
      <c r="G934" s="7" t="n">
        <f aca="false">ROUND(F934*0.2,2)</f>
        <v>97.2</v>
      </c>
      <c r="H934" s="4" t="str">
        <f aca="false">IF(F934&gt;500,"Yüksek",IF(F934&gt;100,"Orta","Düşük"))</f>
        <v>Orta</v>
      </c>
    </row>
    <row r="935" customFormat="false" ht="12.8" hidden="false" customHeight="false" outlineLevel="0" collapsed="false">
      <c r="A935" s="4" t="s">
        <v>14</v>
      </c>
      <c r="B935" s="4" t="s">
        <v>15</v>
      </c>
      <c r="C935" s="4" t="n">
        <v>25</v>
      </c>
      <c r="D935" s="5" t="n">
        <v>29.75</v>
      </c>
      <c r="E935" s="6" t="n">
        <f aca="false">DATE(2024,9,9)</f>
        <v>45544</v>
      </c>
      <c r="F935" s="7" t="n">
        <f aca="false">C935*D935</f>
        <v>743.75</v>
      </c>
      <c r="G935" s="7" t="n">
        <f aca="false">ROUND(F935*0.2,2)</f>
        <v>148.75</v>
      </c>
      <c r="H935" s="4" t="str">
        <f aca="false">IF(F935&gt;500,"Yüksek",IF(F935&gt;100,"Orta","Düşük"))</f>
        <v>Yüksek</v>
      </c>
    </row>
    <row r="936" customFormat="false" ht="12.8" hidden="false" customHeight="false" outlineLevel="0" collapsed="false">
      <c r="A936" s="4" t="s">
        <v>16</v>
      </c>
      <c r="B936" s="4" t="s">
        <v>17</v>
      </c>
      <c r="C936" s="4" t="n">
        <v>32</v>
      </c>
      <c r="D936" s="5" t="n">
        <v>32.5</v>
      </c>
      <c r="E936" s="6" t="n">
        <f aca="false">DATE(2024,10,10)</f>
        <v>45575</v>
      </c>
      <c r="F936" s="7" t="n">
        <f aca="false">C936*D936</f>
        <v>1040</v>
      </c>
      <c r="G936" s="7" t="n">
        <f aca="false">ROUND(F936*0.2,2)</f>
        <v>208</v>
      </c>
      <c r="H936" s="4" t="str">
        <f aca="false">IF(F936&gt;500,"Yüksek",IF(F936&gt;100,"Orta","Düşük"))</f>
        <v>Yüksek</v>
      </c>
    </row>
    <row r="937" customFormat="false" ht="12.8" hidden="false" customHeight="false" outlineLevel="0" collapsed="false">
      <c r="A937" s="4" t="s">
        <v>18</v>
      </c>
      <c r="B937" s="4" t="s">
        <v>19</v>
      </c>
      <c r="C937" s="4" t="n">
        <v>39</v>
      </c>
      <c r="D937" s="5" t="n">
        <v>35.25</v>
      </c>
      <c r="E937" s="6" t="n">
        <f aca="false">DATE(2024,11,11)</f>
        <v>45607</v>
      </c>
      <c r="F937" s="7" t="n">
        <f aca="false">C937*D937</f>
        <v>1374.75</v>
      </c>
      <c r="G937" s="7" t="n">
        <f aca="false">ROUND(F937*0.2,2)</f>
        <v>274.95</v>
      </c>
      <c r="H937" s="4" t="str">
        <f aca="false">IF(F937&gt;500,"Yüksek",IF(F937&gt;100,"Orta","Düşük"))</f>
        <v>Yüksek</v>
      </c>
    </row>
    <row r="938" customFormat="false" ht="12.8" hidden="false" customHeight="false" outlineLevel="0" collapsed="false">
      <c r="A938" s="4" t="s">
        <v>20</v>
      </c>
      <c r="B938" s="4" t="s">
        <v>11</v>
      </c>
      <c r="C938" s="4" t="n">
        <v>46</v>
      </c>
      <c r="D938" s="5" t="n">
        <v>38</v>
      </c>
      <c r="E938" s="6" t="n">
        <f aca="false">DATE(2024,12,12)</f>
        <v>45638</v>
      </c>
      <c r="F938" s="7" t="n">
        <f aca="false">C938*D938</f>
        <v>1748</v>
      </c>
      <c r="G938" s="7" t="n">
        <f aca="false">ROUND(F938*0.2,2)</f>
        <v>349.6</v>
      </c>
      <c r="H938" s="4" t="str">
        <f aca="false">IF(F938&gt;500,"Yüksek",IF(F938&gt;100,"Orta","Düşük"))</f>
        <v>Yüksek</v>
      </c>
    </row>
    <row r="939" customFormat="false" ht="12.8" hidden="false" customHeight="false" outlineLevel="0" collapsed="false">
      <c r="A939" s="4" t="s">
        <v>21</v>
      </c>
      <c r="B939" s="4" t="s">
        <v>13</v>
      </c>
      <c r="C939" s="4" t="n">
        <v>3</v>
      </c>
      <c r="D939" s="5" t="n">
        <v>5</v>
      </c>
      <c r="E939" s="6" t="n">
        <f aca="false">DATE(2024,1,13)</f>
        <v>45304</v>
      </c>
      <c r="F939" s="7" t="n">
        <f aca="false">C939*D939</f>
        <v>15</v>
      </c>
      <c r="G939" s="7" t="n">
        <f aca="false">ROUND(F939*0.2,2)</f>
        <v>3</v>
      </c>
      <c r="H939" s="4" t="str">
        <f aca="false">IF(F939&gt;500,"Yüksek",IF(F939&gt;100,"Orta","Düşük"))</f>
        <v>Düşük</v>
      </c>
    </row>
    <row r="940" customFormat="false" ht="12.8" hidden="false" customHeight="false" outlineLevel="0" collapsed="false">
      <c r="A940" s="4" t="s">
        <v>22</v>
      </c>
      <c r="B940" s="4" t="s">
        <v>15</v>
      </c>
      <c r="C940" s="4" t="n">
        <v>10</v>
      </c>
      <c r="D940" s="5" t="n">
        <v>7.75</v>
      </c>
      <c r="E940" s="6" t="n">
        <f aca="false">DATE(2024,2,14)</f>
        <v>45336</v>
      </c>
      <c r="F940" s="7" t="n">
        <f aca="false">C940*D940</f>
        <v>77.5</v>
      </c>
      <c r="G940" s="7" t="n">
        <f aca="false">ROUND(F940*0.2,2)</f>
        <v>15.5</v>
      </c>
      <c r="H940" s="4" t="str">
        <f aca="false">IF(F940&gt;500,"Yüksek",IF(F940&gt;100,"Orta","Düşük"))</f>
        <v>Düşük</v>
      </c>
    </row>
    <row r="941" customFormat="false" ht="12.8" hidden="false" customHeight="false" outlineLevel="0" collapsed="false">
      <c r="A941" s="4" t="s">
        <v>23</v>
      </c>
      <c r="B941" s="4" t="s">
        <v>17</v>
      </c>
      <c r="C941" s="4" t="n">
        <v>17</v>
      </c>
      <c r="D941" s="5" t="n">
        <v>10.5</v>
      </c>
      <c r="E941" s="6" t="n">
        <f aca="false">DATE(2024,3,15)</f>
        <v>45366</v>
      </c>
      <c r="F941" s="7" t="n">
        <f aca="false">C941*D941</f>
        <v>178.5</v>
      </c>
      <c r="G941" s="7" t="n">
        <f aca="false">ROUND(F941*0.2,2)</f>
        <v>35.7</v>
      </c>
      <c r="H941" s="4" t="str">
        <f aca="false">IF(F941&gt;500,"Yüksek",IF(F941&gt;100,"Orta","Düşük"))</f>
        <v>Orta</v>
      </c>
    </row>
    <row r="942" customFormat="false" ht="12.8" hidden="false" customHeight="false" outlineLevel="0" collapsed="false">
      <c r="A942" s="4" t="s">
        <v>24</v>
      </c>
      <c r="B942" s="4" t="s">
        <v>19</v>
      </c>
      <c r="C942" s="4" t="n">
        <v>24</v>
      </c>
      <c r="D942" s="5" t="n">
        <v>13.25</v>
      </c>
      <c r="E942" s="6" t="n">
        <f aca="false">DATE(2024,4,16)</f>
        <v>45398</v>
      </c>
      <c r="F942" s="7" t="n">
        <f aca="false">C942*D942</f>
        <v>318</v>
      </c>
      <c r="G942" s="7" t="n">
        <f aca="false">ROUND(F942*0.2,2)</f>
        <v>63.6</v>
      </c>
      <c r="H942" s="4" t="str">
        <f aca="false">IF(F942&gt;500,"Yüksek",IF(F942&gt;100,"Orta","Düşük"))</f>
        <v>Orta</v>
      </c>
    </row>
    <row r="943" customFormat="false" ht="12.8" hidden="false" customHeight="false" outlineLevel="0" collapsed="false">
      <c r="A943" s="4" t="s">
        <v>10</v>
      </c>
      <c r="B943" s="4" t="s">
        <v>11</v>
      </c>
      <c r="C943" s="4" t="n">
        <v>31</v>
      </c>
      <c r="D943" s="5" t="n">
        <v>16</v>
      </c>
      <c r="E943" s="6" t="n">
        <f aca="false">DATE(2024,5,17)</f>
        <v>45429</v>
      </c>
      <c r="F943" s="7" t="n">
        <f aca="false">C943*D943</f>
        <v>496</v>
      </c>
      <c r="G943" s="7" t="n">
        <f aca="false">ROUND(F943*0.2,2)</f>
        <v>99.2</v>
      </c>
      <c r="H943" s="4" t="str">
        <f aca="false">IF(F943&gt;500,"Yüksek",IF(F943&gt;100,"Orta","Düşük"))</f>
        <v>Orta</v>
      </c>
    </row>
    <row r="944" customFormat="false" ht="12.8" hidden="false" customHeight="false" outlineLevel="0" collapsed="false">
      <c r="A944" s="4" t="s">
        <v>12</v>
      </c>
      <c r="B944" s="4" t="s">
        <v>13</v>
      </c>
      <c r="C944" s="4" t="n">
        <v>38</v>
      </c>
      <c r="D944" s="5" t="n">
        <v>18.75</v>
      </c>
      <c r="E944" s="6" t="n">
        <f aca="false">DATE(2024,6,18)</f>
        <v>45461</v>
      </c>
      <c r="F944" s="7" t="n">
        <f aca="false">C944*D944</f>
        <v>712.5</v>
      </c>
      <c r="G944" s="7" t="n">
        <f aca="false">ROUND(F944*0.2,2)</f>
        <v>142.5</v>
      </c>
      <c r="H944" s="4" t="str">
        <f aca="false">IF(F944&gt;500,"Yüksek",IF(F944&gt;100,"Orta","Düşük"))</f>
        <v>Yüksek</v>
      </c>
    </row>
    <row r="945" customFormat="false" ht="12.8" hidden="false" customHeight="false" outlineLevel="0" collapsed="false">
      <c r="A945" s="4" t="s">
        <v>14</v>
      </c>
      <c r="B945" s="4" t="s">
        <v>15</v>
      </c>
      <c r="C945" s="4" t="n">
        <v>45</v>
      </c>
      <c r="D945" s="5" t="n">
        <v>21.5</v>
      </c>
      <c r="E945" s="6" t="n">
        <f aca="false">DATE(2024,7,19)</f>
        <v>45492</v>
      </c>
      <c r="F945" s="7" t="n">
        <f aca="false">C945*D945</f>
        <v>967.5</v>
      </c>
      <c r="G945" s="7" t="n">
        <f aca="false">ROUND(F945*0.2,2)</f>
        <v>193.5</v>
      </c>
      <c r="H945" s="4" t="str">
        <f aca="false">IF(F945&gt;500,"Yüksek",IF(F945&gt;100,"Orta","Düşük"))</f>
        <v>Yüksek</v>
      </c>
    </row>
    <row r="946" customFormat="false" ht="12.8" hidden="false" customHeight="false" outlineLevel="0" collapsed="false">
      <c r="A946" s="4" t="s">
        <v>16</v>
      </c>
      <c r="B946" s="4" t="s">
        <v>17</v>
      </c>
      <c r="C946" s="4" t="n">
        <v>2</v>
      </c>
      <c r="D946" s="5" t="n">
        <v>24.25</v>
      </c>
      <c r="E946" s="6" t="n">
        <f aca="false">DATE(2024,8,20)</f>
        <v>45524</v>
      </c>
      <c r="F946" s="7" t="n">
        <f aca="false">C946*D946</f>
        <v>48.5</v>
      </c>
      <c r="G946" s="7" t="n">
        <f aca="false">ROUND(F946*0.2,2)</f>
        <v>9.7</v>
      </c>
      <c r="H946" s="4" t="str">
        <f aca="false">IF(F946&gt;500,"Yüksek",IF(F946&gt;100,"Orta","Düşük"))</f>
        <v>Düşük</v>
      </c>
    </row>
    <row r="947" customFormat="false" ht="12.8" hidden="false" customHeight="false" outlineLevel="0" collapsed="false">
      <c r="A947" s="4" t="s">
        <v>18</v>
      </c>
      <c r="B947" s="4" t="s">
        <v>19</v>
      </c>
      <c r="C947" s="4" t="n">
        <v>9</v>
      </c>
      <c r="D947" s="5" t="n">
        <v>27</v>
      </c>
      <c r="E947" s="6" t="n">
        <f aca="false">DATE(2024,9,21)</f>
        <v>45556</v>
      </c>
      <c r="F947" s="7" t="n">
        <f aca="false">C947*D947</f>
        <v>243</v>
      </c>
      <c r="G947" s="7" t="n">
        <f aca="false">ROUND(F947*0.2,2)</f>
        <v>48.6</v>
      </c>
      <c r="H947" s="4" t="str">
        <f aca="false">IF(F947&gt;500,"Yüksek",IF(F947&gt;100,"Orta","Düşük"))</f>
        <v>Orta</v>
      </c>
    </row>
    <row r="948" customFormat="false" ht="12.8" hidden="false" customHeight="false" outlineLevel="0" collapsed="false">
      <c r="A948" s="4" t="s">
        <v>20</v>
      </c>
      <c r="B948" s="4" t="s">
        <v>11</v>
      </c>
      <c r="C948" s="4" t="n">
        <v>16</v>
      </c>
      <c r="D948" s="5" t="n">
        <v>29.75</v>
      </c>
      <c r="E948" s="6" t="n">
        <f aca="false">DATE(2024,10,22)</f>
        <v>45587</v>
      </c>
      <c r="F948" s="7" t="n">
        <f aca="false">C948*D948</f>
        <v>476</v>
      </c>
      <c r="G948" s="7" t="n">
        <f aca="false">ROUND(F948*0.2,2)</f>
        <v>95.2</v>
      </c>
      <c r="H948" s="4" t="str">
        <f aca="false">IF(F948&gt;500,"Yüksek",IF(F948&gt;100,"Orta","Düşük"))</f>
        <v>Orta</v>
      </c>
    </row>
    <row r="949" customFormat="false" ht="12.8" hidden="false" customHeight="false" outlineLevel="0" collapsed="false">
      <c r="A949" s="4" t="s">
        <v>21</v>
      </c>
      <c r="B949" s="4" t="s">
        <v>13</v>
      </c>
      <c r="C949" s="4" t="n">
        <v>23</v>
      </c>
      <c r="D949" s="5" t="n">
        <v>32.5</v>
      </c>
      <c r="E949" s="6" t="n">
        <f aca="false">DATE(2024,11,23)</f>
        <v>45619</v>
      </c>
      <c r="F949" s="7" t="n">
        <f aca="false">C949*D949</f>
        <v>747.5</v>
      </c>
      <c r="G949" s="7" t="n">
        <f aca="false">ROUND(F949*0.2,2)</f>
        <v>149.5</v>
      </c>
      <c r="H949" s="4" t="str">
        <f aca="false">IF(F949&gt;500,"Yüksek",IF(F949&gt;100,"Orta","Düşük"))</f>
        <v>Yüksek</v>
      </c>
    </row>
    <row r="950" customFormat="false" ht="12.8" hidden="false" customHeight="false" outlineLevel="0" collapsed="false">
      <c r="A950" s="4" t="s">
        <v>22</v>
      </c>
      <c r="B950" s="4" t="s">
        <v>15</v>
      </c>
      <c r="C950" s="4" t="n">
        <v>30</v>
      </c>
      <c r="D950" s="5" t="n">
        <v>35.25</v>
      </c>
      <c r="E950" s="6" t="n">
        <f aca="false">DATE(2024,12,24)</f>
        <v>45650</v>
      </c>
      <c r="F950" s="7" t="n">
        <f aca="false">C950*D950</f>
        <v>1057.5</v>
      </c>
      <c r="G950" s="7" t="n">
        <f aca="false">ROUND(F950*0.2,2)</f>
        <v>211.5</v>
      </c>
      <c r="H950" s="4" t="str">
        <f aca="false">IF(F950&gt;500,"Yüksek",IF(F950&gt;100,"Orta","Düşük"))</f>
        <v>Yüksek</v>
      </c>
    </row>
    <row r="951" customFormat="false" ht="12.8" hidden="false" customHeight="false" outlineLevel="0" collapsed="false">
      <c r="A951" s="4" t="s">
        <v>23</v>
      </c>
      <c r="B951" s="4" t="s">
        <v>17</v>
      </c>
      <c r="C951" s="4" t="n">
        <v>37</v>
      </c>
      <c r="D951" s="5" t="n">
        <v>38</v>
      </c>
      <c r="E951" s="6" t="n">
        <f aca="false">DATE(2024,1,25)</f>
        <v>45316</v>
      </c>
      <c r="F951" s="7" t="n">
        <f aca="false">C951*D951</f>
        <v>1406</v>
      </c>
      <c r="G951" s="7" t="n">
        <f aca="false">ROUND(F951*0.2,2)</f>
        <v>281.2</v>
      </c>
      <c r="H951" s="4" t="str">
        <f aca="false">IF(F951&gt;500,"Yüksek",IF(F951&gt;100,"Orta","Düşük"))</f>
        <v>Yüksek</v>
      </c>
    </row>
    <row r="952" customFormat="false" ht="12.8" hidden="false" customHeight="false" outlineLevel="0" collapsed="false">
      <c r="A952" s="4" t="s">
        <v>24</v>
      </c>
      <c r="B952" s="4" t="s">
        <v>19</v>
      </c>
      <c r="C952" s="4" t="n">
        <v>44</v>
      </c>
      <c r="D952" s="5" t="n">
        <v>5</v>
      </c>
      <c r="E952" s="6" t="n">
        <f aca="false">DATE(2024,2,26)</f>
        <v>45348</v>
      </c>
      <c r="F952" s="7" t="n">
        <f aca="false">C952*D952</f>
        <v>220</v>
      </c>
      <c r="G952" s="7" t="n">
        <f aca="false">ROUND(F952*0.2,2)</f>
        <v>44</v>
      </c>
      <c r="H952" s="4" t="str">
        <f aca="false">IF(F952&gt;500,"Yüksek",IF(F952&gt;100,"Orta","Düşük"))</f>
        <v>Orta</v>
      </c>
    </row>
    <row r="953" customFormat="false" ht="12.8" hidden="false" customHeight="false" outlineLevel="0" collapsed="false">
      <c r="A953" s="4" t="s">
        <v>10</v>
      </c>
      <c r="B953" s="4" t="s">
        <v>11</v>
      </c>
      <c r="C953" s="4" t="n">
        <v>1</v>
      </c>
      <c r="D953" s="5" t="n">
        <v>7.75</v>
      </c>
      <c r="E953" s="6" t="n">
        <f aca="false">DATE(2024,3,27)</f>
        <v>45378</v>
      </c>
      <c r="F953" s="7" t="n">
        <f aca="false">C953*D953</f>
        <v>7.75</v>
      </c>
      <c r="G953" s="7" t="n">
        <f aca="false">ROUND(F953*0.2,2)</f>
        <v>1.55</v>
      </c>
      <c r="H953" s="4" t="str">
        <f aca="false">IF(F953&gt;500,"Yüksek",IF(F953&gt;100,"Orta","Düşük"))</f>
        <v>Düşük</v>
      </c>
    </row>
    <row r="954" customFormat="false" ht="12.8" hidden="false" customHeight="false" outlineLevel="0" collapsed="false">
      <c r="A954" s="4" t="s">
        <v>12</v>
      </c>
      <c r="B954" s="4" t="s">
        <v>13</v>
      </c>
      <c r="C954" s="4" t="n">
        <v>8</v>
      </c>
      <c r="D954" s="5" t="n">
        <v>10.5</v>
      </c>
      <c r="E954" s="6" t="n">
        <f aca="false">DATE(2024,4,28)</f>
        <v>45410</v>
      </c>
      <c r="F954" s="7" t="n">
        <f aca="false">C954*D954</f>
        <v>84</v>
      </c>
      <c r="G954" s="7" t="n">
        <f aca="false">ROUND(F954*0.2,2)</f>
        <v>16.8</v>
      </c>
      <c r="H954" s="4" t="str">
        <f aca="false">IF(F954&gt;500,"Yüksek",IF(F954&gt;100,"Orta","Düşük"))</f>
        <v>Düşük</v>
      </c>
    </row>
    <row r="955" customFormat="false" ht="12.8" hidden="false" customHeight="false" outlineLevel="0" collapsed="false">
      <c r="A955" s="4" t="s">
        <v>14</v>
      </c>
      <c r="B955" s="4" t="s">
        <v>15</v>
      </c>
      <c r="C955" s="4" t="n">
        <v>15</v>
      </c>
      <c r="D955" s="5" t="n">
        <v>13.25</v>
      </c>
      <c r="E955" s="6" t="n">
        <f aca="false">DATE(2024,5,1)</f>
        <v>45413</v>
      </c>
      <c r="F955" s="7" t="n">
        <f aca="false">C955*D955</f>
        <v>198.75</v>
      </c>
      <c r="G955" s="7" t="n">
        <f aca="false">ROUND(F955*0.2,2)</f>
        <v>39.75</v>
      </c>
      <c r="H955" s="4" t="str">
        <f aca="false">IF(F955&gt;500,"Yüksek",IF(F955&gt;100,"Orta","Düşük"))</f>
        <v>Orta</v>
      </c>
    </row>
    <row r="956" customFormat="false" ht="12.8" hidden="false" customHeight="false" outlineLevel="0" collapsed="false">
      <c r="A956" s="4" t="s">
        <v>16</v>
      </c>
      <c r="B956" s="4" t="s">
        <v>17</v>
      </c>
      <c r="C956" s="4" t="n">
        <v>22</v>
      </c>
      <c r="D956" s="5" t="n">
        <v>16</v>
      </c>
      <c r="E956" s="6" t="n">
        <f aca="false">DATE(2024,6,2)</f>
        <v>45445</v>
      </c>
      <c r="F956" s="7" t="n">
        <f aca="false">C956*D956</f>
        <v>352</v>
      </c>
      <c r="G956" s="7" t="n">
        <f aca="false">ROUND(F956*0.2,2)</f>
        <v>70.4</v>
      </c>
      <c r="H956" s="4" t="str">
        <f aca="false">IF(F956&gt;500,"Yüksek",IF(F956&gt;100,"Orta","Düşük"))</f>
        <v>Orta</v>
      </c>
    </row>
    <row r="957" customFormat="false" ht="12.8" hidden="false" customHeight="false" outlineLevel="0" collapsed="false">
      <c r="A957" s="4" t="s">
        <v>18</v>
      </c>
      <c r="B957" s="4" t="s">
        <v>19</v>
      </c>
      <c r="C957" s="4" t="n">
        <v>29</v>
      </c>
      <c r="D957" s="5" t="n">
        <v>18.75</v>
      </c>
      <c r="E957" s="6" t="n">
        <f aca="false">DATE(2024,7,3)</f>
        <v>45476</v>
      </c>
      <c r="F957" s="7" t="n">
        <f aca="false">C957*D957</f>
        <v>543.75</v>
      </c>
      <c r="G957" s="7" t="n">
        <f aca="false">ROUND(F957*0.2,2)</f>
        <v>108.75</v>
      </c>
      <c r="H957" s="4" t="str">
        <f aca="false">IF(F957&gt;500,"Yüksek",IF(F957&gt;100,"Orta","Düşük"))</f>
        <v>Yüksek</v>
      </c>
    </row>
    <row r="958" customFormat="false" ht="12.8" hidden="false" customHeight="false" outlineLevel="0" collapsed="false">
      <c r="A958" s="4" t="s">
        <v>20</v>
      </c>
      <c r="B958" s="4" t="s">
        <v>11</v>
      </c>
      <c r="C958" s="4" t="n">
        <v>36</v>
      </c>
      <c r="D958" s="5" t="n">
        <v>21.5</v>
      </c>
      <c r="E958" s="6" t="n">
        <f aca="false">DATE(2024,8,4)</f>
        <v>45508</v>
      </c>
      <c r="F958" s="7" t="n">
        <f aca="false">C958*D958</f>
        <v>774</v>
      </c>
      <c r="G958" s="7" t="n">
        <f aca="false">ROUND(F958*0.2,2)</f>
        <v>154.8</v>
      </c>
      <c r="H958" s="4" t="str">
        <f aca="false">IF(F958&gt;500,"Yüksek",IF(F958&gt;100,"Orta","Düşük"))</f>
        <v>Yüksek</v>
      </c>
    </row>
    <row r="959" customFormat="false" ht="12.8" hidden="false" customHeight="false" outlineLevel="0" collapsed="false">
      <c r="A959" s="4" t="s">
        <v>21</v>
      </c>
      <c r="B959" s="4" t="s">
        <v>13</v>
      </c>
      <c r="C959" s="4" t="n">
        <v>43</v>
      </c>
      <c r="D959" s="5" t="n">
        <v>24.25</v>
      </c>
      <c r="E959" s="6" t="n">
        <f aca="false">DATE(2024,9,5)</f>
        <v>45540</v>
      </c>
      <c r="F959" s="7" t="n">
        <f aca="false">C959*D959</f>
        <v>1042.75</v>
      </c>
      <c r="G959" s="7" t="n">
        <f aca="false">ROUND(F959*0.2,2)</f>
        <v>208.55</v>
      </c>
      <c r="H959" s="4" t="str">
        <f aca="false">IF(F959&gt;500,"Yüksek",IF(F959&gt;100,"Orta","Düşük"))</f>
        <v>Yüksek</v>
      </c>
    </row>
    <row r="960" customFormat="false" ht="12.8" hidden="false" customHeight="false" outlineLevel="0" collapsed="false">
      <c r="A960" s="4" t="s">
        <v>22</v>
      </c>
      <c r="B960" s="4" t="s">
        <v>15</v>
      </c>
      <c r="C960" s="4" t="n">
        <v>50</v>
      </c>
      <c r="D960" s="5" t="n">
        <v>27</v>
      </c>
      <c r="E960" s="6" t="n">
        <f aca="false">DATE(2024,10,6)</f>
        <v>45571</v>
      </c>
      <c r="F960" s="7" t="n">
        <f aca="false">C960*D960</f>
        <v>1350</v>
      </c>
      <c r="G960" s="7" t="n">
        <f aca="false">ROUND(F960*0.2,2)</f>
        <v>270</v>
      </c>
      <c r="H960" s="4" t="str">
        <f aca="false">IF(F960&gt;500,"Yüksek",IF(F960&gt;100,"Orta","Düşük"))</f>
        <v>Yüksek</v>
      </c>
    </row>
    <row r="961" customFormat="false" ht="12.8" hidden="false" customHeight="false" outlineLevel="0" collapsed="false">
      <c r="A961" s="4" t="s">
        <v>23</v>
      </c>
      <c r="B961" s="4" t="s">
        <v>17</v>
      </c>
      <c r="C961" s="4" t="n">
        <v>7</v>
      </c>
      <c r="D961" s="5" t="n">
        <v>29.75</v>
      </c>
      <c r="E961" s="6" t="n">
        <f aca="false">DATE(2024,11,7)</f>
        <v>45603</v>
      </c>
      <c r="F961" s="7" t="n">
        <f aca="false">C961*D961</f>
        <v>208.25</v>
      </c>
      <c r="G961" s="7" t="n">
        <f aca="false">ROUND(F961*0.2,2)</f>
        <v>41.65</v>
      </c>
      <c r="H961" s="4" t="str">
        <f aca="false">IF(F961&gt;500,"Yüksek",IF(F961&gt;100,"Orta","Düşük"))</f>
        <v>Orta</v>
      </c>
    </row>
    <row r="962" customFormat="false" ht="12.8" hidden="false" customHeight="false" outlineLevel="0" collapsed="false">
      <c r="A962" s="4" t="s">
        <v>24</v>
      </c>
      <c r="B962" s="4" t="s">
        <v>19</v>
      </c>
      <c r="C962" s="4" t="n">
        <v>14</v>
      </c>
      <c r="D962" s="5" t="n">
        <v>32.5</v>
      </c>
      <c r="E962" s="6" t="n">
        <f aca="false">DATE(2024,12,8)</f>
        <v>45634</v>
      </c>
      <c r="F962" s="7" t="n">
        <f aca="false">C962*D962</f>
        <v>455</v>
      </c>
      <c r="G962" s="7" t="n">
        <f aca="false">ROUND(F962*0.2,2)</f>
        <v>91</v>
      </c>
      <c r="H962" s="4" t="str">
        <f aca="false">IF(F962&gt;500,"Yüksek",IF(F962&gt;100,"Orta","Düşük"))</f>
        <v>Orta</v>
      </c>
    </row>
    <row r="963" customFormat="false" ht="12.8" hidden="false" customHeight="false" outlineLevel="0" collapsed="false">
      <c r="A963" s="4" t="s">
        <v>10</v>
      </c>
      <c r="B963" s="4" t="s">
        <v>11</v>
      </c>
      <c r="C963" s="4" t="n">
        <v>21</v>
      </c>
      <c r="D963" s="5" t="n">
        <v>35.25</v>
      </c>
      <c r="E963" s="6" t="n">
        <f aca="false">DATE(2024,1,9)</f>
        <v>45300</v>
      </c>
      <c r="F963" s="7" t="n">
        <f aca="false">C963*D963</f>
        <v>740.25</v>
      </c>
      <c r="G963" s="7" t="n">
        <f aca="false">ROUND(F963*0.2,2)</f>
        <v>148.05</v>
      </c>
      <c r="H963" s="4" t="str">
        <f aca="false">IF(F963&gt;500,"Yüksek",IF(F963&gt;100,"Orta","Düşük"))</f>
        <v>Yüksek</v>
      </c>
    </row>
    <row r="964" customFormat="false" ht="12.8" hidden="false" customHeight="false" outlineLevel="0" collapsed="false">
      <c r="A964" s="4" t="s">
        <v>12</v>
      </c>
      <c r="B964" s="4" t="s">
        <v>13</v>
      </c>
      <c r="C964" s="4" t="n">
        <v>28</v>
      </c>
      <c r="D964" s="5" t="n">
        <v>38</v>
      </c>
      <c r="E964" s="6" t="n">
        <f aca="false">DATE(2024,2,10)</f>
        <v>45332</v>
      </c>
      <c r="F964" s="7" t="n">
        <f aca="false">C964*D964</f>
        <v>1064</v>
      </c>
      <c r="G964" s="7" t="n">
        <f aca="false">ROUND(F964*0.2,2)</f>
        <v>212.8</v>
      </c>
      <c r="H964" s="4" t="str">
        <f aca="false">IF(F964&gt;500,"Yüksek",IF(F964&gt;100,"Orta","Düşük"))</f>
        <v>Yüksek</v>
      </c>
    </row>
    <row r="965" customFormat="false" ht="12.8" hidden="false" customHeight="false" outlineLevel="0" collapsed="false">
      <c r="A965" s="4" t="s">
        <v>14</v>
      </c>
      <c r="B965" s="4" t="s">
        <v>15</v>
      </c>
      <c r="C965" s="4" t="n">
        <v>35</v>
      </c>
      <c r="D965" s="5" t="n">
        <v>5</v>
      </c>
      <c r="E965" s="6" t="n">
        <f aca="false">DATE(2024,3,11)</f>
        <v>45362</v>
      </c>
      <c r="F965" s="7" t="n">
        <f aca="false">C965*D965</f>
        <v>175</v>
      </c>
      <c r="G965" s="7" t="n">
        <f aca="false">ROUND(F965*0.2,2)</f>
        <v>35</v>
      </c>
      <c r="H965" s="4" t="str">
        <f aca="false">IF(F965&gt;500,"Yüksek",IF(F965&gt;100,"Orta","Düşük"))</f>
        <v>Orta</v>
      </c>
    </row>
    <row r="966" customFormat="false" ht="12.8" hidden="false" customHeight="false" outlineLevel="0" collapsed="false">
      <c r="A966" s="4" t="s">
        <v>16</v>
      </c>
      <c r="B966" s="4" t="s">
        <v>17</v>
      </c>
      <c r="C966" s="4" t="n">
        <v>42</v>
      </c>
      <c r="D966" s="5" t="n">
        <v>7.75</v>
      </c>
      <c r="E966" s="6" t="n">
        <f aca="false">DATE(2024,4,12)</f>
        <v>45394</v>
      </c>
      <c r="F966" s="7" t="n">
        <f aca="false">C966*D966</f>
        <v>325.5</v>
      </c>
      <c r="G966" s="7" t="n">
        <f aca="false">ROUND(F966*0.2,2)</f>
        <v>65.1</v>
      </c>
      <c r="H966" s="4" t="str">
        <f aca="false">IF(F966&gt;500,"Yüksek",IF(F966&gt;100,"Orta","Düşük"))</f>
        <v>Orta</v>
      </c>
    </row>
    <row r="967" customFormat="false" ht="12.8" hidden="false" customHeight="false" outlineLevel="0" collapsed="false">
      <c r="A967" s="4" t="s">
        <v>18</v>
      </c>
      <c r="B967" s="4" t="s">
        <v>19</v>
      </c>
      <c r="C967" s="4" t="n">
        <v>49</v>
      </c>
      <c r="D967" s="5" t="n">
        <v>10.5</v>
      </c>
      <c r="E967" s="6" t="n">
        <f aca="false">DATE(2024,5,13)</f>
        <v>45425</v>
      </c>
      <c r="F967" s="7" t="n">
        <f aca="false">C967*D967</f>
        <v>514.5</v>
      </c>
      <c r="G967" s="7" t="n">
        <f aca="false">ROUND(F967*0.2,2)</f>
        <v>102.9</v>
      </c>
      <c r="H967" s="4" t="str">
        <f aca="false">IF(F967&gt;500,"Yüksek",IF(F967&gt;100,"Orta","Düşük"))</f>
        <v>Yüksek</v>
      </c>
    </row>
    <row r="968" customFormat="false" ht="12.8" hidden="false" customHeight="false" outlineLevel="0" collapsed="false">
      <c r="A968" s="4" t="s">
        <v>20</v>
      </c>
      <c r="B968" s="4" t="s">
        <v>11</v>
      </c>
      <c r="C968" s="4" t="n">
        <v>6</v>
      </c>
      <c r="D968" s="5" t="n">
        <v>13.25</v>
      </c>
      <c r="E968" s="6" t="n">
        <f aca="false">DATE(2024,6,14)</f>
        <v>45457</v>
      </c>
      <c r="F968" s="7" t="n">
        <f aca="false">C968*D968</f>
        <v>79.5</v>
      </c>
      <c r="G968" s="7" t="n">
        <f aca="false">ROUND(F968*0.2,2)</f>
        <v>15.9</v>
      </c>
      <c r="H968" s="4" t="str">
        <f aca="false">IF(F968&gt;500,"Yüksek",IF(F968&gt;100,"Orta","Düşük"))</f>
        <v>Düşük</v>
      </c>
    </row>
    <row r="969" customFormat="false" ht="12.8" hidden="false" customHeight="false" outlineLevel="0" collapsed="false">
      <c r="A969" s="4" t="s">
        <v>21</v>
      </c>
      <c r="B969" s="4" t="s">
        <v>13</v>
      </c>
      <c r="C969" s="4" t="n">
        <v>13</v>
      </c>
      <c r="D969" s="5" t="n">
        <v>16</v>
      </c>
      <c r="E969" s="6" t="n">
        <f aca="false">DATE(2024,7,15)</f>
        <v>45488</v>
      </c>
      <c r="F969" s="7" t="n">
        <f aca="false">C969*D969</f>
        <v>208</v>
      </c>
      <c r="G969" s="7" t="n">
        <f aca="false">ROUND(F969*0.2,2)</f>
        <v>41.6</v>
      </c>
      <c r="H969" s="4" t="str">
        <f aca="false">IF(F969&gt;500,"Yüksek",IF(F969&gt;100,"Orta","Düşük"))</f>
        <v>Orta</v>
      </c>
    </row>
    <row r="970" customFormat="false" ht="12.8" hidden="false" customHeight="false" outlineLevel="0" collapsed="false">
      <c r="A970" s="4" t="s">
        <v>22</v>
      </c>
      <c r="B970" s="4" t="s">
        <v>15</v>
      </c>
      <c r="C970" s="4" t="n">
        <v>20</v>
      </c>
      <c r="D970" s="5" t="n">
        <v>18.75</v>
      </c>
      <c r="E970" s="6" t="n">
        <f aca="false">DATE(2024,8,16)</f>
        <v>45520</v>
      </c>
      <c r="F970" s="7" t="n">
        <f aca="false">C970*D970</f>
        <v>375</v>
      </c>
      <c r="G970" s="7" t="n">
        <f aca="false">ROUND(F970*0.2,2)</f>
        <v>75</v>
      </c>
      <c r="H970" s="4" t="str">
        <f aca="false">IF(F970&gt;500,"Yüksek",IF(F970&gt;100,"Orta","Düşük"))</f>
        <v>Orta</v>
      </c>
    </row>
    <row r="971" customFormat="false" ht="12.8" hidden="false" customHeight="false" outlineLevel="0" collapsed="false">
      <c r="A971" s="4" t="s">
        <v>23</v>
      </c>
      <c r="B971" s="4" t="s">
        <v>17</v>
      </c>
      <c r="C971" s="4" t="n">
        <v>27</v>
      </c>
      <c r="D971" s="5" t="n">
        <v>21.5</v>
      </c>
      <c r="E971" s="6" t="n">
        <f aca="false">DATE(2024,9,17)</f>
        <v>45552</v>
      </c>
      <c r="F971" s="7" t="n">
        <f aca="false">C971*D971</f>
        <v>580.5</v>
      </c>
      <c r="G971" s="7" t="n">
        <f aca="false">ROUND(F971*0.2,2)</f>
        <v>116.1</v>
      </c>
      <c r="H971" s="4" t="str">
        <f aca="false">IF(F971&gt;500,"Yüksek",IF(F971&gt;100,"Orta","Düşük"))</f>
        <v>Yüksek</v>
      </c>
    </row>
    <row r="972" customFormat="false" ht="12.8" hidden="false" customHeight="false" outlineLevel="0" collapsed="false">
      <c r="A972" s="4" t="s">
        <v>24</v>
      </c>
      <c r="B972" s="4" t="s">
        <v>19</v>
      </c>
      <c r="C972" s="4" t="n">
        <v>34</v>
      </c>
      <c r="D972" s="5" t="n">
        <v>24.25</v>
      </c>
      <c r="E972" s="6" t="n">
        <f aca="false">DATE(2024,10,18)</f>
        <v>45583</v>
      </c>
      <c r="F972" s="7" t="n">
        <f aca="false">C972*D972</f>
        <v>824.5</v>
      </c>
      <c r="G972" s="7" t="n">
        <f aca="false">ROUND(F972*0.2,2)</f>
        <v>164.9</v>
      </c>
      <c r="H972" s="4" t="str">
        <f aca="false">IF(F972&gt;500,"Yüksek",IF(F972&gt;100,"Orta","Düşük"))</f>
        <v>Yüksek</v>
      </c>
    </row>
    <row r="973" customFormat="false" ht="12.8" hidden="false" customHeight="false" outlineLevel="0" collapsed="false">
      <c r="A973" s="4" t="s">
        <v>10</v>
      </c>
      <c r="B973" s="4" t="s">
        <v>11</v>
      </c>
      <c r="C973" s="4" t="n">
        <v>41</v>
      </c>
      <c r="D973" s="5" t="n">
        <v>27</v>
      </c>
      <c r="E973" s="6" t="n">
        <f aca="false">DATE(2024,11,19)</f>
        <v>45615</v>
      </c>
      <c r="F973" s="7" t="n">
        <f aca="false">C973*D973</f>
        <v>1107</v>
      </c>
      <c r="G973" s="7" t="n">
        <f aca="false">ROUND(F973*0.2,2)</f>
        <v>221.4</v>
      </c>
      <c r="H973" s="4" t="str">
        <f aca="false">IF(F973&gt;500,"Yüksek",IF(F973&gt;100,"Orta","Düşük"))</f>
        <v>Yüksek</v>
      </c>
    </row>
    <row r="974" customFormat="false" ht="12.8" hidden="false" customHeight="false" outlineLevel="0" collapsed="false">
      <c r="A974" s="4" t="s">
        <v>12</v>
      </c>
      <c r="B974" s="4" t="s">
        <v>13</v>
      </c>
      <c r="C974" s="4" t="n">
        <v>48</v>
      </c>
      <c r="D974" s="5" t="n">
        <v>29.75</v>
      </c>
      <c r="E974" s="6" t="n">
        <f aca="false">DATE(2024,12,20)</f>
        <v>45646</v>
      </c>
      <c r="F974" s="7" t="n">
        <f aca="false">C974*D974</f>
        <v>1428</v>
      </c>
      <c r="G974" s="7" t="n">
        <f aca="false">ROUND(F974*0.2,2)</f>
        <v>285.6</v>
      </c>
      <c r="H974" s="4" t="str">
        <f aca="false">IF(F974&gt;500,"Yüksek",IF(F974&gt;100,"Orta","Düşük"))</f>
        <v>Yüksek</v>
      </c>
    </row>
    <row r="975" customFormat="false" ht="12.8" hidden="false" customHeight="false" outlineLevel="0" collapsed="false">
      <c r="A975" s="4" t="s">
        <v>14</v>
      </c>
      <c r="B975" s="4" t="s">
        <v>15</v>
      </c>
      <c r="C975" s="4" t="n">
        <v>5</v>
      </c>
      <c r="D975" s="5" t="n">
        <v>32.5</v>
      </c>
      <c r="E975" s="6" t="n">
        <f aca="false">DATE(2024,1,21)</f>
        <v>45312</v>
      </c>
      <c r="F975" s="7" t="n">
        <f aca="false">C975*D975</f>
        <v>162.5</v>
      </c>
      <c r="G975" s="7" t="n">
        <f aca="false">ROUND(F975*0.2,2)</f>
        <v>32.5</v>
      </c>
      <c r="H975" s="4" t="str">
        <f aca="false">IF(F975&gt;500,"Yüksek",IF(F975&gt;100,"Orta","Düşük"))</f>
        <v>Orta</v>
      </c>
    </row>
    <row r="976" customFormat="false" ht="12.8" hidden="false" customHeight="false" outlineLevel="0" collapsed="false">
      <c r="A976" s="4" t="s">
        <v>16</v>
      </c>
      <c r="B976" s="4" t="s">
        <v>17</v>
      </c>
      <c r="C976" s="4" t="n">
        <v>12</v>
      </c>
      <c r="D976" s="5" t="n">
        <v>35.25</v>
      </c>
      <c r="E976" s="6" t="n">
        <f aca="false">DATE(2024,2,22)</f>
        <v>45344</v>
      </c>
      <c r="F976" s="7" t="n">
        <f aca="false">C976*D976</f>
        <v>423</v>
      </c>
      <c r="G976" s="7" t="n">
        <f aca="false">ROUND(F976*0.2,2)</f>
        <v>84.6</v>
      </c>
      <c r="H976" s="4" t="str">
        <f aca="false">IF(F976&gt;500,"Yüksek",IF(F976&gt;100,"Orta","Düşük"))</f>
        <v>Orta</v>
      </c>
    </row>
    <row r="977" customFormat="false" ht="12.8" hidden="false" customHeight="false" outlineLevel="0" collapsed="false">
      <c r="A977" s="4" t="s">
        <v>18</v>
      </c>
      <c r="B977" s="4" t="s">
        <v>19</v>
      </c>
      <c r="C977" s="4" t="n">
        <v>19</v>
      </c>
      <c r="D977" s="5" t="n">
        <v>38</v>
      </c>
      <c r="E977" s="6" t="n">
        <f aca="false">DATE(2024,3,23)</f>
        <v>45374</v>
      </c>
      <c r="F977" s="7" t="n">
        <f aca="false">C977*D977</f>
        <v>722</v>
      </c>
      <c r="G977" s="7" t="n">
        <f aca="false">ROUND(F977*0.2,2)</f>
        <v>144.4</v>
      </c>
      <c r="H977" s="4" t="str">
        <f aca="false">IF(F977&gt;500,"Yüksek",IF(F977&gt;100,"Orta","Düşük"))</f>
        <v>Yüksek</v>
      </c>
    </row>
    <row r="978" customFormat="false" ht="12.8" hidden="false" customHeight="false" outlineLevel="0" collapsed="false">
      <c r="A978" s="4" t="s">
        <v>20</v>
      </c>
      <c r="B978" s="4" t="s">
        <v>11</v>
      </c>
      <c r="C978" s="4" t="n">
        <v>26</v>
      </c>
      <c r="D978" s="5" t="n">
        <v>5</v>
      </c>
      <c r="E978" s="6" t="n">
        <f aca="false">DATE(2024,4,24)</f>
        <v>45406</v>
      </c>
      <c r="F978" s="7" t="n">
        <f aca="false">C978*D978</f>
        <v>130</v>
      </c>
      <c r="G978" s="7" t="n">
        <f aca="false">ROUND(F978*0.2,2)</f>
        <v>26</v>
      </c>
      <c r="H978" s="4" t="str">
        <f aca="false">IF(F978&gt;500,"Yüksek",IF(F978&gt;100,"Orta","Düşük"))</f>
        <v>Orta</v>
      </c>
    </row>
    <row r="979" customFormat="false" ht="12.8" hidden="false" customHeight="false" outlineLevel="0" collapsed="false">
      <c r="A979" s="4" t="s">
        <v>21</v>
      </c>
      <c r="B979" s="4" t="s">
        <v>13</v>
      </c>
      <c r="C979" s="4" t="n">
        <v>33</v>
      </c>
      <c r="D979" s="5" t="n">
        <v>7.75</v>
      </c>
      <c r="E979" s="6" t="n">
        <f aca="false">DATE(2024,5,25)</f>
        <v>45437</v>
      </c>
      <c r="F979" s="7" t="n">
        <f aca="false">C979*D979</f>
        <v>255.75</v>
      </c>
      <c r="G979" s="7" t="n">
        <f aca="false">ROUND(F979*0.2,2)</f>
        <v>51.15</v>
      </c>
      <c r="H979" s="4" t="str">
        <f aca="false">IF(F979&gt;500,"Yüksek",IF(F979&gt;100,"Orta","Düşük"))</f>
        <v>Orta</v>
      </c>
    </row>
    <row r="980" customFormat="false" ht="12.8" hidden="false" customHeight="false" outlineLevel="0" collapsed="false">
      <c r="A980" s="4" t="s">
        <v>22</v>
      </c>
      <c r="B980" s="4" t="s">
        <v>15</v>
      </c>
      <c r="C980" s="4" t="n">
        <v>40</v>
      </c>
      <c r="D980" s="5" t="n">
        <v>10.5</v>
      </c>
      <c r="E980" s="6" t="n">
        <f aca="false">DATE(2024,6,26)</f>
        <v>45469</v>
      </c>
      <c r="F980" s="7" t="n">
        <f aca="false">C980*D980</f>
        <v>420</v>
      </c>
      <c r="G980" s="7" t="n">
        <f aca="false">ROUND(F980*0.2,2)</f>
        <v>84</v>
      </c>
      <c r="H980" s="4" t="str">
        <f aca="false">IF(F980&gt;500,"Yüksek",IF(F980&gt;100,"Orta","Düşük"))</f>
        <v>Orta</v>
      </c>
    </row>
    <row r="981" customFormat="false" ht="12.8" hidden="false" customHeight="false" outlineLevel="0" collapsed="false">
      <c r="A981" s="4" t="s">
        <v>23</v>
      </c>
      <c r="B981" s="4" t="s">
        <v>17</v>
      </c>
      <c r="C981" s="4" t="n">
        <v>47</v>
      </c>
      <c r="D981" s="5" t="n">
        <v>13.25</v>
      </c>
      <c r="E981" s="6" t="n">
        <f aca="false">DATE(2024,7,27)</f>
        <v>45500</v>
      </c>
      <c r="F981" s="7" t="n">
        <f aca="false">C981*D981</f>
        <v>622.75</v>
      </c>
      <c r="G981" s="7" t="n">
        <f aca="false">ROUND(F981*0.2,2)</f>
        <v>124.55</v>
      </c>
      <c r="H981" s="4" t="str">
        <f aca="false">IF(F981&gt;500,"Yüksek",IF(F981&gt;100,"Orta","Düşük"))</f>
        <v>Yüksek</v>
      </c>
    </row>
    <row r="982" customFormat="false" ht="12.8" hidden="false" customHeight="false" outlineLevel="0" collapsed="false">
      <c r="A982" s="4" t="s">
        <v>24</v>
      </c>
      <c r="B982" s="4" t="s">
        <v>19</v>
      </c>
      <c r="C982" s="4" t="n">
        <v>4</v>
      </c>
      <c r="D982" s="5" t="n">
        <v>16</v>
      </c>
      <c r="E982" s="6" t="n">
        <f aca="false">DATE(2024,8,28)</f>
        <v>45532</v>
      </c>
      <c r="F982" s="7" t="n">
        <f aca="false">C982*D982</f>
        <v>64</v>
      </c>
      <c r="G982" s="7" t="n">
        <f aca="false">ROUND(F982*0.2,2)</f>
        <v>12.8</v>
      </c>
      <c r="H982" s="4" t="str">
        <f aca="false">IF(F982&gt;500,"Yüksek",IF(F982&gt;100,"Orta","Düşük"))</f>
        <v>Düşük</v>
      </c>
    </row>
    <row r="983" customFormat="false" ht="12.8" hidden="false" customHeight="false" outlineLevel="0" collapsed="false">
      <c r="A983" s="4" t="s">
        <v>10</v>
      </c>
      <c r="B983" s="4" t="s">
        <v>11</v>
      </c>
      <c r="C983" s="4" t="n">
        <v>11</v>
      </c>
      <c r="D983" s="5" t="n">
        <v>18.75</v>
      </c>
      <c r="E983" s="6" t="n">
        <f aca="false">DATE(2024,9,1)</f>
        <v>45536</v>
      </c>
      <c r="F983" s="7" t="n">
        <f aca="false">C983*D983</f>
        <v>206.25</v>
      </c>
      <c r="G983" s="7" t="n">
        <f aca="false">ROUND(F983*0.2,2)</f>
        <v>41.25</v>
      </c>
      <c r="H983" s="4" t="str">
        <f aca="false">IF(F983&gt;500,"Yüksek",IF(F983&gt;100,"Orta","Düşük"))</f>
        <v>Orta</v>
      </c>
    </row>
    <row r="984" customFormat="false" ht="12.8" hidden="false" customHeight="false" outlineLevel="0" collapsed="false">
      <c r="A984" s="4" t="s">
        <v>12</v>
      </c>
      <c r="B984" s="4" t="s">
        <v>13</v>
      </c>
      <c r="C984" s="4" t="n">
        <v>18</v>
      </c>
      <c r="D984" s="5" t="n">
        <v>21.5</v>
      </c>
      <c r="E984" s="6" t="n">
        <f aca="false">DATE(2024,10,2)</f>
        <v>45567</v>
      </c>
      <c r="F984" s="7" t="n">
        <f aca="false">C984*D984</f>
        <v>387</v>
      </c>
      <c r="G984" s="7" t="n">
        <f aca="false">ROUND(F984*0.2,2)</f>
        <v>77.4</v>
      </c>
      <c r="H984" s="4" t="str">
        <f aca="false">IF(F984&gt;500,"Yüksek",IF(F984&gt;100,"Orta","Düşük"))</f>
        <v>Orta</v>
      </c>
    </row>
    <row r="985" customFormat="false" ht="12.8" hidden="false" customHeight="false" outlineLevel="0" collapsed="false">
      <c r="A985" s="4" t="s">
        <v>14</v>
      </c>
      <c r="B985" s="4" t="s">
        <v>15</v>
      </c>
      <c r="C985" s="4" t="n">
        <v>25</v>
      </c>
      <c r="D985" s="5" t="n">
        <v>24.25</v>
      </c>
      <c r="E985" s="6" t="n">
        <f aca="false">DATE(2024,11,3)</f>
        <v>45599</v>
      </c>
      <c r="F985" s="7" t="n">
        <f aca="false">C985*D985</f>
        <v>606.25</v>
      </c>
      <c r="G985" s="7" t="n">
        <f aca="false">ROUND(F985*0.2,2)</f>
        <v>121.25</v>
      </c>
      <c r="H985" s="4" t="str">
        <f aca="false">IF(F985&gt;500,"Yüksek",IF(F985&gt;100,"Orta","Düşük"))</f>
        <v>Yüksek</v>
      </c>
    </row>
    <row r="986" customFormat="false" ht="12.8" hidden="false" customHeight="false" outlineLevel="0" collapsed="false">
      <c r="A986" s="4" t="s">
        <v>16</v>
      </c>
      <c r="B986" s="4" t="s">
        <v>17</v>
      </c>
      <c r="C986" s="4" t="n">
        <v>32</v>
      </c>
      <c r="D986" s="5" t="n">
        <v>27</v>
      </c>
      <c r="E986" s="6" t="n">
        <f aca="false">DATE(2024,12,4)</f>
        <v>45630</v>
      </c>
      <c r="F986" s="7" t="n">
        <f aca="false">C986*D986</f>
        <v>864</v>
      </c>
      <c r="G986" s="7" t="n">
        <f aca="false">ROUND(F986*0.2,2)</f>
        <v>172.8</v>
      </c>
      <c r="H986" s="4" t="str">
        <f aca="false">IF(F986&gt;500,"Yüksek",IF(F986&gt;100,"Orta","Düşük"))</f>
        <v>Yüksek</v>
      </c>
    </row>
    <row r="987" customFormat="false" ht="12.8" hidden="false" customHeight="false" outlineLevel="0" collapsed="false">
      <c r="A987" s="4" t="s">
        <v>18</v>
      </c>
      <c r="B987" s="4" t="s">
        <v>19</v>
      </c>
      <c r="C987" s="4" t="n">
        <v>39</v>
      </c>
      <c r="D987" s="5" t="n">
        <v>29.75</v>
      </c>
      <c r="E987" s="6" t="n">
        <f aca="false">DATE(2024,1,5)</f>
        <v>45296</v>
      </c>
      <c r="F987" s="7" t="n">
        <f aca="false">C987*D987</f>
        <v>1160.25</v>
      </c>
      <c r="G987" s="7" t="n">
        <f aca="false">ROUND(F987*0.2,2)</f>
        <v>232.05</v>
      </c>
      <c r="H987" s="4" t="str">
        <f aca="false">IF(F987&gt;500,"Yüksek",IF(F987&gt;100,"Orta","Düşük"))</f>
        <v>Yüksek</v>
      </c>
    </row>
    <row r="988" customFormat="false" ht="12.8" hidden="false" customHeight="false" outlineLevel="0" collapsed="false">
      <c r="A988" s="4" t="s">
        <v>20</v>
      </c>
      <c r="B988" s="4" t="s">
        <v>11</v>
      </c>
      <c r="C988" s="4" t="n">
        <v>46</v>
      </c>
      <c r="D988" s="5" t="n">
        <v>32.5</v>
      </c>
      <c r="E988" s="6" t="n">
        <f aca="false">DATE(2024,2,6)</f>
        <v>45328</v>
      </c>
      <c r="F988" s="7" t="n">
        <f aca="false">C988*D988</f>
        <v>1495</v>
      </c>
      <c r="G988" s="7" t="n">
        <f aca="false">ROUND(F988*0.2,2)</f>
        <v>299</v>
      </c>
      <c r="H988" s="4" t="str">
        <f aca="false">IF(F988&gt;500,"Yüksek",IF(F988&gt;100,"Orta","Düşük"))</f>
        <v>Yüksek</v>
      </c>
    </row>
    <row r="989" customFormat="false" ht="12.8" hidden="false" customHeight="false" outlineLevel="0" collapsed="false">
      <c r="A989" s="4" t="s">
        <v>21</v>
      </c>
      <c r="B989" s="4" t="s">
        <v>13</v>
      </c>
      <c r="C989" s="4" t="n">
        <v>3</v>
      </c>
      <c r="D989" s="5" t="n">
        <v>35.25</v>
      </c>
      <c r="E989" s="6" t="n">
        <f aca="false">DATE(2024,3,7)</f>
        <v>45358</v>
      </c>
      <c r="F989" s="7" t="n">
        <f aca="false">C989*D989</f>
        <v>105.75</v>
      </c>
      <c r="G989" s="7" t="n">
        <f aca="false">ROUND(F989*0.2,2)</f>
        <v>21.15</v>
      </c>
      <c r="H989" s="4" t="str">
        <f aca="false">IF(F989&gt;500,"Yüksek",IF(F989&gt;100,"Orta","Düşük"))</f>
        <v>Orta</v>
      </c>
    </row>
    <row r="990" customFormat="false" ht="12.8" hidden="false" customHeight="false" outlineLevel="0" collapsed="false">
      <c r="A990" s="4" t="s">
        <v>22</v>
      </c>
      <c r="B990" s="4" t="s">
        <v>15</v>
      </c>
      <c r="C990" s="4" t="n">
        <v>10</v>
      </c>
      <c r="D990" s="5" t="n">
        <v>38</v>
      </c>
      <c r="E990" s="6" t="n">
        <f aca="false">DATE(2024,4,8)</f>
        <v>45390</v>
      </c>
      <c r="F990" s="7" t="n">
        <f aca="false">C990*D990</f>
        <v>380</v>
      </c>
      <c r="G990" s="7" t="n">
        <f aca="false">ROUND(F990*0.2,2)</f>
        <v>76</v>
      </c>
      <c r="H990" s="4" t="str">
        <f aca="false">IF(F990&gt;500,"Yüksek",IF(F990&gt;100,"Orta","Düşük"))</f>
        <v>Orta</v>
      </c>
    </row>
    <row r="991" customFormat="false" ht="12.8" hidden="false" customHeight="false" outlineLevel="0" collapsed="false">
      <c r="A991" s="4" t="s">
        <v>23</v>
      </c>
      <c r="B991" s="4" t="s">
        <v>17</v>
      </c>
      <c r="C991" s="4" t="n">
        <v>17</v>
      </c>
      <c r="D991" s="5" t="n">
        <v>5</v>
      </c>
      <c r="E991" s="6" t="n">
        <f aca="false">DATE(2024,5,9)</f>
        <v>45421</v>
      </c>
      <c r="F991" s="7" t="n">
        <f aca="false">C991*D991</f>
        <v>85</v>
      </c>
      <c r="G991" s="7" t="n">
        <f aca="false">ROUND(F991*0.2,2)</f>
        <v>17</v>
      </c>
      <c r="H991" s="4" t="str">
        <f aca="false">IF(F991&gt;500,"Yüksek",IF(F991&gt;100,"Orta","Düşük"))</f>
        <v>Düşük</v>
      </c>
    </row>
    <row r="992" customFormat="false" ht="12.8" hidden="false" customHeight="false" outlineLevel="0" collapsed="false">
      <c r="A992" s="4" t="s">
        <v>24</v>
      </c>
      <c r="B992" s="4" t="s">
        <v>19</v>
      </c>
      <c r="C992" s="4" t="n">
        <v>24</v>
      </c>
      <c r="D992" s="5" t="n">
        <v>7.75</v>
      </c>
      <c r="E992" s="6" t="n">
        <f aca="false">DATE(2024,6,10)</f>
        <v>45453</v>
      </c>
      <c r="F992" s="7" t="n">
        <f aca="false">C992*D992</f>
        <v>186</v>
      </c>
      <c r="G992" s="7" t="n">
        <f aca="false">ROUND(F992*0.2,2)</f>
        <v>37.2</v>
      </c>
      <c r="H992" s="4" t="str">
        <f aca="false">IF(F992&gt;500,"Yüksek",IF(F992&gt;100,"Orta","Düşük"))</f>
        <v>Orta</v>
      </c>
    </row>
    <row r="993" customFormat="false" ht="12.8" hidden="false" customHeight="false" outlineLevel="0" collapsed="false">
      <c r="A993" s="4" t="s">
        <v>10</v>
      </c>
      <c r="B993" s="4" t="s">
        <v>11</v>
      </c>
      <c r="C993" s="4" t="n">
        <v>31</v>
      </c>
      <c r="D993" s="5" t="n">
        <v>10.5</v>
      </c>
      <c r="E993" s="6" t="n">
        <f aca="false">DATE(2024,7,11)</f>
        <v>45484</v>
      </c>
      <c r="F993" s="7" t="n">
        <f aca="false">C993*D993</f>
        <v>325.5</v>
      </c>
      <c r="G993" s="7" t="n">
        <f aca="false">ROUND(F993*0.2,2)</f>
        <v>65.1</v>
      </c>
      <c r="H993" s="4" t="str">
        <f aca="false">IF(F993&gt;500,"Yüksek",IF(F993&gt;100,"Orta","Düşük"))</f>
        <v>Orta</v>
      </c>
    </row>
    <row r="994" customFormat="false" ht="12.8" hidden="false" customHeight="false" outlineLevel="0" collapsed="false">
      <c r="A994" s="4" t="s">
        <v>12</v>
      </c>
      <c r="B994" s="4" t="s">
        <v>13</v>
      </c>
      <c r="C994" s="4" t="n">
        <v>38</v>
      </c>
      <c r="D994" s="5" t="n">
        <v>13.25</v>
      </c>
      <c r="E994" s="6" t="n">
        <f aca="false">DATE(2024,8,12)</f>
        <v>45516</v>
      </c>
      <c r="F994" s="7" t="n">
        <f aca="false">C994*D994</f>
        <v>503.5</v>
      </c>
      <c r="G994" s="7" t="n">
        <f aca="false">ROUND(F994*0.2,2)</f>
        <v>100.7</v>
      </c>
      <c r="H994" s="4" t="str">
        <f aca="false">IF(F994&gt;500,"Yüksek",IF(F994&gt;100,"Orta","Düşük"))</f>
        <v>Yüksek</v>
      </c>
    </row>
    <row r="995" customFormat="false" ht="12.8" hidden="false" customHeight="false" outlineLevel="0" collapsed="false">
      <c r="A995" s="4" t="s">
        <v>14</v>
      </c>
      <c r="B995" s="4" t="s">
        <v>15</v>
      </c>
      <c r="C995" s="4" t="n">
        <v>45</v>
      </c>
      <c r="D995" s="5" t="n">
        <v>16</v>
      </c>
      <c r="E995" s="6" t="n">
        <f aca="false">DATE(2024,9,13)</f>
        <v>45548</v>
      </c>
      <c r="F995" s="7" t="n">
        <f aca="false">C995*D995</f>
        <v>720</v>
      </c>
      <c r="G995" s="7" t="n">
        <f aca="false">ROUND(F995*0.2,2)</f>
        <v>144</v>
      </c>
      <c r="H995" s="4" t="str">
        <f aca="false">IF(F995&gt;500,"Yüksek",IF(F995&gt;100,"Orta","Düşük"))</f>
        <v>Yüksek</v>
      </c>
    </row>
    <row r="996" customFormat="false" ht="12.8" hidden="false" customHeight="false" outlineLevel="0" collapsed="false">
      <c r="A996" s="4" t="s">
        <v>16</v>
      </c>
      <c r="B996" s="4" t="s">
        <v>17</v>
      </c>
      <c r="C996" s="4" t="n">
        <v>2</v>
      </c>
      <c r="D996" s="5" t="n">
        <v>18.75</v>
      </c>
      <c r="E996" s="6" t="n">
        <f aca="false">DATE(2024,10,14)</f>
        <v>45579</v>
      </c>
      <c r="F996" s="7" t="n">
        <f aca="false">C996*D996</f>
        <v>37.5</v>
      </c>
      <c r="G996" s="7" t="n">
        <f aca="false">ROUND(F996*0.2,2)</f>
        <v>7.5</v>
      </c>
      <c r="H996" s="4" t="str">
        <f aca="false">IF(F996&gt;500,"Yüksek",IF(F996&gt;100,"Orta","Düşük"))</f>
        <v>Düşük</v>
      </c>
    </row>
    <row r="997" customFormat="false" ht="12.8" hidden="false" customHeight="false" outlineLevel="0" collapsed="false">
      <c r="A997" s="4" t="s">
        <v>18</v>
      </c>
      <c r="B997" s="4" t="s">
        <v>19</v>
      </c>
      <c r="C997" s="4" t="n">
        <v>9</v>
      </c>
      <c r="D997" s="5" t="n">
        <v>21.5</v>
      </c>
      <c r="E997" s="6" t="n">
        <f aca="false">DATE(2024,11,15)</f>
        <v>45611</v>
      </c>
      <c r="F997" s="7" t="n">
        <f aca="false">C997*D997</f>
        <v>193.5</v>
      </c>
      <c r="G997" s="7" t="n">
        <f aca="false">ROUND(F997*0.2,2)</f>
        <v>38.7</v>
      </c>
      <c r="H997" s="4" t="str">
        <f aca="false">IF(F997&gt;500,"Yüksek",IF(F997&gt;100,"Orta","Düşük"))</f>
        <v>Orta</v>
      </c>
    </row>
    <row r="998" customFormat="false" ht="12.8" hidden="false" customHeight="false" outlineLevel="0" collapsed="false">
      <c r="A998" s="4" t="s">
        <v>20</v>
      </c>
      <c r="B998" s="4" t="s">
        <v>11</v>
      </c>
      <c r="C998" s="4" t="n">
        <v>16</v>
      </c>
      <c r="D998" s="5" t="n">
        <v>24.25</v>
      </c>
      <c r="E998" s="6" t="n">
        <f aca="false">DATE(2024,12,16)</f>
        <v>45642</v>
      </c>
      <c r="F998" s="7" t="n">
        <f aca="false">C998*D998</f>
        <v>388</v>
      </c>
      <c r="G998" s="7" t="n">
        <f aca="false">ROUND(F998*0.2,2)</f>
        <v>77.6</v>
      </c>
      <c r="H998" s="4" t="str">
        <f aca="false">IF(F998&gt;500,"Yüksek",IF(F998&gt;100,"Orta","Düşük"))</f>
        <v>Orta</v>
      </c>
    </row>
    <row r="999" customFormat="false" ht="12.8" hidden="false" customHeight="false" outlineLevel="0" collapsed="false">
      <c r="A999" s="4" t="s">
        <v>21</v>
      </c>
      <c r="B999" s="4" t="s">
        <v>13</v>
      </c>
      <c r="C999" s="4" t="n">
        <v>23</v>
      </c>
      <c r="D999" s="5" t="n">
        <v>27</v>
      </c>
      <c r="E999" s="6" t="n">
        <f aca="false">DATE(2024,1,17)</f>
        <v>45308</v>
      </c>
      <c r="F999" s="7" t="n">
        <f aca="false">C999*D999</f>
        <v>621</v>
      </c>
      <c r="G999" s="7" t="n">
        <f aca="false">ROUND(F999*0.2,2)</f>
        <v>124.2</v>
      </c>
      <c r="H999" s="4" t="str">
        <f aca="false">IF(F999&gt;500,"Yüksek",IF(F999&gt;100,"Orta","Düşük"))</f>
        <v>Yüksek</v>
      </c>
    </row>
    <row r="1000" customFormat="false" ht="12.8" hidden="false" customHeight="false" outlineLevel="0" collapsed="false">
      <c r="A1000" s="4" t="s">
        <v>22</v>
      </c>
      <c r="B1000" s="4" t="s">
        <v>15</v>
      </c>
      <c r="C1000" s="4" t="n">
        <v>30</v>
      </c>
      <c r="D1000" s="5" t="n">
        <v>29.75</v>
      </c>
      <c r="E1000" s="6" t="n">
        <f aca="false">DATE(2024,2,18)</f>
        <v>45340</v>
      </c>
      <c r="F1000" s="7" t="n">
        <f aca="false">C1000*D1000</f>
        <v>892.5</v>
      </c>
      <c r="G1000" s="7" t="n">
        <f aca="false">ROUND(F1000*0.2,2)</f>
        <v>178.5</v>
      </c>
      <c r="H1000" s="4" t="str">
        <f aca="false">IF(F1000&gt;500,"Yüksek",IF(F1000&gt;100,"Orta","Düşük"))</f>
        <v>Yüksek</v>
      </c>
    </row>
    <row r="1001" customFormat="false" ht="12.8" hidden="false" customHeight="false" outlineLevel="0" collapsed="false">
      <c r="A1001" s="4" t="s">
        <v>23</v>
      </c>
      <c r="B1001" s="4" t="s">
        <v>17</v>
      </c>
      <c r="C1001" s="4" t="n">
        <v>37</v>
      </c>
      <c r="D1001" s="5" t="n">
        <v>32.5</v>
      </c>
      <c r="E1001" s="6" t="n">
        <f aca="false">DATE(2024,3,19)</f>
        <v>45370</v>
      </c>
      <c r="F1001" s="7" t="n">
        <f aca="false">C1001*D1001</f>
        <v>1202.5</v>
      </c>
      <c r="G1001" s="7" t="n">
        <f aca="false">ROUND(F1001*0.2,2)</f>
        <v>240.5</v>
      </c>
      <c r="H1001" s="4" t="str">
        <f aca="false">IF(F1001&gt;500,"Yüksek",IF(F1001&gt;100,"Orta","Düşük"))</f>
        <v>Yüksek</v>
      </c>
    </row>
    <row r="1002" customFormat="false" ht="12.8" hidden="false" customHeight="false" outlineLevel="0" collapsed="false">
      <c r="A1002" s="4" t="s">
        <v>24</v>
      </c>
      <c r="B1002" s="4" t="s">
        <v>19</v>
      </c>
      <c r="C1002" s="4" t="n">
        <v>44</v>
      </c>
      <c r="D1002" s="5" t="n">
        <v>35.25</v>
      </c>
      <c r="E1002" s="6" t="n">
        <f aca="false">DATE(2024,4,20)</f>
        <v>45402</v>
      </c>
      <c r="F1002" s="7" t="n">
        <f aca="false">C1002*D1002</f>
        <v>1551</v>
      </c>
      <c r="G1002" s="7" t="n">
        <f aca="false">ROUND(F1002*0.2,2)</f>
        <v>310.2</v>
      </c>
      <c r="H1002" s="4" t="str">
        <f aca="false">IF(F1002&gt;500,"Yüksek",IF(F1002&gt;100,"Orta","Düşük"))</f>
        <v>Yüksek</v>
      </c>
    </row>
    <row r="1003" customFormat="false" ht="12.8" hidden="false" customHeight="false" outlineLevel="0" collapsed="false">
      <c r="A1003" s="4" t="s">
        <v>10</v>
      </c>
      <c r="B1003" s="4" t="s">
        <v>11</v>
      </c>
      <c r="C1003" s="4" t="n">
        <v>1</v>
      </c>
      <c r="D1003" s="5" t="n">
        <v>38</v>
      </c>
      <c r="E1003" s="6" t="n">
        <f aca="false">DATE(2024,5,21)</f>
        <v>45433</v>
      </c>
      <c r="F1003" s="7" t="n">
        <f aca="false">C1003*D1003</f>
        <v>38</v>
      </c>
      <c r="G1003" s="7" t="n">
        <f aca="false">ROUND(F1003*0.2,2)</f>
        <v>7.6</v>
      </c>
      <c r="H1003" s="4" t="str">
        <f aca="false">IF(F1003&gt;500,"Yüksek",IF(F1003&gt;100,"Orta","Düşük"))</f>
        <v>Düşük</v>
      </c>
    </row>
    <row r="1004" customFormat="false" ht="12.8" hidden="false" customHeight="false" outlineLevel="0" collapsed="false">
      <c r="A1004" s="4" t="s">
        <v>12</v>
      </c>
      <c r="B1004" s="4" t="s">
        <v>13</v>
      </c>
      <c r="C1004" s="4" t="n">
        <v>8</v>
      </c>
      <c r="D1004" s="5" t="n">
        <v>5</v>
      </c>
      <c r="E1004" s="6" t="n">
        <f aca="false">DATE(2024,6,22)</f>
        <v>45465</v>
      </c>
      <c r="F1004" s="7" t="n">
        <f aca="false">C1004*D1004</f>
        <v>40</v>
      </c>
      <c r="G1004" s="7" t="n">
        <f aca="false">ROUND(F1004*0.2,2)</f>
        <v>8</v>
      </c>
      <c r="H1004" s="4" t="str">
        <f aca="false">IF(F1004&gt;500,"Yüksek",IF(F1004&gt;100,"Orta","Düşük"))</f>
        <v>Düşük</v>
      </c>
    </row>
    <row r="1005" customFormat="false" ht="12.8" hidden="false" customHeight="false" outlineLevel="0" collapsed="false">
      <c r="A1005" s="4" t="s">
        <v>14</v>
      </c>
      <c r="B1005" s="4" t="s">
        <v>15</v>
      </c>
      <c r="C1005" s="4" t="n">
        <v>15</v>
      </c>
      <c r="D1005" s="5" t="n">
        <v>7.75</v>
      </c>
      <c r="E1005" s="6" t="n">
        <f aca="false">DATE(2024,7,23)</f>
        <v>45496</v>
      </c>
      <c r="F1005" s="7" t="n">
        <f aca="false">C1005*D1005</f>
        <v>116.25</v>
      </c>
      <c r="G1005" s="7" t="n">
        <f aca="false">ROUND(F1005*0.2,2)</f>
        <v>23.25</v>
      </c>
      <c r="H1005" s="4" t="str">
        <f aca="false">IF(F1005&gt;500,"Yüksek",IF(F1005&gt;100,"Orta","Düşük"))</f>
        <v>Orta</v>
      </c>
    </row>
    <row r="1006" customFormat="false" ht="12.8" hidden="false" customHeight="false" outlineLevel="0" collapsed="false">
      <c r="A1006" s="4" t="s">
        <v>16</v>
      </c>
      <c r="B1006" s="4" t="s">
        <v>17</v>
      </c>
      <c r="C1006" s="4" t="n">
        <v>22</v>
      </c>
      <c r="D1006" s="5" t="n">
        <v>10.5</v>
      </c>
      <c r="E1006" s="6" t="n">
        <f aca="false">DATE(2024,8,24)</f>
        <v>45528</v>
      </c>
      <c r="F1006" s="7" t="n">
        <f aca="false">C1006*D1006</f>
        <v>231</v>
      </c>
      <c r="G1006" s="7" t="n">
        <f aca="false">ROUND(F1006*0.2,2)</f>
        <v>46.2</v>
      </c>
      <c r="H1006" s="4" t="str">
        <f aca="false">IF(F1006&gt;500,"Yüksek",IF(F1006&gt;100,"Orta","Düşük"))</f>
        <v>Orta</v>
      </c>
    </row>
    <row r="1007" customFormat="false" ht="12.8" hidden="false" customHeight="false" outlineLevel="0" collapsed="false">
      <c r="A1007" s="4" t="s">
        <v>18</v>
      </c>
      <c r="B1007" s="4" t="s">
        <v>19</v>
      </c>
      <c r="C1007" s="4" t="n">
        <v>29</v>
      </c>
      <c r="D1007" s="5" t="n">
        <v>13.25</v>
      </c>
      <c r="E1007" s="6" t="n">
        <f aca="false">DATE(2024,9,25)</f>
        <v>45560</v>
      </c>
      <c r="F1007" s="7" t="n">
        <f aca="false">C1007*D1007</f>
        <v>384.25</v>
      </c>
      <c r="G1007" s="7" t="n">
        <f aca="false">ROUND(F1007*0.2,2)</f>
        <v>76.85</v>
      </c>
      <c r="H1007" s="4" t="str">
        <f aca="false">IF(F1007&gt;500,"Yüksek",IF(F1007&gt;100,"Orta","Düşük"))</f>
        <v>Orta</v>
      </c>
    </row>
    <row r="1008" customFormat="false" ht="12.8" hidden="false" customHeight="false" outlineLevel="0" collapsed="false">
      <c r="A1008" s="4" t="s">
        <v>20</v>
      </c>
      <c r="B1008" s="4" t="s">
        <v>11</v>
      </c>
      <c r="C1008" s="4" t="n">
        <v>36</v>
      </c>
      <c r="D1008" s="5" t="n">
        <v>16</v>
      </c>
      <c r="E1008" s="6" t="n">
        <f aca="false">DATE(2024,10,26)</f>
        <v>45591</v>
      </c>
      <c r="F1008" s="7" t="n">
        <f aca="false">C1008*D1008</f>
        <v>576</v>
      </c>
      <c r="G1008" s="7" t="n">
        <f aca="false">ROUND(F1008*0.2,2)</f>
        <v>115.2</v>
      </c>
      <c r="H1008" s="4" t="str">
        <f aca="false">IF(F1008&gt;500,"Yüksek",IF(F1008&gt;100,"Orta","Düşük"))</f>
        <v>Yüksek</v>
      </c>
    </row>
    <row r="1009" customFormat="false" ht="12.8" hidden="false" customHeight="false" outlineLevel="0" collapsed="false">
      <c r="A1009" s="4" t="s">
        <v>21</v>
      </c>
      <c r="B1009" s="4" t="s">
        <v>13</v>
      </c>
      <c r="C1009" s="4" t="n">
        <v>43</v>
      </c>
      <c r="D1009" s="5" t="n">
        <v>18.75</v>
      </c>
      <c r="E1009" s="6" t="n">
        <f aca="false">DATE(2024,11,27)</f>
        <v>45623</v>
      </c>
      <c r="F1009" s="7" t="n">
        <f aca="false">C1009*D1009</f>
        <v>806.25</v>
      </c>
      <c r="G1009" s="7" t="n">
        <f aca="false">ROUND(F1009*0.2,2)</f>
        <v>161.25</v>
      </c>
      <c r="H1009" s="4" t="str">
        <f aca="false">IF(F1009&gt;500,"Yüksek",IF(F1009&gt;100,"Orta","Düşük"))</f>
        <v>Yüksek</v>
      </c>
    </row>
    <row r="1010" customFormat="false" ht="12.8" hidden="false" customHeight="false" outlineLevel="0" collapsed="false">
      <c r="A1010" s="4" t="s">
        <v>22</v>
      </c>
      <c r="B1010" s="4" t="s">
        <v>15</v>
      </c>
      <c r="C1010" s="4" t="n">
        <v>50</v>
      </c>
      <c r="D1010" s="5" t="n">
        <v>21.5</v>
      </c>
      <c r="E1010" s="6" t="n">
        <f aca="false">DATE(2024,12,28)</f>
        <v>45654</v>
      </c>
      <c r="F1010" s="7" t="n">
        <f aca="false">C1010*D1010</f>
        <v>1075</v>
      </c>
      <c r="G1010" s="7" t="n">
        <f aca="false">ROUND(F1010*0.2,2)</f>
        <v>215</v>
      </c>
      <c r="H1010" s="4" t="str">
        <f aca="false">IF(F1010&gt;500,"Yüksek",IF(F1010&gt;100,"Orta","Düşük"))</f>
        <v>Yüksek</v>
      </c>
    </row>
    <row r="1011" customFormat="false" ht="12.8" hidden="false" customHeight="false" outlineLevel="0" collapsed="false">
      <c r="A1011" s="4" t="s">
        <v>23</v>
      </c>
      <c r="B1011" s="4" t="s">
        <v>17</v>
      </c>
      <c r="C1011" s="4" t="n">
        <v>7</v>
      </c>
      <c r="D1011" s="5" t="n">
        <v>24.25</v>
      </c>
      <c r="E1011" s="6" t="n">
        <f aca="false">DATE(2024,1,1)</f>
        <v>45292</v>
      </c>
      <c r="F1011" s="7" t="n">
        <f aca="false">C1011*D1011</f>
        <v>169.75</v>
      </c>
      <c r="G1011" s="7" t="n">
        <f aca="false">ROUND(F1011*0.2,2)</f>
        <v>33.95</v>
      </c>
      <c r="H1011" s="4" t="str">
        <f aca="false">IF(F1011&gt;500,"Yüksek",IF(F1011&gt;100,"Orta","Düşük"))</f>
        <v>Orta</v>
      </c>
    </row>
    <row r="1012" customFormat="false" ht="12.8" hidden="false" customHeight="false" outlineLevel="0" collapsed="false">
      <c r="A1012" s="4" t="s">
        <v>24</v>
      </c>
      <c r="B1012" s="4" t="s">
        <v>19</v>
      </c>
      <c r="C1012" s="4" t="n">
        <v>14</v>
      </c>
      <c r="D1012" s="5" t="n">
        <v>27</v>
      </c>
      <c r="E1012" s="6" t="n">
        <f aca="false">DATE(2024,2,2)</f>
        <v>45324</v>
      </c>
      <c r="F1012" s="7" t="n">
        <f aca="false">C1012*D1012</f>
        <v>378</v>
      </c>
      <c r="G1012" s="7" t="n">
        <f aca="false">ROUND(F1012*0.2,2)</f>
        <v>75.6</v>
      </c>
      <c r="H1012" s="4" t="str">
        <f aca="false">IF(F1012&gt;500,"Yüksek",IF(F1012&gt;100,"Orta","Düşük"))</f>
        <v>Orta</v>
      </c>
    </row>
    <row r="1013" customFormat="false" ht="12.8" hidden="false" customHeight="false" outlineLevel="0" collapsed="false">
      <c r="A1013" s="4" t="s">
        <v>10</v>
      </c>
      <c r="B1013" s="4" t="s">
        <v>11</v>
      </c>
      <c r="C1013" s="4" t="n">
        <v>21</v>
      </c>
      <c r="D1013" s="5" t="n">
        <v>29.75</v>
      </c>
      <c r="E1013" s="6" t="n">
        <f aca="false">DATE(2024,3,3)</f>
        <v>45354</v>
      </c>
      <c r="F1013" s="7" t="n">
        <f aca="false">C1013*D1013</f>
        <v>624.75</v>
      </c>
      <c r="G1013" s="7" t="n">
        <f aca="false">ROUND(F1013*0.2,2)</f>
        <v>124.95</v>
      </c>
      <c r="H1013" s="4" t="str">
        <f aca="false">IF(F1013&gt;500,"Yüksek",IF(F1013&gt;100,"Orta","Düşük"))</f>
        <v>Yüksek</v>
      </c>
    </row>
    <row r="1014" customFormat="false" ht="12.8" hidden="false" customHeight="false" outlineLevel="0" collapsed="false">
      <c r="A1014" s="4" t="s">
        <v>12</v>
      </c>
      <c r="B1014" s="4" t="s">
        <v>13</v>
      </c>
      <c r="C1014" s="4" t="n">
        <v>28</v>
      </c>
      <c r="D1014" s="5" t="n">
        <v>32.5</v>
      </c>
      <c r="E1014" s="6" t="n">
        <f aca="false">DATE(2024,4,4)</f>
        <v>45386</v>
      </c>
      <c r="F1014" s="7" t="n">
        <f aca="false">C1014*D1014</f>
        <v>910</v>
      </c>
      <c r="G1014" s="7" t="n">
        <f aca="false">ROUND(F1014*0.2,2)</f>
        <v>182</v>
      </c>
      <c r="H1014" s="4" t="str">
        <f aca="false">IF(F1014&gt;500,"Yüksek",IF(F1014&gt;100,"Orta","Düşük"))</f>
        <v>Yüksek</v>
      </c>
    </row>
    <row r="1015" customFormat="false" ht="12.8" hidden="false" customHeight="false" outlineLevel="0" collapsed="false">
      <c r="A1015" s="4" t="s">
        <v>14</v>
      </c>
      <c r="B1015" s="4" t="s">
        <v>15</v>
      </c>
      <c r="C1015" s="4" t="n">
        <v>35</v>
      </c>
      <c r="D1015" s="5" t="n">
        <v>35.25</v>
      </c>
      <c r="E1015" s="6" t="n">
        <f aca="false">DATE(2024,5,5)</f>
        <v>45417</v>
      </c>
      <c r="F1015" s="7" t="n">
        <f aca="false">C1015*D1015</f>
        <v>1233.75</v>
      </c>
      <c r="G1015" s="7" t="n">
        <f aca="false">ROUND(F1015*0.2,2)</f>
        <v>246.75</v>
      </c>
      <c r="H1015" s="4" t="str">
        <f aca="false">IF(F1015&gt;500,"Yüksek",IF(F1015&gt;100,"Orta","Düşük"))</f>
        <v>Yüksek</v>
      </c>
    </row>
    <row r="1016" customFormat="false" ht="12.8" hidden="false" customHeight="false" outlineLevel="0" collapsed="false">
      <c r="A1016" s="4" t="s">
        <v>16</v>
      </c>
      <c r="B1016" s="4" t="s">
        <v>17</v>
      </c>
      <c r="C1016" s="4" t="n">
        <v>42</v>
      </c>
      <c r="D1016" s="5" t="n">
        <v>38</v>
      </c>
      <c r="E1016" s="6" t="n">
        <f aca="false">DATE(2024,6,6)</f>
        <v>45449</v>
      </c>
      <c r="F1016" s="7" t="n">
        <f aca="false">C1016*D1016</f>
        <v>1596</v>
      </c>
      <c r="G1016" s="7" t="n">
        <f aca="false">ROUND(F1016*0.2,2)</f>
        <v>319.2</v>
      </c>
      <c r="H1016" s="4" t="str">
        <f aca="false">IF(F1016&gt;500,"Yüksek",IF(F1016&gt;100,"Orta","Düşük"))</f>
        <v>Yüksek</v>
      </c>
    </row>
    <row r="1017" customFormat="false" ht="12.8" hidden="false" customHeight="false" outlineLevel="0" collapsed="false">
      <c r="A1017" s="4" t="s">
        <v>18</v>
      </c>
      <c r="B1017" s="4" t="s">
        <v>19</v>
      </c>
      <c r="C1017" s="4" t="n">
        <v>49</v>
      </c>
      <c r="D1017" s="5" t="n">
        <v>5</v>
      </c>
      <c r="E1017" s="6" t="n">
        <f aca="false">DATE(2024,7,7)</f>
        <v>45480</v>
      </c>
      <c r="F1017" s="7" t="n">
        <f aca="false">C1017*D1017</f>
        <v>245</v>
      </c>
      <c r="G1017" s="7" t="n">
        <f aca="false">ROUND(F1017*0.2,2)</f>
        <v>49</v>
      </c>
      <c r="H1017" s="4" t="str">
        <f aca="false">IF(F1017&gt;500,"Yüksek",IF(F1017&gt;100,"Orta","Düşük"))</f>
        <v>Orta</v>
      </c>
    </row>
    <row r="1018" customFormat="false" ht="12.8" hidden="false" customHeight="false" outlineLevel="0" collapsed="false">
      <c r="A1018" s="4" t="s">
        <v>20</v>
      </c>
      <c r="B1018" s="4" t="s">
        <v>11</v>
      </c>
      <c r="C1018" s="4" t="n">
        <v>6</v>
      </c>
      <c r="D1018" s="5" t="n">
        <v>7.75</v>
      </c>
      <c r="E1018" s="6" t="n">
        <f aca="false">DATE(2024,8,8)</f>
        <v>45512</v>
      </c>
      <c r="F1018" s="7" t="n">
        <f aca="false">C1018*D1018</f>
        <v>46.5</v>
      </c>
      <c r="G1018" s="7" t="n">
        <f aca="false">ROUND(F1018*0.2,2)</f>
        <v>9.3</v>
      </c>
      <c r="H1018" s="4" t="str">
        <f aca="false">IF(F1018&gt;500,"Yüksek",IF(F1018&gt;100,"Orta","Düşük"))</f>
        <v>Düşük</v>
      </c>
    </row>
    <row r="1019" customFormat="false" ht="12.8" hidden="false" customHeight="false" outlineLevel="0" collapsed="false">
      <c r="A1019" s="4" t="s">
        <v>21</v>
      </c>
      <c r="B1019" s="4" t="s">
        <v>13</v>
      </c>
      <c r="C1019" s="4" t="n">
        <v>13</v>
      </c>
      <c r="D1019" s="5" t="n">
        <v>10.5</v>
      </c>
      <c r="E1019" s="6" t="n">
        <f aca="false">DATE(2024,9,9)</f>
        <v>45544</v>
      </c>
      <c r="F1019" s="7" t="n">
        <f aca="false">C1019*D1019</f>
        <v>136.5</v>
      </c>
      <c r="G1019" s="7" t="n">
        <f aca="false">ROUND(F1019*0.2,2)</f>
        <v>27.3</v>
      </c>
      <c r="H1019" s="4" t="str">
        <f aca="false">IF(F1019&gt;500,"Yüksek",IF(F1019&gt;100,"Orta","Düşük"))</f>
        <v>Orta</v>
      </c>
    </row>
    <row r="1020" customFormat="false" ht="12.8" hidden="false" customHeight="false" outlineLevel="0" collapsed="false">
      <c r="A1020" s="4" t="s">
        <v>22</v>
      </c>
      <c r="B1020" s="4" t="s">
        <v>15</v>
      </c>
      <c r="C1020" s="4" t="n">
        <v>20</v>
      </c>
      <c r="D1020" s="5" t="n">
        <v>13.25</v>
      </c>
      <c r="E1020" s="6" t="n">
        <f aca="false">DATE(2024,10,10)</f>
        <v>45575</v>
      </c>
      <c r="F1020" s="7" t="n">
        <f aca="false">C1020*D1020</f>
        <v>265</v>
      </c>
      <c r="G1020" s="7" t="n">
        <f aca="false">ROUND(F1020*0.2,2)</f>
        <v>53</v>
      </c>
      <c r="H1020" s="4" t="str">
        <f aca="false">IF(F1020&gt;500,"Yüksek",IF(F1020&gt;100,"Orta","Düşük"))</f>
        <v>Orta</v>
      </c>
    </row>
    <row r="1021" customFormat="false" ht="12.8" hidden="false" customHeight="false" outlineLevel="0" collapsed="false">
      <c r="A1021" s="4" t="s">
        <v>23</v>
      </c>
      <c r="B1021" s="4" t="s">
        <v>17</v>
      </c>
      <c r="C1021" s="4" t="n">
        <v>27</v>
      </c>
      <c r="D1021" s="5" t="n">
        <v>16</v>
      </c>
      <c r="E1021" s="6" t="n">
        <f aca="false">DATE(2024,11,11)</f>
        <v>45607</v>
      </c>
      <c r="F1021" s="7" t="n">
        <f aca="false">C1021*D1021</f>
        <v>432</v>
      </c>
      <c r="G1021" s="7" t="n">
        <f aca="false">ROUND(F1021*0.2,2)</f>
        <v>86.4</v>
      </c>
      <c r="H1021" s="4" t="str">
        <f aca="false">IF(F1021&gt;500,"Yüksek",IF(F1021&gt;100,"Orta","Düşük"))</f>
        <v>Orta</v>
      </c>
    </row>
    <row r="1022" customFormat="false" ht="12.8" hidden="false" customHeight="false" outlineLevel="0" collapsed="false">
      <c r="A1022" s="4" t="s">
        <v>24</v>
      </c>
      <c r="B1022" s="4" t="s">
        <v>19</v>
      </c>
      <c r="C1022" s="4" t="n">
        <v>34</v>
      </c>
      <c r="D1022" s="5" t="n">
        <v>18.75</v>
      </c>
      <c r="E1022" s="6" t="n">
        <f aca="false">DATE(2024,12,12)</f>
        <v>45638</v>
      </c>
      <c r="F1022" s="7" t="n">
        <f aca="false">C1022*D1022</f>
        <v>637.5</v>
      </c>
      <c r="G1022" s="7" t="n">
        <f aca="false">ROUND(F1022*0.2,2)</f>
        <v>127.5</v>
      </c>
      <c r="H1022" s="4" t="str">
        <f aca="false">IF(F1022&gt;500,"Yüksek",IF(F1022&gt;100,"Orta","Düşük"))</f>
        <v>Yüksek</v>
      </c>
    </row>
    <row r="1023" customFormat="false" ht="12.8" hidden="false" customHeight="false" outlineLevel="0" collapsed="false">
      <c r="A1023" s="4" t="s">
        <v>10</v>
      </c>
      <c r="B1023" s="4" t="s">
        <v>11</v>
      </c>
      <c r="C1023" s="4" t="n">
        <v>41</v>
      </c>
      <c r="D1023" s="5" t="n">
        <v>21.5</v>
      </c>
      <c r="E1023" s="6" t="n">
        <f aca="false">DATE(2024,1,13)</f>
        <v>45304</v>
      </c>
      <c r="F1023" s="7" t="n">
        <f aca="false">C1023*D1023</f>
        <v>881.5</v>
      </c>
      <c r="G1023" s="7" t="n">
        <f aca="false">ROUND(F1023*0.2,2)</f>
        <v>176.3</v>
      </c>
      <c r="H1023" s="4" t="str">
        <f aca="false">IF(F1023&gt;500,"Yüksek",IF(F1023&gt;100,"Orta","Düşük"))</f>
        <v>Yüksek</v>
      </c>
    </row>
    <row r="1024" customFormat="false" ht="12.8" hidden="false" customHeight="false" outlineLevel="0" collapsed="false">
      <c r="A1024" s="4" t="s">
        <v>12</v>
      </c>
      <c r="B1024" s="4" t="s">
        <v>13</v>
      </c>
      <c r="C1024" s="4" t="n">
        <v>48</v>
      </c>
      <c r="D1024" s="5" t="n">
        <v>24.25</v>
      </c>
      <c r="E1024" s="6" t="n">
        <f aca="false">DATE(2024,2,14)</f>
        <v>45336</v>
      </c>
      <c r="F1024" s="7" t="n">
        <f aca="false">C1024*D1024</f>
        <v>1164</v>
      </c>
      <c r="G1024" s="7" t="n">
        <f aca="false">ROUND(F1024*0.2,2)</f>
        <v>232.8</v>
      </c>
      <c r="H1024" s="4" t="str">
        <f aca="false">IF(F1024&gt;500,"Yüksek",IF(F1024&gt;100,"Orta","Düşük"))</f>
        <v>Yüksek</v>
      </c>
    </row>
    <row r="1025" customFormat="false" ht="12.8" hidden="false" customHeight="false" outlineLevel="0" collapsed="false">
      <c r="A1025" s="4" t="s">
        <v>14</v>
      </c>
      <c r="B1025" s="4" t="s">
        <v>15</v>
      </c>
      <c r="C1025" s="4" t="n">
        <v>5</v>
      </c>
      <c r="D1025" s="5" t="n">
        <v>27</v>
      </c>
      <c r="E1025" s="6" t="n">
        <f aca="false">DATE(2024,3,15)</f>
        <v>45366</v>
      </c>
      <c r="F1025" s="7" t="n">
        <f aca="false">C1025*D1025</f>
        <v>135</v>
      </c>
      <c r="G1025" s="7" t="n">
        <f aca="false">ROUND(F1025*0.2,2)</f>
        <v>27</v>
      </c>
      <c r="H1025" s="4" t="str">
        <f aca="false">IF(F1025&gt;500,"Yüksek",IF(F1025&gt;100,"Orta","Düşük"))</f>
        <v>Orta</v>
      </c>
    </row>
    <row r="1026" customFormat="false" ht="12.8" hidden="false" customHeight="false" outlineLevel="0" collapsed="false">
      <c r="A1026" s="4" t="s">
        <v>16</v>
      </c>
      <c r="B1026" s="4" t="s">
        <v>17</v>
      </c>
      <c r="C1026" s="4" t="n">
        <v>12</v>
      </c>
      <c r="D1026" s="5" t="n">
        <v>29.75</v>
      </c>
      <c r="E1026" s="6" t="n">
        <f aca="false">DATE(2024,4,16)</f>
        <v>45398</v>
      </c>
      <c r="F1026" s="7" t="n">
        <f aca="false">C1026*D1026</f>
        <v>357</v>
      </c>
      <c r="G1026" s="7" t="n">
        <f aca="false">ROUND(F1026*0.2,2)</f>
        <v>71.4</v>
      </c>
      <c r="H1026" s="4" t="str">
        <f aca="false">IF(F1026&gt;500,"Yüksek",IF(F1026&gt;100,"Orta","Düşük"))</f>
        <v>Orta</v>
      </c>
    </row>
    <row r="1027" customFormat="false" ht="12.8" hidden="false" customHeight="false" outlineLevel="0" collapsed="false">
      <c r="A1027" s="4" t="s">
        <v>18</v>
      </c>
      <c r="B1027" s="4" t="s">
        <v>19</v>
      </c>
      <c r="C1027" s="4" t="n">
        <v>19</v>
      </c>
      <c r="D1027" s="5" t="n">
        <v>32.5</v>
      </c>
      <c r="E1027" s="6" t="n">
        <f aca="false">DATE(2024,5,17)</f>
        <v>45429</v>
      </c>
      <c r="F1027" s="7" t="n">
        <f aca="false">C1027*D1027</f>
        <v>617.5</v>
      </c>
      <c r="G1027" s="7" t="n">
        <f aca="false">ROUND(F1027*0.2,2)</f>
        <v>123.5</v>
      </c>
      <c r="H1027" s="4" t="str">
        <f aca="false">IF(F1027&gt;500,"Yüksek",IF(F1027&gt;100,"Orta","Düşük"))</f>
        <v>Yüksek</v>
      </c>
    </row>
    <row r="1028" customFormat="false" ht="12.8" hidden="false" customHeight="false" outlineLevel="0" collapsed="false">
      <c r="A1028" s="4" t="s">
        <v>20</v>
      </c>
      <c r="B1028" s="4" t="s">
        <v>11</v>
      </c>
      <c r="C1028" s="4" t="n">
        <v>26</v>
      </c>
      <c r="D1028" s="5" t="n">
        <v>35.25</v>
      </c>
      <c r="E1028" s="6" t="n">
        <f aca="false">DATE(2024,6,18)</f>
        <v>45461</v>
      </c>
      <c r="F1028" s="7" t="n">
        <f aca="false">C1028*D1028</f>
        <v>916.5</v>
      </c>
      <c r="G1028" s="7" t="n">
        <f aca="false">ROUND(F1028*0.2,2)</f>
        <v>183.3</v>
      </c>
      <c r="H1028" s="4" t="str">
        <f aca="false">IF(F1028&gt;500,"Yüksek",IF(F1028&gt;100,"Orta","Düşük"))</f>
        <v>Yüksek</v>
      </c>
    </row>
    <row r="1029" customFormat="false" ht="12.8" hidden="false" customHeight="false" outlineLevel="0" collapsed="false">
      <c r="A1029" s="4" t="s">
        <v>21</v>
      </c>
      <c r="B1029" s="4" t="s">
        <v>13</v>
      </c>
      <c r="C1029" s="4" t="n">
        <v>33</v>
      </c>
      <c r="D1029" s="5" t="n">
        <v>38</v>
      </c>
      <c r="E1029" s="6" t="n">
        <f aca="false">DATE(2024,7,19)</f>
        <v>45492</v>
      </c>
      <c r="F1029" s="7" t="n">
        <f aca="false">C1029*D1029</f>
        <v>1254</v>
      </c>
      <c r="G1029" s="7" t="n">
        <f aca="false">ROUND(F1029*0.2,2)</f>
        <v>250.8</v>
      </c>
      <c r="H1029" s="4" t="str">
        <f aca="false">IF(F1029&gt;500,"Yüksek",IF(F1029&gt;100,"Orta","Düşük"))</f>
        <v>Yüksek</v>
      </c>
    </row>
    <row r="1030" customFormat="false" ht="12.8" hidden="false" customHeight="false" outlineLevel="0" collapsed="false">
      <c r="A1030" s="4" t="s">
        <v>22</v>
      </c>
      <c r="B1030" s="4" t="s">
        <v>15</v>
      </c>
      <c r="C1030" s="4" t="n">
        <v>40</v>
      </c>
      <c r="D1030" s="5" t="n">
        <v>5</v>
      </c>
      <c r="E1030" s="6" t="n">
        <f aca="false">DATE(2024,8,20)</f>
        <v>45524</v>
      </c>
      <c r="F1030" s="7" t="n">
        <f aca="false">C1030*D1030</f>
        <v>200</v>
      </c>
      <c r="G1030" s="7" t="n">
        <f aca="false">ROUND(F1030*0.2,2)</f>
        <v>40</v>
      </c>
      <c r="H1030" s="4" t="str">
        <f aca="false">IF(F1030&gt;500,"Yüksek",IF(F1030&gt;100,"Orta","Düşük"))</f>
        <v>Orta</v>
      </c>
    </row>
    <row r="1031" customFormat="false" ht="12.8" hidden="false" customHeight="false" outlineLevel="0" collapsed="false">
      <c r="A1031" s="4" t="s">
        <v>23</v>
      </c>
      <c r="B1031" s="4" t="s">
        <v>17</v>
      </c>
      <c r="C1031" s="4" t="n">
        <v>47</v>
      </c>
      <c r="D1031" s="5" t="n">
        <v>7.75</v>
      </c>
      <c r="E1031" s="6" t="n">
        <f aca="false">DATE(2024,9,21)</f>
        <v>45556</v>
      </c>
      <c r="F1031" s="7" t="n">
        <f aca="false">C1031*D1031</f>
        <v>364.25</v>
      </c>
      <c r="G1031" s="7" t="n">
        <f aca="false">ROUND(F1031*0.2,2)</f>
        <v>72.85</v>
      </c>
      <c r="H1031" s="4" t="str">
        <f aca="false">IF(F1031&gt;500,"Yüksek",IF(F1031&gt;100,"Orta","Düşük"))</f>
        <v>Orta</v>
      </c>
    </row>
    <row r="1032" customFormat="false" ht="12.8" hidden="false" customHeight="false" outlineLevel="0" collapsed="false">
      <c r="A1032" s="4" t="s">
        <v>24</v>
      </c>
      <c r="B1032" s="4" t="s">
        <v>19</v>
      </c>
      <c r="C1032" s="4" t="n">
        <v>4</v>
      </c>
      <c r="D1032" s="5" t="n">
        <v>10.5</v>
      </c>
      <c r="E1032" s="6" t="n">
        <f aca="false">DATE(2024,10,22)</f>
        <v>45587</v>
      </c>
      <c r="F1032" s="7" t="n">
        <f aca="false">C1032*D1032</f>
        <v>42</v>
      </c>
      <c r="G1032" s="7" t="n">
        <f aca="false">ROUND(F1032*0.2,2)</f>
        <v>8.4</v>
      </c>
      <c r="H1032" s="4" t="str">
        <f aca="false">IF(F1032&gt;500,"Yüksek",IF(F1032&gt;100,"Orta","Düşük"))</f>
        <v>Düşük</v>
      </c>
    </row>
    <row r="1033" customFormat="false" ht="12.8" hidden="false" customHeight="false" outlineLevel="0" collapsed="false">
      <c r="A1033" s="4" t="s">
        <v>10</v>
      </c>
      <c r="B1033" s="4" t="s">
        <v>11</v>
      </c>
      <c r="C1033" s="4" t="n">
        <v>11</v>
      </c>
      <c r="D1033" s="5" t="n">
        <v>13.25</v>
      </c>
      <c r="E1033" s="6" t="n">
        <f aca="false">DATE(2024,11,23)</f>
        <v>45619</v>
      </c>
      <c r="F1033" s="7" t="n">
        <f aca="false">C1033*D1033</f>
        <v>145.75</v>
      </c>
      <c r="G1033" s="7" t="n">
        <f aca="false">ROUND(F1033*0.2,2)</f>
        <v>29.15</v>
      </c>
      <c r="H1033" s="4" t="str">
        <f aca="false">IF(F1033&gt;500,"Yüksek",IF(F1033&gt;100,"Orta","Düşük"))</f>
        <v>Orta</v>
      </c>
    </row>
    <row r="1034" customFormat="false" ht="12.8" hidden="false" customHeight="false" outlineLevel="0" collapsed="false">
      <c r="A1034" s="4" t="s">
        <v>12</v>
      </c>
      <c r="B1034" s="4" t="s">
        <v>13</v>
      </c>
      <c r="C1034" s="4" t="n">
        <v>18</v>
      </c>
      <c r="D1034" s="5" t="n">
        <v>16</v>
      </c>
      <c r="E1034" s="6" t="n">
        <f aca="false">DATE(2024,12,24)</f>
        <v>45650</v>
      </c>
      <c r="F1034" s="7" t="n">
        <f aca="false">C1034*D1034</f>
        <v>288</v>
      </c>
      <c r="G1034" s="7" t="n">
        <f aca="false">ROUND(F1034*0.2,2)</f>
        <v>57.6</v>
      </c>
      <c r="H1034" s="4" t="str">
        <f aca="false">IF(F1034&gt;500,"Yüksek",IF(F1034&gt;100,"Orta","Düşük"))</f>
        <v>Orta</v>
      </c>
    </row>
    <row r="1035" customFormat="false" ht="12.8" hidden="false" customHeight="false" outlineLevel="0" collapsed="false">
      <c r="A1035" s="4" t="s">
        <v>14</v>
      </c>
      <c r="B1035" s="4" t="s">
        <v>15</v>
      </c>
      <c r="C1035" s="4" t="n">
        <v>25</v>
      </c>
      <c r="D1035" s="5" t="n">
        <v>18.75</v>
      </c>
      <c r="E1035" s="6" t="n">
        <f aca="false">DATE(2024,1,25)</f>
        <v>45316</v>
      </c>
      <c r="F1035" s="7" t="n">
        <f aca="false">C1035*D1035</f>
        <v>468.75</v>
      </c>
      <c r="G1035" s="7" t="n">
        <f aca="false">ROUND(F1035*0.2,2)</f>
        <v>93.75</v>
      </c>
      <c r="H1035" s="4" t="str">
        <f aca="false">IF(F1035&gt;500,"Yüksek",IF(F1035&gt;100,"Orta","Düşük"))</f>
        <v>Orta</v>
      </c>
    </row>
    <row r="1036" customFormat="false" ht="12.8" hidden="false" customHeight="false" outlineLevel="0" collapsed="false">
      <c r="A1036" s="4" t="s">
        <v>16</v>
      </c>
      <c r="B1036" s="4" t="s">
        <v>17</v>
      </c>
      <c r="C1036" s="4" t="n">
        <v>32</v>
      </c>
      <c r="D1036" s="5" t="n">
        <v>21.5</v>
      </c>
      <c r="E1036" s="6" t="n">
        <f aca="false">DATE(2024,2,26)</f>
        <v>45348</v>
      </c>
      <c r="F1036" s="7" t="n">
        <f aca="false">C1036*D1036</f>
        <v>688</v>
      </c>
      <c r="G1036" s="7" t="n">
        <f aca="false">ROUND(F1036*0.2,2)</f>
        <v>137.6</v>
      </c>
      <c r="H1036" s="4" t="str">
        <f aca="false">IF(F1036&gt;500,"Yüksek",IF(F1036&gt;100,"Orta","Düşük"))</f>
        <v>Yüksek</v>
      </c>
    </row>
    <row r="1037" customFormat="false" ht="12.8" hidden="false" customHeight="false" outlineLevel="0" collapsed="false">
      <c r="A1037" s="4" t="s">
        <v>18</v>
      </c>
      <c r="B1037" s="4" t="s">
        <v>19</v>
      </c>
      <c r="C1037" s="4" t="n">
        <v>39</v>
      </c>
      <c r="D1037" s="5" t="n">
        <v>24.25</v>
      </c>
      <c r="E1037" s="6" t="n">
        <f aca="false">DATE(2024,3,27)</f>
        <v>45378</v>
      </c>
      <c r="F1037" s="7" t="n">
        <f aca="false">C1037*D1037</f>
        <v>945.75</v>
      </c>
      <c r="G1037" s="7" t="n">
        <f aca="false">ROUND(F1037*0.2,2)</f>
        <v>189.15</v>
      </c>
      <c r="H1037" s="4" t="str">
        <f aca="false">IF(F1037&gt;500,"Yüksek",IF(F1037&gt;100,"Orta","Düşük"))</f>
        <v>Yüksek</v>
      </c>
    </row>
    <row r="1038" customFormat="false" ht="12.8" hidden="false" customHeight="false" outlineLevel="0" collapsed="false">
      <c r="A1038" s="4" t="s">
        <v>20</v>
      </c>
      <c r="B1038" s="4" t="s">
        <v>11</v>
      </c>
      <c r="C1038" s="4" t="n">
        <v>46</v>
      </c>
      <c r="D1038" s="5" t="n">
        <v>27</v>
      </c>
      <c r="E1038" s="6" t="n">
        <f aca="false">DATE(2024,4,28)</f>
        <v>45410</v>
      </c>
      <c r="F1038" s="7" t="n">
        <f aca="false">C1038*D1038</f>
        <v>1242</v>
      </c>
      <c r="G1038" s="7" t="n">
        <f aca="false">ROUND(F1038*0.2,2)</f>
        <v>248.4</v>
      </c>
      <c r="H1038" s="4" t="str">
        <f aca="false">IF(F1038&gt;500,"Yüksek",IF(F1038&gt;100,"Orta","Düşük"))</f>
        <v>Yüksek</v>
      </c>
    </row>
    <row r="1039" customFormat="false" ht="12.8" hidden="false" customHeight="false" outlineLevel="0" collapsed="false">
      <c r="A1039" s="4" t="s">
        <v>21</v>
      </c>
      <c r="B1039" s="4" t="s">
        <v>13</v>
      </c>
      <c r="C1039" s="4" t="n">
        <v>3</v>
      </c>
      <c r="D1039" s="5" t="n">
        <v>29.75</v>
      </c>
      <c r="E1039" s="6" t="n">
        <f aca="false">DATE(2024,5,1)</f>
        <v>45413</v>
      </c>
      <c r="F1039" s="7" t="n">
        <f aca="false">C1039*D1039</f>
        <v>89.25</v>
      </c>
      <c r="G1039" s="7" t="n">
        <f aca="false">ROUND(F1039*0.2,2)</f>
        <v>17.85</v>
      </c>
      <c r="H1039" s="4" t="str">
        <f aca="false">IF(F1039&gt;500,"Yüksek",IF(F1039&gt;100,"Orta","Düşük"))</f>
        <v>Düşük</v>
      </c>
    </row>
    <row r="1040" customFormat="false" ht="12.8" hidden="false" customHeight="false" outlineLevel="0" collapsed="false">
      <c r="A1040" s="4" t="s">
        <v>22</v>
      </c>
      <c r="B1040" s="4" t="s">
        <v>15</v>
      </c>
      <c r="C1040" s="4" t="n">
        <v>10</v>
      </c>
      <c r="D1040" s="5" t="n">
        <v>32.5</v>
      </c>
      <c r="E1040" s="6" t="n">
        <f aca="false">DATE(2024,6,2)</f>
        <v>45445</v>
      </c>
      <c r="F1040" s="7" t="n">
        <f aca="false">C1040*D1040</f>
        <v>325</v>
      </c>
      <c r="G1040" s="7" t="n">
        <f aca="false">ROUND(F1040*0.2,2)</f>
        <v>65</v>
      </c>
      <c r="H1040" s="4" t="str">
        <f aca="false">IF(F1040&gt;500,"Yüksek",IF(F1040&gt;100,"Orta","Düşük"))</f>
        <v>Orta</v>
      </c>
    </row>
    <row r="1041" customFormat="false" ht="12.8" hidden="false" customHeight="false" outlineLevel="0" collapsed="false">
      <c r="A1041" s="4" t="s">
        <v>23</v>
      </c>
      <c r="B1041" s="4" t="s">
        <v>17</v>
      </c>
      <c r="C1041" s="4" t="n">
        <v>17</v>
      </c>
      <c r="D1041" s="5" t="n">
        <v>35.25</v>
      </c>
      <c r="E1041" s="6" t="n">
        <f aca="false">DATE(2024,7,3)</f>
        <v>45476</v>
      </c>
      <c r="F1041" s="7" t="n">
        <f aca="false">C1041*D1041</f>
        <v>599.25</v>
      </c>
      <c r="G1041" s="7" t="n">
        <f aca="false">ROUND(F1041*0.2,2)</f>
        <v>119.85</v>
      </c>
      <c r="H1041" s="4" t="str">
        <f aca="false">IF(F1041&gt;500,"Yüksek",IF(F1041&gt;100,"Orta","Düşük"))</f>
        <v>Yüksek</v>
      </c>
    </row>
    <row r="1042" customFormat="false" ht="12.8" hidden="false" customHeight="false" outlineLevel="0" collapsed="false">
      <c r="A1042" s="4" t="s">
        <v>24</v>
      </c>
      <c r="B1042" s="4" t="s">
        <v>19</v>
      </c>
      <c r="C1042" s="4" t="n">
        <v>24</v>
      </c>
      <c r="D1042" s="5" t="n">
        <v>38</v>
      </c>
      <c r="E1042" s="6" t="n">
        <f aca="false">DATE(2024,8,4)</f>
        <v>45508</v>
      </c>
      <c r="F1042" s="7" t="n">
        <f aca="false">C1042*D1042</f>
        <v>912</v>
      </c>
      <c r="G1042" s="7" t="n">
        <f aca="false">ROUND(F1042*0.2,2)</f>
        <v>182.4</v>
      </c>
      <c r="H1042" s="4" t="str">
        <f aca="false">IF(F1042&gt;500,"Yüksek",IF(F1042&gt;100,"Orta","Düşük"))</f>
        <v>Yüksek</v>
      </c>
    </row>
    <row r="1043" customFormat="false" ht="12.8" hidden="false" customHeight="false" outlineLevel="0" collapsed="false">
      <c r="A1043" s="4" t="s">
        <v>10</v>
      </c>
      <c r="B1043" s="4" t="s">
        <v>11</v>
      </c>
      <c r="C1043" s="4" t="n">
        <v>31</v>
      </c>
      <c r="D1043" s="5" t="n">
        <v>5</v>
      </c>
      <c r="E1043" s="6" t="n">
        <f aca="false">DATE(2024,9,5)</f>
        <v>45540</v>
      </c>
      <c r="F1043" s="7" t="n">
        <f aca="false">C1043*D1043</f>
        <v>155</v>
      </c>
      <c r="G1043" s="7" t="n">
        <f aca="false">ROUND(F1043*0.2,2)</f>
        <v>31</v>
      </c>
      <c r="H1043" s="4" t="str">
        <f aca="false">IF(F1043&gt;500,"Yüksek",IF(F1043&gt;100,"Orta","Düşük"))</f>
        <v>Orta</v>
      </c>
    </row>
    <row r="1044" customFormat="false" ht="12.8" hidden="false" customHeight="false" outlineLevel="0" collapsed="false">
      <c r="A1044" s="4" t="s">
        <v>12</v>
      </c>
      <c r="B1044" s="4" t="s">
        <v>13</v>
      </c>
      <c r="C1044" s="4" t="n">
        <v>38</v>
      </c>
      <c r="D1044" s="5" t="n">
        <v>7.75</v>
      </c>
      <c r="E1044" s="6" t="n">
        <f aca="false">DATE(2024,10,6)</f>
        <v>45571</v>
      </c>
      <c r="F1044" s="7" t="n">
        <f aca="false">C1044*D1044</f>
        <v>294.5</v>
      </c>
      <c r="G1044" s="7" t="n">
        <f aca="false">ROUND(F1044*0.2,2)</f>
        <v>58.9</v>
      </c>
      <c r="H1044" s="4" t="str">
        <f aca="false">IF(F1044&gt;500,"Yüksek",IF(F1044&gt;100,"Orta","Düşük"))</f>
        <v>Orta</v>
      </c>
    </row>
    <row r="1045" customFormat="false" ht="12.8" hidden="false" customHeight="false" outlineLevel="0" collapsed="false">
      <c r="A1045" s="4" t="s">
        <v>14</v>
      </c>
      <c r="B1045" s="4" t="s">
        <v>15</v>
      </c>
      <c r="C1045" s="4" t="n">
        <v>45</v>
      </c>
      <c r="D1045" s="5" t="n">
        <v>10.5</v>
      </c>
      <c r="E1045" s="6" t="n">
        <f aca="false">DATE(2024,11,7)</f>
        <v>45603</v>
      </c>
      <c r="F1045" s="7" t="n">
        <f aca="false">C1045*D1045</f>
        <v>472.5</v>
      </c>
      <c r="G1045" s="7" t="n">
        <f aca="false">ROUND(F1045*0.2,2)</f>
        <v>94.5</v>
      </c>
      <c r="H1045" s="4" t="str">
        <f aca="false">IF(F1045&gt;500,"Yüksek",IF(F1045&gt;100,"Orta","Düşük"))</f>
        <v>Orta</v>
      </c>
    </row>
    <row r="1046" customFormat="false" ht="12.8" hidden="false" customHeight="false" outlineLevel="0" collapsed="false">
      <c r="A1046" s="4" t="s">
        <v>16</v>
      </c>
      <c r="B1046" s="4" t="s">
        <v>17</v>
      </c>
      <c r="C1046" s="4" t="n">
        <v>2</v>
      </c>
      <c r="D1046" s="5" t="n">
        <v>13.25</v>
      </c>
      <c r="E1046" s="6" t="n">
        <f aca="false">DATE(2024,12,8)</f>
        <v>45634</v>
      </c>
      <c r="F1046" s="7" t="n">
        <f aca="false">C1046*D1046</f>
        <v>26.5</v>
      </c>
      <c r="G1046" s="7" t="n">
        <f aca="false">ROUND(F1046*0.2,2)</f>
        <v>5.3</v>
      </c>
      <c r="H1046" s="4" t="str">
        <f aca="false">IF(F1046&gt;500,"Yüksek",IF(F1046&gt;100,"Orta","Düşük"))</f>
        <v>Düşük</v>
      </c>
    </row>
    <row r="1047" customFormat="false" ht="12.8" hidden="false" customHeight="false" outlineLevel="0" collapsed="false">
      <c r="A1047" s="4" t="s">
        <v>18</v>
      </c>
      <c r="B1047" s="4" t="s">
        <v>19</v>
      </c>
      <c r="C1047" s="4" t="n">
        <v>9</v>
      </c>
      <c r="D1047" s="5" t="n">
        <v>16</v>
      </c>
      <c r="E1047" s="6" t="n">
        <f aca="false">DATE(2024,1,9)</f>
        <v>45300</v>
      </c>
      <c r="F1047" s="7" t="n">
        <f aca="false">C1047*D1047</f>
        <v>144</v>
      </c>
      <c r="G1047" s="7" t="n">
        <f aca="false">ROUND(F1047*0.2,2)</f>
        <v>28.8</v>
      </c>
      <c r="H1047" s="4" t="str">
        <f aca="false">IF(F1047&gt;500,"Yüksek",IF(F1047&gt;100,"Orta","Düşük"))</f>
        <v>Orta</v>
      </c>
    </row>
    <row r="1048" customFormat="false" ht="12.8" hidden="false" customHeight="false" outlineLevel="0" collapsed="false">
      <c r="A1048" s="4" t="s">
        <v>20</v>
      </c>
      <c r="B1048" s="4" t="s">
        <v>11</v>
      </c>
      <c r="C1048" s="4" t="n">
        <v>16</v>
      </c>
      <c r="D1048" s="5" t="n">
        <v>18.75</v>
      </c>
      <c r="E1048" s="6" t="n">
        <f aca="false">DATE(2024,2,10)</f>
        <v>45332</v>
      </c>
      <c r="F1048" s="7" t="n">
        <f aca="false">C1048*D1048</f>
        <v>300</v>
      </c>
      <c r="G1048" s="7" t="n">
        <f aca="false">ROUND(F1048*0.2,2)</f>
        <v>60</v>
      </c>
      <c r="H1048" s="4" t="str">
        <f aca="false">IF(F1048&gt;500,"Yüksek",IF(F1048&gt;100,"Orta","Düşük"))</f>
        <v>Orta</v>
      </c>
    </row>
    <row r="1049" customFormat="false" ht="12.8" hidden="false" customHeight="false" outlineLevel="0" collapsed="false">
      <c r="A1049" s="4" t="s">
        <v>21</v>
      </c>
      <c r="B1049" s="4" t="s">
        <v>13</v>
      </c>
      <c r="C1049" s="4" t="n">
        <v>23</v>
      </c>
      <c r="D1049" s="5" t="n">
        <v>21.5</v>
      </c>
      <c r="E1049" s="6" t="n">
        <f aca="false">DATE(2024,3,11)</f>
        <v>45362</v>
      </c>
      <c r="F1049" s="7" t="n">
        <f aca="false">C1049*D1049</f>
        <v>494.5</v>
      </c>
      <c r="G1049" s="7" t="n">
        <f aca="false">ROUND(F1049*0.2,2)</f>
        <v>98.9</v>
      </c>
      <c r="H1049" s="4" t="str">
        <f aca="false">IF(F1049&gt;500,"Yüksek",IF(F1049&gt;100,"Orta","Düşük"))</f>
        <v>Orta</v>
      </c>
    </row>
    <row r="1050" customFormat="false" ht="12.8" hidden="false" customHeight="false" outlineLevel="0" collapsed="false">
      <c r="A1050" s="4" t="s">
        <v>22</v>
      </c>
      <c r="B1050" s="4" t="s">
        <v>15</v>
      </c>
      <c r="C1050" s="4" t="n">
        <v>30</v>
      </c>
      <c r="D1050" s="5" t="n">
        <v>24.25</v>
      </c>
      <c r="E1050" s="6" t="n">
        <f aca="false">DATE(2024,4,12)</f>
        <v>45394</v>
      </c>
      <c r="F1050" s="7" t="n">
        <f aca="false">C1050*D1050</f>
        <v>727.5</v>
      </c>
      <c r="G1050" s="7" t="n">
        <f aca="false">ROUND(F1050*0.2,2)</f>
        <v>145.5</v>
      </c>
      <c r="H1050" s="4" t="str">
        <f aca="false">IF(F1050&gt;500,"Yüksek",IF(F1050&gt;100,"Orta","Düşük"))</f>
        <v>Yüksek</v>
      </c>
    </row>
    <row r="1051" customFormat="false" ht="12.8" hidden="false" customHeight="false" outlineLevel="0" collapsed="false">
      <c r="A1051" s="4" t="s">
        <v>23</v>
      </c>
      <c r="B1051" s="4" t="s">
        <v>17</v>
      </c>
      <c r="C1051" s="4" t="n">
        <v>37</v>
      </c>
      <c r="D1051" s="5" t="n">
        <v>27</v>
      </c>
      <c r="E1051" s="6" t="n">
        <f aca="false">DATE(2024,5,13)</f>
        <v>45425</v>
      </c>
      <c r="F1051" s="7" t="n">
        <f aca="false">C1051*D1051</f>
        <v>999</v>
      </c>
      <c r="G1051" s="7" t="n">
        <f aca="false">ROUND(F1051*0.2,2)</f>
        <v>199.8</v>
      </c>
      <c r="H1051" s="4" t="str">
        <f aca="false">IF(F1051&gt;500,"Yüksek",IF(F1051&gt;100,"Orta","Düşük"))</f>
        <v>Yüksek</v>
      </c>
    </row>
    <row r="1052" customFormat="false" ht="12.8" hidden="false" customHeight="false" outlineLevel="0" collapsed="false">
      <c r="A1052" s="4" t="s">
        <v>24</v>
      </c>
      <c r="B1052" s="4" t="s">
        <v>19</v>
      </c>
      <c r="C1052" s="4" t="n">
        <v>44</v>
      </c>
      <c r="D1052" s="5" t="n">
        <v>29.75</v>
      </c>
      <c r="E1052" s="6" t="n">
        <f aca="false">DATE(2024,6,14)</f>
        <v>45457</v>
      </c>
      <c r="F1052" s="7" t="n">
        <f aca="false">C1052*D1052</f>
        <v>1309</v>
      </c>
      <c r="G1052" s="7" t="n">
        <f aca="false">ROUND(F1052*0.2,2)</f>
        <v>261.8</v>
      </c>
      <c r="H1052" s="4" t="str">
        <f aca="false">IF(F1052&gt;500,"Yüksek",IF(F1052&gt;100,"Orta","Düşük"))</f>
        <v>Yüksek</v>
      </c>
    </row>
    <row r="1053" customFormat="false" ht="12.8" hidden="false" customHeight="false" outlineLevel="0" collapsed="false">
      <c r="A1053" s="4" t="s">
        <v>10</v>
      </c>
      <c r="B1053" s="4" t="s">
        <v>11</v>
      </c>
      <c r="C1053" s="4" t="n">
        <v>1</v>
      </c>
      <c r="D1053" s="5" t="n">
        <v>32.5</v>
      </c>
      <c r="E1053" s="6" t="n">
        <f aca="false">DATE(2024,7,15)</f>
        <v>45488</v>
      </c>
      <c r="F1053" s="7" t="n">
        <f aca="false">C1053*D1053</f>
        <v>32.5</v>
      </c>
      <c r="G1053" s="7" t="n">
        <f aca="false">ROUND(F1053*0.2,2)</f>
        <v>6.5</v>
      </c>
      <c r="H1053" s="4" t="str">
        <f aca="false">IF(F1053&gt;500,"Yüksek",IF(F1053&gt;100,"Orta","Düşük"))</f>
        <v>Düşük</v>
      </c>
    </row>
    <row r="1054" customFormat="false" ht="12.8" hidden="false" customHeight="false" outlineLevel="0" collapsed="false">
      <c r="A1054" s="4" t="s">
        <v>12</v>
      </c>
      <c r="B1054" s="4" t="s">
        <v>13</v>
      </c>
      <c r="C1054" s="4" t="n">
        <v>8</v>
      </c>
      <c r="D1054" s="5" t="n">
        <v>35.25</v>
      </c>
      <c r="E1054" s="6" t="n">
        <f aca="false">DATE(2024,8,16)</f>
        <v>45520</v>
      </c>
      <c r="F1054" s="7" t="n">
        <f aca="false">C1054*D1054</f>
        <v>282</v>
      </c>
      <c r="G1054" s="7" t="n">
        <f aca="false">ROUND(F1054*0.2,2)</f>
        <v>56.4</v>
      </c>
      <c r="H1054" s="4" t="str">
        <f aca="false">IF(F1054&gt;500,"Yüksek",IF(F1054&gt;100,"Orta","Düşük"))</f>
        <v>Orta</v>
      </c>
    </row>
    <row r="1055" customFormat="false" ht="12.8" hidden="false" customHeight="false" outlineLevel="0" collapsed="false">
      <c r="A1055" s="4" t="s">
        <v>14</v>
      </c>
      <c r="B1055" s="4" t="s">
        <v>15</v>
      </c>
      <c r="C1055" s="4" t="n">
        <v>15</v>
      </c>
      <c r="D1055" s="5" t="n">
        <v>38</v>
      </c>
      <c r="E1055" s="6" t="n">
        <f aca="false">DATE(2024,9,17)</f>
        <v>45552</v>
      </c>
      <c r="F1055" s="7" t="n">
        <f aca="false">C1055*D1055</f>
        <v>570</v>
      </c>
      <c r="G1055" s="7" t="n">
        <f aca="false">ROUND(F1055*0.2,2)</f>
        <v>114</v>
      </c>
      <c r="H1055" s="4" t="str">
        <f aca="false">IF(F1055&gt;500,"Yüksek",IF(F1055&gt;100,"Orta","Düşük"))</f>
        <v>Yüksek</v>
      </c>
    </row>
    <row r="1056" customFormat="false" ht="12.8" hidden="false" customHeight="false" outlineLevel="0" collapsed="false">
      <c r="A1056" s="4" t="s">
        <v>16</v>
      </c>
      <c r="B1056" s="4" t="s">
        <v>17</v>
      </c>
      <c r="C1056" s="4" t="n">
        <v>22</v>
      </c>
      <c r="D1056" s="5" t="n">
        <v>5</v>
      </c>
      <c r="E1056" s="6" t="n">
        <f aca="false">DATE(2024,10,18)</f>
        <v>45583</v>
      </c>
      <c r="F1056" s="7" t="n">
        <f aca="false">C1056*D1056</f>
        <v>110</v>
      </c>
      <c r="G1056" s="7" t="n">
        <f aca="false">ROUND(F1056*0.2,2)</f>
        <v>22</v>
      </c>
      <c r="H1056" s="4" t="str">
        <f aca="false">IF(F1056&gt;500,"Yüksek",IF(F1056&gt;100,"Orta","Düşük"))</f>
        <v>Orta</v>
      </c>
    </row>
    <row r="1057" customFormat="false" ht="12.8" hidden="false" customHeight="false" outlineLevel="0" collapsed="false">
      <c r="A1057" s="4" t="s">
        <v>18</v>
      </c>
      <c r="B1057" s="4" t="s">
        <v>19</v>
      </c>
      <c r="C1057" s="4" t="n">
        <v>29</v>
      </c>
      <c r="D1057" s="5" t="n">
        <v>7.75</v>
      </c>
      <c r="E1057" s="6" t="n">
        <f aca="false">DATE(2024,11,19)</f>
        <v>45615</v>
      </c>
      <c r="F1057" s="7" t="n">
        <f aca="false">C1057*D1057</f>
        <v>224.75</v>
      </c>
      <c r="G1057" s="7" t="n">
        <f aca="false">ROUND(F1057*0.2,2)</f>
        <v>44.95</v>
      </c>
      <c r="H1057" s="4" t="str">
        <f aca="false">IF(F1057&gt;500,"Yüksek",IF(F1057&gt;100,"Orta","Düşük"))</f>
        <v>Orta</v>
      </c>
    </row>
    <row r="1058" customFormat="false" ht="12.8" hidden="false" customHeight="false" outlineLevel="0" collapsed="false">
      <c r="A1058" s="4" t="s">
        <v>20</v>
      </c>
      <c r="B1058" s="4" t="s">
        <v>11</v>
      </c>
      <c r="C1058" s="4" t="n">
        <v>36</v>
      </c>
      <c r="D1058" s="5" t="n">
        <v>10.5</v>
      </c>
      <c r="E1058" s="6" t="n">
        <f aca="false">DATE(2024,12,20)</f>
        <v>45646</v>
      </c>
      <c r="F1058" s="7" t="n">
        <f aca="false">C1058*D1058</f>
        <v>378</v>
      </c>
      <c r="G1058" s="7" t="n">
        <f aca="false">ROUND(F1058*0.2,2)</f>
        <v>75.6</v>
      </c>
      <c r="H1058" s="4" t="str">
        <f aca="false">IF(F1058&gt;500,"Yüksek",IF(F1058&gt;100,"Orta","Düşük"))</f>
        <v>Orta</v>
      </c>
    </row>
    <row r="1059" customFormat="false" ht="12.8" hidden="false" customHeight="false" outlineLevel="0" collapsed="false">
      <c r="A1059" s="4" t="s">
        <v>21</v>
      </c>
      <c r="B1059" s="4" t="s">
        <v>13</v>
      </c>
      <c r="C1059" s="4" t="n">
        <v>43</v>
      </c>
      <c r="D1059" s="5" t="n">
        <v>13.25</v>
      </c>
      <c r="E1059" s="6" t="n">
        <f aca="false">DATE(2024,1,21)</f>
        <v>45312</v>
      </c>
      <c r="F1059" s="7" t="n">
        <f aca="false">C1059*D1059</f>
        <v>569.75</v>
      </c>
      <c r="G1059" s="7" t="n">
        <f aca="false">ROUND(F1059*0.2,2)</f>
        <v>113.95</v>
      </c>
      <c r="H1059" s="4" t="str">
        <f aca="false">IF(F1059&gt;500,"Yüksek",IF(F1059&gt;100,"Orta","Düşük"))</f>
        <v>Yüksek</v>
      </c>
    </row>
    <row r="1060" customFormat="false" ht="12.8" hidden="false" customHeight="false" outlineLevel="0" collapsed="false">
      <c r="A1060" s="4" t="s">
        <v>22</v>
      </c>
      <c r="B1060" s="4" t="s">
        <v>15</v>
      </c>
      <c r="C1060" s="4" t="n">
        <v>50</v>
      </c>
      <c r="D1060" s="5" t="n">
        <v>16</v>
      </c>
      <c r="E1060" s="6" t="n">
        <f aca="false">DATE(2024,2,22)</f>
        <v>45344</v>
      </c>
      <c r="F1060" s="7" t="n">
        <f aca="false">C1060*D1060</f>
        <v>800</v>
      </c>
      <c r="G1060" s="7" t="n">
        <f aca="false">ROUND(F1060*0.2,2)</f>
        <v>160</v>
      </c>
      <c r="H1060" s="4" t="str">
        <f aca="false">IF(F1060&gt;500,"Yüksek",IF(F1060&gt;100,"Orta","Düşük"))</f>
        <v>Yüksek</v>
      </c>
    </row>
    <row r="1061" customFormat="false" ht="12.8" hidden="false" customHeight="false" outlineLevel="0" collapsed="false">
      <c r="A1061" s="4" t="s">
        <v>23</v>
      </c>
      <c r="B1061" s="4" t="s">
        <v>17</v>
      </c>
      <c r="C1061" s="4" t="n">
        <v>7</v>
      </c>
      <c r="D1061" s="5" t="n">
        <v>18.75</v>
      </c>
      <c r="E1061" s="6" t="n">
        <f aca="false">DATE(2024,3,23)</f>
        <v>45374</v>
      </c>
      <c r="F1061" s="7" t="n">
        <f aca="false">C1061*D1061</f>
        <v>131.25</v>
      </c>
      <c r="G1061" s="7" t="n">
        <f aca="false">ROUND(F1061*0.2,2)</f>
        <v>26.25</v>
      </c>
      <c r="H1061" s="4" t="str">
        <f aca="false">IF(F1061&gt;500,"Yüksek",IF(F1061&gt;100,"Orta","Düşük"))</f>
        <v>Orta</v>
      </c>
    </row>
    <row r="1062" customFormat="false" ht="12.8" hidden="false" customHeight="false" outlineLevel="0" collapsed="false">
      <c r="A1062" s="4" t="s">
        <v>24</v>
      </c>
      <c r="B1062" s="4" t="s">
        <v>19</v>
      </c>
      <c r="C1062" s="4" t="n">
        <v>14</v>
      </c>
      <c r="D1062" s="5" t="n">
        <v>21.5</v>
      </c>
      <c r="E1062" s="6" t="n">
        <f aca="false">DATE(2024,4,24)</f>
        <v>45406</v>
      </c>
      <c r="F1062" s="7" t="n">
        <f aca="false">C1062*D1062</f>
        <v>301</v>
      </c>
      <c r="G1062" s="7" t="n">
        <f aca="false">ROUND(F1062*0.2,2)</f>
        <v>60.2</v>
      </c>
      <c r="H1062" s="4" t="str">
        <f aca="false">IF(F1062&gt;500,"Yüksek",IF(F1062&gt;100,"Orta","Düşük"))</f>
        <v>Orta</v>
      </c>
    </row>
    <row r="1063" customFormat="false" ht="12.8" hidden="false" customHeight="false" outlineLevel="0" collapsed="false">
      <c r="A1063" s="4" t="s">
        <v>10</v>
      </c>
      <c r="B1063" s="4" t="s">
        <v>11</v>
      </c>
      <c r="C1063" s="4" t="n">
        <v>21</v>
      </c>
      <c r="D1063" s="5" t="n">
        <v>24.25</v>
      </c>
      <c r="E1063" s="6" t="n">
        <f aca="false">DATE(2024,5,25)</f>
        <v>45437</v>
      </c>
      <c r="F1063" s="7" t="n">
        <f aca="false">C1063*D1063</f>
        <v>509.25</v>
      </c>
      <c r="G1063" s="7" t="n">
        <f aca="false">ROUND(F1063*0.2,2)</f>
        <v>101.85</v>
      </c>
      <c r="H1063" s="4" t="str">
        <f aca="false">IF(F1063&gt;500,"Yüksek",IF(F1063&gt;100,"Orta","Düşük"))</f>
        <v>Yüksek</v>
      </c>
    </row>
    <row r="1064" customFormat="false" ht="12.8" hidden="false" customHeight="false" outlineLevel="0" collapsed="false">
      <c r="A1064" s="4" t="s">
        <v>12</v>
      </c>
      <c r="B1064" s="4" t="s">
        <v>13</v>
      </c>
      <c r="C1064" s="4" t="n">
        <v>28</v>
      </c>
      <c r="D1064" s="5" t="n">
        <v>27</v>
      </c>
      <c r="E1064" s="6" t="n">
        <f aca="false">DATE(2024,6,26)</f>
        <v>45469</v>
      </c>
      <c r="F1064" s="7" t="n">
        <f aca="false">C1064*D1064</f>
        <v>756</v>
      </c>
      <c r="G1064" s="7" t="n">
        <f aca="false">ROUND(F1064*0.2,2)</f>
        <v>151.2</v>
      </c>
      <c r="H1064" s="4" t="str">
        <f aca="false">IF(F1064&gt;500,"Yüksek",IF(F1064&gt;100,"Orta","Düşük"))</f>
        <v>Yüksek</v>
      </c>
    </row>
    <row r="1065" customFormat="false" ht="12.8" hidden="false" customHeight="false" outlineLevel="0" collapsed="false">
      <c r="A1065" s="4" t="s">
        <v>14</v>
      </c>
      <c r="B1065" s="4" t="s">
        <v>15</v>
      </c>
      <c r="C1065" s="4" t="n">
        <v>35</v>
      </c>
      <c r="D1065" s="5" t="n">
        <v>29.75</v>
      </c>
      <c r="E1065" s="6" t="n">
        <f aca="false">DATE(2024,7,27)</f>
        <v>45500</v>
      </c>
      <c r="F1065" s="7" t="n">
        <f aca="false">C1065*D1065</f>
        <v>1041.25</v>
      </c>
      <c r="G1065" s="7" t="n">
        <f aca="false">ROUND(F1065*0.2,2)</f>
        <v>208.25</v>
      </c>
      <c r="H1065" s="4" t="str">
        <f aca="false">IF(F1065&gt;500,"Yüksek",IF(F1065&gt;100,"Orta","Düşük"))</f>
        <v>Yüksek</v>
      </c>
    </row>
    <row r="1066" customFormat="false" ht="12.8" hidden="false" customHeight="false" outlineLevel="0" collapsed="false">
      <c r="A1066" s="4" t="s">
        <v>16</v>
      </c>
      <c r="B1066" s="4" t="s">
        <v>17</v>
      </c>
      <c r="C1066" s="4" t="n">
        <v>42</v>
      </c>
      <c r="D1066" s="5" t="n">
        <v>32.5</v>
      </c>
      <c r="E1066" s="6" t="n">
        <f aca="false">DATE(2024,8,28)</f>
        <v>45532</v>
      </c>
      <c r="F1066" s="7" t="n">
        <f aca="false">C1066*D1066</f>
        <v>1365</v>
      </c>
      <c r="G1066" s="7" t="n">
        <f aca="false">ROUND(F1066*0.2,2)</f>
        <v>273</v>
      </c>
      <c r="H1066" s="4" t="str">
        <f aca="false">IF(F1066&gt;500,"Yüksek",IF(F1066&gt;100,"Orta","Düşük"))</f>
        <v>Yüksek</v>
      </c>
    </row>
    <row r="1067" customFormat="false" ht="12.8" hidden="false" customHeight="false" outlineLevel="0" collapsed="false">
      <c r="A1067" s="4" t="s">
        <v>18</v>
      </c>
      <c r="B1067" s="4" t="s">
        <v>19</v>
      </c>
      <c r="C1067" s="4" t="n">
        <v>49</v>
      </c>
      <c r="D1067" s="5" t="n">
        <v>35.25</v>
      </c>
      <c r="E1067" s="6" t="n">
        <f aca="false">DATE(2024,9,1)</f>
        <v>45536</v>
      </c>
      <c r="F1067" s="7" t="n">
        <f aca="false">C1067*D1067</f>
        <v>1727.25</v>
      </c>
      <c r="G1067" s="7" t="n">
        <f aca="false">ROUND(F1067*0.2,2)</f>
        <v>345.45</v>
      </c>
      <c r="H1067" s="4" t="str">
        <f aca="false">IF(F1067&gt;500,"Yüksek",IF(F1067&gt;100,"Orta","Düşük"))</f>
        <v>Yüksek</v>
      </c>
    </row>
    <row r="1068" customFormat="false" ht="12.8" hidden="false" customHeight="false" outlineLevel="0" collapsed="false">
      <c r="A1068" s="4" t="s">
        <v>20</v>
      </c>
      <c r="B1068" s="4" t="s">
        <v>11</v>
      </c>
      <c r="C1068" s="4" t="n">
        <v>6</v>
      </c>
      <c r="D1068" s="5" t="n">
        <v>38</v>
      </c>
      <c r="E1068" s="6" t="n">
        <f aca="false">DATE(2024,10,2)</f>
        <v>45567</v>
      </c>
      <c r="F1068" s="7" t="n">
        <f aca="false">C1068*D1068</f>
        <v>228</v>
      </c>
      <c r="G1068" s="7" t="n">
        <f aca="false">ROUND(F1068*0.2,2)</f>
        <v>45.6</v>
      </c>
      <c r="H1068" s="4" t="str">
        <f aca="false">IF(F1068&gt;500,"Yüksek",IF(F1068&gt;100,"Orta","Düşük"))</f>
        <v>Orta</v>
      </c>
    </row>
    <row r="1069" customFormat="false" ht="12.8" hidden="false" customHeight="false" outlineLevel="0" collapsed="false">
      <c r="A1069" s="4" t="s">
        <v>21</v>
      </c>
      <c r="B1069" s="4" t="s">
        <v>13</v>
      </c>
      <c r="C1069" s="4" t="n">
        <v>13</v>
      </c>
      <c r="D1069" s="5" t="n">
        <v>5</v>
      </c>
      <c r="E1069" s="6" t="n">
        <f aca="false">DATE(2024,11,3)</f>
        <v>45599</v>
      </c>
      <c r="F1069" s="7" t="n">
        <f aca="false">C1069*D1069</f>
        <v>65</v>
      </c>
      <c r="G1069" s="7" t="n">
        <f aca="false">ROUND(F1069*0.2,2)</f>
        <v>13</v>
      </c>
      <c r="H1069" s="4" t="str">
        <f aca="false">IF(F1069&gt;500,"Yüksek",IF(F1069&gt;100,"Orta","Düşük"))</f>
        <v>Düşük</v>
      </c>
    </row>
    <row r="1070" customFormat="false" ht="12.8" hidden="false" customHeight="false" outlineLevel="0" collapsed="false">
      <c r="A1070" s="4" t="s">
        <v>22</v>
      </c>
      <c r="B1070" s="4" t="s">
        <v>15</v>
      </c>
      <c r="C1070" s="4" t="n">
        <v>20</v>
      </c>
      <c r="D1070" s="5" t="n">
        <v>7.75</v>
      </c>
      <c r="E1070" s="6" t="n">
        <f aca="false">DATE(2024,12,4)</f>
        <v>45630</v>
      </c>
      <c r="F1070" s="7" t="n">
        <f aca="false">C1070*D1070</f>
        <v>155</v>
      </c>
      <c r="G1070" s="7" t="n">
        <f aca="false">ROUND(F1070*0.2,2)</f>
        <v>31</v>
      </c>
      <c r="H1070" s="4" t="str">
        <f aca="false">IF(F1070&gt;500,"Yüksek",IF(F1070&gt;100,"Orta","Düşük"))</f>
        <v>Orta</v>
      </c>
    </row>
    <row r="1071" customFormat="false" ht="12.8" hidden="false" customHeight="false" outlineLevel="0" collapsed="false">
      <c r="A1071" s="4" t="s">
        <v>23</v>
      </c>
      <c r="B1071" s="4" t="s">
        <v>17</v>
      </c>
      <c r="C1071" s="4" t="n">
        <v>27</v>
      </c>
      <c r="D1071" s="5" t="n">
        <v>10.5</v>
      </c>
      <c r="E1071" s="6" t="n">
        <f aca="false">DATE(2024,1,5)</f>
        <v>45296</v>
      </c>
      <c r="F1071" s="7" t="n">
        <f aca="false">C1071*D1071</f>
        <v>283.5</v>
      </c>
      <c r="G1071" s="7" t="n">
        <f aca="false">ROUND(F1071*0.2,2)</f>
        <v>56.7</v>
      </c>
      <c r="H1071" s="4" t="str">
        <f aca="false">IF(F1071&gt;500,"Yüksek",IF(F1071&gt;100,"Orta","Düşük"))</f>
        <v>Orta</v>
      </c>
    </row>
    <row r="1072" customFormat="false" ht="12.8" hidden="false" customHeight="false" outlineLevel="0" collapsed="false">
      <c r="A1072" s="4" t="s">
        <v>24</v>
      </c>
      <c r="B1072" s="4" t="s">
        <v>19</v>
      </c>
      <c r="C1072" s="4" t="n">
        <v>34</v>
      </c>
      <c r="D1072" s="5" t="n">
        <v>13.25</v>
      </c>
      <c r="E1072" s="6" t="n">
        <f aca="false">DATE(2024,2,6)</f>
        <v>45328</v>
      </c>
      <c r="F1072" s="7" t="n">
        <f aca="false">C1072*D1072</f>
        <v>450.5</v>
      </c>
      <c r="G1072" s="7" t="n">
        <f aca="false">ROUND(F1072*0.2,2)</f>
        <v>90.1</v>
      </c>
      <c r="H1072" s="4" t="str">
        <f aca="false">IF(F1072&gt;500,"Yüksek",IF(F1072&gt;100,"Orta","Düşük"))</f>
        <v>Orta</v>
      </c>
    </row>
    <row r="1073" customFormat="false" ht="12.8" hidden="false" customHeight="false" outlineLevel="0" collapsed="false">
      <c r="A1073" s="4" t="s">
        <v>10</v>
      </c>
      <c r="B1073" s="4" t="s">
        <v>11</v>
      </c>
      <c r="C1073" s="4" t="n">
        <v>41</v>
      </c>
      <c r="D1073" s="5" t="n">
        <v>16</v>
      </c>
      <c r="E1073" s="6" t="n">
        <f aca="false">DATE(2024,3,7)</f>
        <v>45358</v>
      </c>
      <c r="F1073" s="7" t="n">
        <f aca="false">C1073*D1073</f>
        <v>656</v>
      </c>
      <c r="G1073" s="7" t="n">
        <f aca="false">ROUND(F1073*0.2,2)</f>
        <v>131.2</v>
      </c>
      <c r="H1073" s="4" t="str">
        <f aca="false">IF(F1073&gt;500,"Yüksek",IF(F1073&gt;100,"Orta","Düşük"))</f>
        <v>Yüksek</v>
      </c>
    </row>
    <row r="1074" customFormat="false" ht="12.8" hidden="false" customHeight="false" outlineLevel="0" collapsed="false">
      <c r="A1074" s="4" t="s">
        <v>12</v>
      </c>
      <c r="B1074" s="4" t="s">
        <v>13</v>
      </c>
      <c r="C1074" s="4" t="n">
        <v>48</v>
      </c>
      <c r="D1074" s="5" t="n">
        <v>18.75</v>
      </c>
      <c r="E1074" s="6" t="n">
        <f aca="false">DATE(2024,4,8)</f>
        <v>45390</v>
      </c>
      <c r="F1074" s="7" t="n">
        <f aca="false">C1074*D1074</f>
        <v>900</v>
      </c>
      <c r="G1074" s="7" t="n">
        <f aca="false">ROUND(F1074*0.2,2)</f>
        <v>180</v>
      </c>
      <c r="H1074" s="4" t="str">
        <f aca="false">IF(F1074&gt;500,"Yüksek",IF(F1074&gt;100,"Orta","Düşük"))</f>
        <v>Yüksek</v>
      </c>
    </row>
    <row r="1075" customFormat="false" ht="12.8" hidden="false" customHeight="false" outlineLevel="0" collapsed="false">
      <c r="A1075" s="4" t="s">
        <v>14</v>
      </c>
      <c r="B1075" s="4" t="s">
        <v>15</v>
      </c>
      <c r="C1075" s="4" t="n">
        <v>5</v>
      </c>
      <c r="D1075" s="5" t="n">
        <v>21.5</v>
      </c>
      <c r="E1075" s="6" t="n">
        <f aca="false">DATE(2024,5,9)</f>
        <v>45421</v>
      </c>
      <c r="F1075" s="7" t="n">
        <f aca="false">C1075*D1075</f>
        <v>107.5</v>
      </c>
      <c r="G1075" s="7" t="n">
        <f aca="false">ROUND(F1075*0.2,2)</f>
        <v>21.5</v>
      </c>
      <c r="H1075" s="4" t="str">
        <f aca="false">IF(F1075&gt;500,"Yüksek",IF(F1075&gt;100,"Orta","Düşük"))</f>
        <v>Orta</v>
      </c>
    </row>
    <row r="1076" customFormat="false" ht="12.8" hidden="false" customHeight="false" outlineLevel="0" collapsed="false">
      <c r="A1076" s="4" t="s">
        <v>16</v>
      </c>
      <c r="B1076" s="4" t="s">
        <v>17</v>
      </c>
      <c r="C1076" s="4" t="n">
        <v>12</v>
      </c>
      <c r="D1076" s="5" t="n">
        <v>24.25</v>
      </c>
      <c r="E1076" s="6" t="n">
        <f aca="false">DATE(2024,6,10)</f>
        <v>45453</v>
      </c>
      <c r="F1076" s="7" t="n">
        <f aca="false">C1076*D1076</f>
        <v>291</v>
      </c>
      <c r="G1076" s="7" t="n">
        <f aca="false">ROUND(F1076*0.2,2)</f>
        <v>58.2</v>
      </c>
      <c r="H1076" s="4" t="str">
        <f aca="false">IF(F1076&gt;500,"Yüksek",IF(F1076&gt;100,"Orta","Düşük"))</f>
        <v>Orta</v>
      </c>
    </row>
    <row r="1077" customFormat="false" ht="12.8" hidden="false" customHeight="false" outlineLevel="0" collapsed="false">
      <c r="A1077" s="4" t="s">
        <v>18</v>
      </c>
      <c r="B1077" s="4" t="s">
        <v>19</v>
      </c>
      <c r="C1077" s="4" t="n">
        <v>19</v>
      </c>
      <c r="D1077" s="5" t="n">
        <v>27</v>
      </c>
      <c r="E1077" s="6" t="n">
        <f aca="false">DATE(2024,7,11)</f>
        <v>45484</v>
      </c>
      <c r="F1077" s="7" t="n">
        <f aca="false">C1077*D1077</f>
        <v>513</v>
      </c>
      <c r="G1077" s="7" t="n">
        <f aca="false">ROUND(F1077*0.2,2)</f>
        <v>102.6</v>
      </c>
      <c r="H1077" s="4" t="str">
        <f aca="false">IF(F1077&gt;500,"Yüksek",IF(F1077&gt;100,"Orta","Düşük"))</f>
        <v>Yüksek</v>
      </c>
    </row>
    <row r="1078" customFormat="false" ht="12.8" hidden="false" customHeight="false" outlineLevel="0" collapsed="false">
      <c r="A1078" s="4" t="s">
        <v>20</v>
      </c>
      <c r="B1078" s="4" t="s">
        <v>11</v>
      </c>
      <c r="C1078" s="4" t="n">
        <v>26</v>
      </c>
      <c r="D1078" s="5" t="n">
        <v>29.75</v>
      </c>
      <c r="E1078" s="6" t="n">
        <f aca="false">DATE(2024,8,12)</f>
        <v>45516</v>
      </c>
      <c r="F1078" s="7" t="n">
        <f aca="false">C1078*D1078</f>
        <v>773.5</v>
      </c>
      <c r="G1078" s="7" t="n">
        <f aca="false">ROUND(F1078*0.2,2)</f>
        <v>154.7</v>
      </c>
      <c r="H1078" s="4" t="str">
        <f aca="false">IF(F1078&gt;500,"Yüksek",IF(F1078&gt;100,"Orta","Düşük"))</f>
        <v>Yüksek</v>
      </c>
    </row>
    <row r="1079" customFormat="false" ht="12.8" hidden="false" customHeight="false" outlineLevel="0" collapsed="false">
      <c r="A1079" s="4" t="s">
        <v>21</v>
      </c>
      <c r="B1079" s="4" t="s">
        <v>13</v>
      </c>
      <c r="C1079" s="4" t="n">
        <v>33</v>
      </c>
      <c r="D1079" s="5" t="n">
        <v>32.5</v>
      </c>
      <c r="E1079" s="6" t="n">
        <f aca="false">DATE(2024,9,13)</f>
        <v>45548</v>
      </c>
      <c r="F1079" s="7" t="n">
        <f aca="false">C1079*D1079</f>
        <v>1072.5</v>
      </c>
      <c r="G1079" s="7" t="n">
        <f aca="false">ROUND(F1079*0.2,2)</f>
        <v>214.5</v>
      </c>
      <c r="H1079" s="4" t="str">
        <f aca="false">IF(F1079&gt;500,"Yüksek",IF(F1079&gt;100,"Orta","Düşük"))</f>
        <v>Yüksek</v>
      </c>
    </row>
    <row r="1080" customFormat="false" ht="12.8" hidden="false" customHeight="false" outlineLevel="0" collapsed="false">
      <c r="A1080" s="4" t="s">
        <v>22</v>
      </c>
      <c r="B1080" s="4" t="s">
        <v>15</v>
      </c>
      <c r="C1080" s="4" t="n">
        <v>40</v>
      </c>
      <c r="D1080" s="5" t="n">
        <v>35.25</v>
      </c>
      <c r="E1080" s="6" t="n">
        <f aca="false">DATE(2024,10,14)</f>
        <v>45579</v>
      </c>
      <c r="F1080" s="7" t="n">
        <f aca="false">C1080*D1080</f>
        <v>1410</v>
      </c>
      <c r="G1080" s="7" t="n">
        <f aca="false">ROUND(F1080*0.2,2)</f>
        <v>282</v>
      </c>
      <c r="H1080" s="4" t="str">
        <f aca="false">IF(F1080&gt;500,"Yüksek",IF(F1080&gt;100,"Orta","Düşük"))</f>
        <v>Yüksek</v>
      </c>
    </row>
    <row r="1081" customFormat="false" ht="12.8" hidden="false" customHeight="false" outlineLevel="0" collapsed="false">
      <c r="A1081" s="4" t="s">
        <v>23</v>
      </c>
      <c r="B1081" s="4" t="s">
        <v>17</v>
      </c>
      <c r="C1081" s="4" t="n">
        <v>47</v>
      </c>
      <c r="D1081" s="5" t="n">
        <v>38</v>
      </c>
      <c r="E1081" s="6" t="n">
        <f aca="false">DATE(2024,11,15)</f>
        <v>45611</v>
      </c>
      <c r="F1081" s="7" t="n">
        <f aca="false">C1081*D1081</f>
        <v>1786</v>
      </c>
      <c r="G1081" s="7" t="n">
        <f aca="false">ROUND(F1081*0.2,2)</f>
        <v>357.2</v>
      </c>
      <c r="H1081" s="4" t="str">
        <f aca="false">IF(F1081&gt;500,"Yüksek",IF(F1081&gt;100,"Orta","Düşük"))</f>
        <v>Yüksek</v>
      </c>
    </row>
    <row r="1082" customFormat="false" ht="12.8" hidden="false" customHeight="false" outlineLevel="0" collapsed="false">
      <c r="A1082" s="4" t="s">
        <v>24</v>
      </c>
      <c r="B1082" s="4" t="s">
        <v>19</v>
      </c>
      <c r="C1082" s="4" t="n">
        <v>4</v>
      </c>
      <c r="D1082" s="5" t="n">
        <v>5</v>
      </c>
      <c r="E1082" s="6" t="n">
        <f aca="false">DATE(2024,12,16)</f>
        <v>45642</v>
      </c>
      <c r="F1082" s="7" t="n">
        <f aca="false">C1082*D1082</f>
        <v>20</v>
      </c>
      <c r="G1082" s="7" t="n">
        <f aca="false">ROUND(F1082*0.2,2)</f>
        <v>4</v>
      </c>
      <c r="H1082" s="4" t="str">
        <f aca="false">IF(F1082&gt;500,"Yüksek",IF(F1082&gt;100,"Orta","Düşük"))</f>
        <v>Düşük</v>
      </c>
    </row>
    <row r="1083" customFormat="false" ht="12.8" hidden="false" customHeight="false" outlineLevel="0" collapsed="false">
      <c r="A1083" s="4" t="s">
        <v>10</v>
      </c>
      <c r="B1083" s="4" t="s">
        <v>11</v>
      </c>
      <c r="C1083" s="4" t="n">
        <v>11</v>
      </c>
      <c r="D1083" s="5" t="n">
        <v>7.75</v>
      </c>
      <c r="E1083" s="6" t="n">
        <f aca="false">DATE(2024,1,17)</f>
        <v>45308</v>
      </c>
      <c r="F1083" s="7" t="n">
        <f aca="false">C1083*D1083</f>
        <v>85.25</v>
      </c>
      <c r="G1083" s="7" t="n">
        <f aca="false">ROUND(F1083*0.2,2)</f>
        <v>17.05</v>
      </c>
      <c r="H1083" s="4" t="str">
        <f aca="false">IF(F1083&gt;500,"Yüksek",IF(F1083&gt;100,"Orta","Düşük"))</f>
        <v>Düşük</v>
      </c>
    </row>
    <row r="1084" customFormat="false" ht="12.8" hidden="false" customHeight="false" outlineLevel="0" collapsed="false">
      <c r="A1084" s="4" t="s">
        <v>12</v>
      </c>
      <c r="B1084" s="4" t="s">
        <v>13</v>
      </c>
      <c r="C1084" s="4" t="n">
        <v>18</v>
      </c>
      <c r="D1084" s="5" t="n">
        <v>10.5</v>
      </c>
      <c r="E1084" s="6" t="n">
        <f aca="false">DATE(2024,2,18)</f>
        <v>45340</v>
      </c>
      <c r="F1084" s="7" t="n">
        <f aca="false">C1084*D1084</f>
        <v>189</v>
      </c>
      <c r="G1084" s="7" t="n">
        <f aca="false">ROUND(F1084*0.2,2)</f>
        <v>37.8</v>
      </c>
      <c r="H1084" s="4" t="str">
        <f aca="false">IF(F1084&gt;500,"Yüksek",IF(F1084&gt;100,"Orta","Düşük"))</f>
        <v>Orta</v>
      </c>
    </row>
    <row r="1085" customFormat="false" ht="12.8" hidden="false" customHeight="false" outlineLevel="0" collapsed="false">
      <c r="A1085" s="4" t="s">
        <v>14</v>
      </c>
      <c r="B1085" s="4" t="s">
        <v>15</v>
      </c>
      <c r="C1085" s="4" t="n">
        <v>25</v>
      </c>
      <c r="D1085" s="5" t="n">
        <v>13.25</v>
      </c>
      <c r="E1085" s="6" t="n">
        <f aca="false">DATE(2024,3,19)</f>
        <v>45370</v>
      </c>
      <c r="F1085" s="7" t="n">
        <f aca="false">C1085*D1085</f>
        <v>331.25</v>
      </c>
      <c r="G1085" s="7" t="n">
        <f aca="false">ROUND(F1085*0.2,2)</f>
        <v>66.25</v>
      </c>
      <c r="H1085" s="4" t="str">
        <f aca="false">IF(F1085&gt;500,"Yüksek",IF(F1085&gt;100,"Orta","Düşük"))</f>
        <v>Orta</v>
      </c>
    </row>
    <row r="1086" customFormat="false" ht="12.8" hidden="false" customHeight="false" outlineLevel="0" collapsed="false">
      <c r="A1086" s="4" t="s">
        <v>16</v>
      </c>
      <c r="B1086" s="4" t="s">
        <v>17</v>
      </c>
      <c r="C1086" s="4" t="n">
        <v>32</v>
      </c>
      <c r="D1086" s="5" t="n">
        <v>16</v>
      </c>
      <c r="E1086" s="6" t="n">
        <f aca="false">DATE(2024,4,20)</f>
        <v>45402</v>
      </c>
      <c r="F1086" s="7" t="n">
        <f aca="false">C1086*D1086</f>
        <v>512</v>
      </c>
      <c r="G1086" s="7" t="n">
        <f aca="false">ROUND(F1086*0.2,2)</f>
        <v>102.4</v>
      </c>
      <c r="H1086" s="4" t="str">
        <f aca="false">IF(F1086&gt;500,"Yüksek",IF(F1086&gt;100,"Orta","Düşük"))</f>
        <v>Yüksek</v>
      </c>
    </row>
    <row r="1087" customFormat="false" ht="12.8" hidden="false" customHeight="false" outlineLevel="0" collapsed="false">
      <c r="A1087" s="4" t="s">
        <v>18</v>
      </c>
      <c r="B1087" s="4" t="s">
        <v>19</v>
      </c>
      <c r="C1087" s="4" t="n">
        <v>39</v>
      </c>
      <c r="D1087" s="5" t="n">
        <v>18.75</v>
      </c>
      <c r="E1087" s="6" t="n">
        <f aca="false">DATE(2024,5,21)</f>
        <v>45433</v>
      </c>
      <c r="F1087" s="7" t="n">
        <f aca="false">C1087*D1087</f>
        <v>731.25</v>
      </c>
      <c r="G1087" s="7" t="n">
        <f aca="false">ROUND(F1087*0.2,2)</f>
        <v>146.25</v>
      </c>
      <c r="H1087" s="4" t="str">
        <f aca="false">IF(F1087&gt;500,"Yüksek",IF(F1087&gt;100,"Orta","Düşük"))</f>
        <v>Yüksek</v>
      </c>
    </row>
    <row r="1088" customFormat="false" ht="12.8" hidden="false" customHeight="false" outlineLevel="0" collapsed="false">
      <c r="A1088" s="4" t="s">
        <v>20</v>
      </c>
      <c r="B1088" s="4" t="s">
        <v>11</v>
      </c>
      <c r="C1088" s="4" t="n">
        <v>46</v>
      </c>
      <c r="D1088" s="5" t="n">
        <v>21.5</v>
      </c>
      <c r="E1088" s="6" t="n">
        <f aca="false">DATE(2024,6,22)</f>
        <v>45465</v>
      </c>
      <c r="F1088" s="7" t="n">
        <f aca="false">C1088*D1088</f>
        <v>989</v>
      </c>
      <c r="G1088" s="7" t="n">
        <f aca="false">ROUND(F1088*0.2,2)</f>
        <v>197.8</v>
      </c>
      <c r="H1088" s="4" t="str">
        <f aca="false">IF(F1088&gt;500,"Yüksek",IF(F1088&gt;100,"Orta","Düşük"))</f>
        <v>Yüksek</v>
      </c>
    </row>
    <row r="1089" customFormat="false" ht="12.8" hidden="false" customHeight="false" outlineLevel="0" collapsed="false">
      <c r="A1089" s="4" t="s">
        <v>21</v>
      </c>
      <c r="B1089" s="4" t="s">
        <v>13</v>
      </c>
      <c r="C1089" s="4" t="n">
        <v>3</v>
      </c>
      <c r="D1089" s="5" t="n">
        <v>24.25</v>
      </c>
      <c r="E1089" s="6" t="n">
        <f aca="false">DATE(2024,7,23)</f>
        <v>45496</v>
      </c>
      <c r="F1089" s="7" t="n">
        <f aca="false">C1089*D1089</f>
        <v>72.75</v>
      </c>
      <c r="G1089" s="7" t="n">
        <f aca="false">ROUND(F1089*0.2,2)</f>
        <v>14.55</v>
      </c>
      <c r="H1089" s="4" t="str">
        <f aca="false">IF(F1089&gt;500,"Yüksek",IF(F1089&gt;100,"Orta","Düşük"))</f>
        <v>Düşük</v>
      </c>
    </row>
    <row r="1090" customFormat="false" ht="12.8" hidden="false" customHeight="false" outlineLevel="0" collapsed="false">
      <c r="A1090" s="4" t="s">
        <v>22</v>
      </c>
      <c r="B1090" s="4" t="s">
        <v>15</v>
      </c>
      <c r="C1090" s="4" t="n">
        <v>10</v>
      </c>
      <c r="D1090" s="5" t="n">
        <v>27</v>
      </c>
      <c r="E1090" s="6" t="n">
        <f aca="false">DATE(2024,8,24)</f>
        <v>45528</v>
      </c>
      <c r="F1090" s="7" t="n">
        <f aca="false">C1090*D1090</f>
        <v>270</v>
      </c>
      <c r="G1090" s="7" t="n">
        <f aca="false">ROUND(F1090*0.2,2)</f>
        <v>54</v>
      </c>
      <c r="H1090" s="4" t="str">
        <f aca="false">IF(F1090&gt;500,"Yüksek",IF(F1090&gt;100,"Orta","Düşük"))</f>
        <v>Orta</v>
      </c>
    </row>
    <row r="1091" customFormat="false" ht="12.8" hidden="false" customHeight="false" outlineLevel="0" collapsed="false">
      <c r="A1091" s="4" t="s">
        <v>23</v>
      </c>
      <c r="B1091" s="4" t="s">
        <v>17</v>
      </c>
      <c r="C1091" s="4" t="n">
        <v>17</v>
      </c>
      <c r="D1091" s="5" t="n">
        <v>29.75</v>
      </c>
      <c r="E1091" s="6" t="n">
        <f aca="false">DATE(2024,9,25)</f>
        <v>45560</v>
      </c>
      <c r="F1091" s="7" t="n">
        <f aca="false">C1091*D1091</f>
        <v>505.75</v>
      </c>
      <c r="G1091" s="7" t="n">
        <f aca="false">ROUND(F1091*0.2,2)</f>
        <v>101.15</v>
      </c>
      <c r="H1091" s="4" t="str">
        <f aca="false">IF(F1091&gt;500,"Yüksek",IF(F1091&gt;100,"Orta","Düşük"))</f>
        <v>Yüksek</v>
      </c>
    </row>
    <row r="1092" customFormat="false" ht="12.8" hidden="false" customHeight="false" outlineLevel="0" collapsed="false">
      <c r="A1092" s="4" t="s">
        <v>24</v>
      </c>
      <c r="B1092" s="4" t="s">
        <v>19</v>
      </c>
      <c r="C1092" s="4" t="n">
        <v>24</v>
      </c>
      <c r="D1092" s="5" t="n">
        <v>32.5</v>
      </c>
      <c r="E1092" s="6" t="n">
        <f aca="false">DATE(2024,10,26)</f>
        <v>45591</v>
      </c>
      <c r="F1092" s="7" t="n">
        <f aca="false">C1092*D1092</f>
        <v>780</v>
      </c>
      <c r="G1092" s="7" t="n">
        <f aca="false">ROUND(F1092*0.2,2)</f>
        <v>156</v>
      </c>
      <c r="H1092" s="4" t="str">
        <f aca="false">IF(F1092&gt;500,"Yüksek",IF(F1092&gt;100,"Orta","Düşük"))</f>
        <v>Yüksek</v>
      </c>
    </row>
    <row r="1093" customFormat="false" ht="12.8" hidden="false" customHeight="false" outlineLevel="0" collapsed="false">
      <c r="A1093" s="4" t="s">
        <v>10</v>
      </c>
      <c r="B1093" s="4" t="s">
        <v>11</v>
      </c>
      <c r="C1093" s="4" t="n">
        <v>31</v>
      </c>
      <c r="D1093" s="5" t="n">
        <v>35.25</v>
      </c>
      <c r="E1093" s="6" t="n">
        <f aca="false">DATE(2024,11,27)</f>
        <v>45623</v>
      </c>
      <c r="F1093" s="7" t="n">
        <f aca="false">C1093*D1093</f>
        <v>1092.75</v>
      </c>
      <c r="G1093" s="7" t="n">
        <f aca="false">ROUND(F1093*0.2,2)</f>
        <v>218.55</v>
      </c>
      <c r="H1093" s="4" t="str">
        <f aca="false">IF(F1093&gt;500,"Yüksek",IF(F1093&gt;100,"Orta","Düşük"))</f>
        <v>Yüksek</v>
      </c>
    </row>
    <row r="1094" customFormat="false" ht="12.8" hidden="false" customHeight="false" outlineLevel="0" collapsed="false">
      <c r="A1094" s="4" t="s">
        <v>12</v>
      </c>
      <c r="B1094" s="4" t="s">
        <v>13</v>
      </c>
      <c r="C1094" s="4" t="n">
        <v>38</v>
      </c>
      <c r="D1094" s="5" t="n">
        <v>38</v>
      </c>
      <c r="E1094" s="6" t="n">
        <f aca="false">DATE(2024,12,28)</f>
        <v>45654</v>
      </c>
      <c r="F1094" s="7" t="n">
        <f aca="false">C1094*D1094</f>
        <v>1444</v>
      </c>
      <c r="G1094" s="7" t="n">
        <f aca="false">ROUND(F1094*0.2,2)</f>
        <v>288.8</v>
      </c>
      <c r="H1094" s="4" t="str">
        <f aca="false">IF(F1094&gt;500,"Yüksek",IF(F1094&gt;100,"Orta","Düşük"))</f>
        <v>Yüksek</v>
      </c>
    </row>
    <row r="1095" customFormat="false" ht="12.8" hidden="false" customHeight="false" outlineLevel="0" collapsed="false">
      <c r="A1095" s="4" t="s">
        <v>14</v>
      </c>
      <c r="B1095" s="4" t="s">
        <v>15</v>
      </c>
      <c r="C1095" s="4" t="n">
        <v>45</v>
      </c>
      <c r="D1095" s="5" t="n">
        <v>5</v>
      </c>
      <c r="E1095" s="6" t="n">
        <f aca="false">DATE(2024,1,1)</f>
        <v>45292</v>
      </c>
      <c r="F1095" s="7" t="n">
        <f aca="false">C1095*D1095</f>
        <v>225</v>
      </c>
      <c r="G1095" s="7" t="n">
        <f aca="false">ROUND(F1095*0.2,2)</f>
        <v>45</v>
      </c>
      <c r="H1095" s="4" t="str">
        <f aca="false">IF(F1095&gt;500,"Yüksek",IF(F1095&gt;100,"Orta","Düşük"))</f>
        <v>Orta</v>
      </c>
    </row>
    <row r="1096" customFormat="false" ht="12.8" hidden="false" customHeight="false" outlineLevel="0" collapsed="false">
      <c r="A1096" s="4" t="s">
        <v>16</v>
      </c>
      <c r="B1096" s="4" t="s">
        <v>17</v>
      </c>
      <c r="C1096" s="4" t="n">
        <v>2</v>
      </c>
      <c r="D1096" s="5" t="n">
        <v>7.75</v>
      </c>
      <c r="E1096" s="6" t="n">
        <f aca="false">DATE(2024,2,2)</f>
        <v>45324</v>
      </c>
      <c r="F1096" s="7" t="n">
        <f aca="false">C1096*D1096</f>
        <v>15.5</v>
      </c>
      <c r="G1096" s="7" t="n">
        <f aca="false">ROUND(F1096*0.2,2)</f>
        <v>3.1</v>
      </c>
      <c r="H1096" s="4" t="str">
        <f aca="false">IF(F1096&gt;500,"Yüksek",IF(F1096&gt;100,"Orta","Düşük"))</f>
        <v>Düşük</v>
      </c>
    </row>
    <row r="1097" customFormat="false" ht="12.8" hidden="false" customHeight="false" outlineLevel="0" collapsed="false">
      <c r="A1097" s="4" t="s">
        <v>18</v>
      </c>
      <c r="B1097" s="4" t="s">
        <v>19</v>
      </c>
      <c r="C1097" s="4" t="n">
        <v>9</v>
      </c>
      <c r="D1097" s="5" t="n">
        <v>10.5</v>
      </c>
      <c r="E1097" s="6" t="n">
        <f aca="false">DATE(2024,3,3)</f>
        <v>45354</v>
      </c>
      <c r="F1097" s="7" t="n">
        <f aca="false">C1097*D1097</f>
        <v>94.5</v>
      </c>
      <c r="G1097" s="7" t="n">
        <f aca="false">ROUND(F1097*0.2,2)</f>
        <v>18.9</v>
      </c>
      <c r="H1097" s="4" t="str">
        <f aca="false">IF(F1097&gt;500,"Yüksek",IF(F1097&gt;100,"Orta","Düşük"))</f>
        <v>Düşük</v>
      </c>
    </row>
    <row r="1098" customFormat="false" ht="12.8" hidden="false" customHeight="false" outlineLevel="0" collapsed="false">
      <c r="A1098" s="4" t="s">
        <v>20</v>
      </c>
      <c r="B1098" s="4" t="s">
        <v>11</v>
      </c>
      <c r="C1098" s="4" t="n">
        <v>16</v>
      </c>
      <c r="D1098" s="5" t="n">
        <v>13.25</v>
      </c>
      <c r="E1098" s="6" t="n">
        <f aca="false">DATE(2024,4,4)</f>
        <v>45386</v>
      </c>
      <c r="F1098" s="7" t="n">
        <f aca="false">C1098*D1098</f>
        <v>212</v>
      </c>
      <c r="G1098" s="7" t="n">
        <f aca="false">ROUND(F1098*0.2,2)</f>
        <v>42.4</v>
      </c>
      <c r="H1098" s="4" t="str">
        <f aca="false">IF(F1098&gt;500,"Yüksek",IF(F1098&gt;100,"Orta","Düşük"))</f>
        <v>Orta</v>
      </c>
    </row>
    <row r="1099" customFormat="false" ht="12.8" hidden="false" customHeight="false" outlineLevel="0" collapsed="false">
      <c r="A1099" s="4" t="s">
        <v>21</v>
      </c>
      <c r="B1099" s="4" t="s">
        <v>13</v>
      </c>
      <c r="C1099" s="4" t="n">
        <v>23</v>
      </c>
      <c r="D1099" s="5" t="n">
        <v>16</v>
      </c>
      <c r="E1099" s="6" t="n">
        <f aca="false">DATE(2024,5,5)</f>
        <v>45417</v>
      </c>
      <c r="F1099" s="7" t="n">
        <f aca="false">C1099*D1099</f>
        <v>368</v>
      </c>
      <c r="G1099" s="7" t="n">
        <f aca="false">ROUND(F1099*0.2,2)</f>
        <v>73.6</v>
      </c>
      <c r="H1099" s="4" t="str">
        <f aca="false">IF(F1099&gt;500,"Yüksek",IF(F1099&gt;100,"Orta","Düşük"))</f>
        <v>Orta</v>
      </c>
    </row>
    <row r="1100" customFormat="false" ht="12.8" hidden="false" customHeight="false" outlineLevel="0" collapsed="false">
      <c r="A1100" s="4" t="s">
        <v>22</v>
      </c>
      <c r="B1100" s="4" t="s">
        <v>15</v>
      </c>
      <c r="C1100" s="4" t="n">
        <v>30</v>
      </c>
      <c r="D1100" s="5" t="n">
        <v>18.75</v>
      </c>
      <c r="E1100" s="6" t="n">
        <f aca="false">DATE(2024,6,6)</f>
        <v>45449</v>
      </c>
      <c r="F1100" s="7" t="n">
        <f aca="false">C1100*D1100</f>
        <v>562.5</v>
      </c>
      <c r="G1100" s="7" t="n">
        <f aca="false">ROUND(F1100*0.2,2)</f>
        <v>112.5</v>
      </c>
      <c r="H1100" s="4" t="str">
        <f aca="false">IF(F1100&gt;500,"Yüksek",IF(F1100&gt;100,"Orta","Düşük"))</f>
        <v>Yüksek</v>
      </c>
    </row>
    <row r="1101" customFormat="false" ht="12.8" hidden="false" customHeight="false" outlineLevel="0" collapsed="false">
      <c r="A1101" s="4" t="s">
        <v>23</v>
      </c>
      <c r="B1101" s="4" t="s">
        <v>17</v>
      </c>
      <c r="C1101" s="4" t="n">
        <v>37</v>
      </c>
      <c r="D1101" s="5" t="n">
        <v>21.5</v>
      </c>
      <c r="E1101" s="6" t="n">
        <f aca="false">DATE(2024,7,7)</f>
        <v>45480</v>
      </c>
      <c r="F1101" s="7" t="n">
        <f aca="false">C1101*D1101</f>
        <v>795.5</v>
      </c>
      <c r="G1101" s="7" t="n">
        <f aca="false">ROUND(F1101*0.2,2)</f>
        <v>159.1</v>
      </c>
      <c r="H1101" s="4" t="str">
        <f aca="false">IF(F1101&gt;500,"Yüksek",IF(F1101&gt;100,"Orta","Düşük"))</f>
        <v>Yüksek</v>
      </c>
    </row>
    <row r="1102" customFormat="false" ht="12.8" hidden="false" customHeight="false" outlineLevel="0" collapsed="false">
      <c r="A1102" s="4" t="s">
        <v>24</v>
      </c>
      <c r="B1102" s="4" t="s">
        <v>19</v>
      </c>
      <c r="C1102" s="4" t="n">
        <v>44</v>
      </c>
      <c r="D1102" s="5" t="n">
        <v>24.25</v>
      </c>
      <c r="E1102" s="6" t="n">
        <f aca="false">DATE(2024,8,8)</f>
        <v>45512</v>
      </c>
      <c r="F1102" s="7" t="n">
        <f aca="false">C1102*D1102</f>
        <v>1067</v>
      </c>
      <c r="G1102" s="7" t="n">
        <f aca="false">ROUND(F1102*0.2,2)</f>
        <v>213.4</v>
      </c>
      <c r="H1102" s="4" t="str">
        <f aca="false">IF(F1102&gt;500,"Yüksek",IF(F1102&gt;100,"Orta","Düşük"))</f>
        <v>Yüksek</v>
      </c>
    </row>
    <row r="1103" customFormat="false" ht="12.8" hidden="false" customHeight="false" outlineLevel="0" collapsed="false">
      <c r="A1103" s="4" t="s">
        <v>10</v>
      </c>
      <c r="B1103" s="4" t="s">
        <v>11</v>
      </c>
      <c r="C1103" s="4" t="n">
        <v>1</v>
      </c>
      <c r="D1103" s="5" t="n">
        <v>27</v>
      </c>
      <c r="E1103" s="6" t="n">
        <f aca="false">DATE(2024,9,9)</f>
        <v>45544</v>
      </c>
      <c r="F1103" s="7" t="n">
        <f aca="false">C1103*D1103</f>
        <v>27</v>
      </c>
      <c r="G1103" s="7" t="n">
        <f aca="false">ROUND(F1103*0.2,2)</f>
        <v>5.4</v>
      </c>
      <c r="H1103" s="4" t="str">
        <f aca="false">IF(F1103&gt;500,"Yüksek",IF(F1103&gt;100,"Orta","Düşük"))</f>
        <v>Düşük</v>
      </c>
    </row>
    <row r="1104" customFormat="false" ht="12.8" hidden="false" customHeight="false" outlineLevel="0" collapsed="false">
      <c r="A1104" s="4" t="s">
        <v>12</v>
      </c>
      <c r="B1104" s="4" t="s">
        <v>13</v>
      </c>
      <c r="C1104" s="4" t="n">
        <v>8</v>
      </c>
      <c r="D1104" s="5" t="n">
        <v>29.75</v>
      </c>
      <c r="E1104" s="6" t="n">
        <f aca="false">DATE(2024,10,10)</f>
        <v>45575</v>
      </c>
      <c r="F1104" s="7" t="n">
        <f aca="false">C1104*D1104</f>
        <v>238</v>
      </c>
      <c r="G1104" s="7" t="n">
        <f aca="false">ROUND(F1104*0.2,2)</f>
        <v>47.6</v>
      </c>
      <c r="H1104" s="4" t="str">
        <f aca="false">IF(F1104&gt;500,"Yüksek",IF(F1104&gt;100,"Orta","Düşük"))</f>
        <v>Orta</v>
      </c>
    </row>
    <row r="1105" customFormat="false" ht="12.8" hidden="false" customHeight="false" outlineLevel="0" collapsed="false">
      <c r="A1105" s="4" t="s">
        <v>14</v>
      </c>
      <c r="B1105" s="4" t="s">
        <v>15</v>
      </c>
      <c r="C1105" s="4" t="n">
        <v>15</v>
      </c>
      <c r="D1105" s="5" t="n">
        <v>32.5</v>
      </c>
      <c r="E1105" s="6" t="n">
        <f aca="false">DATE(2024,11,11)</f>
        <v>45607</v>
      </c>
      <c r="F1105" s="7" t="n">
        <f aca="false">C1105*D1105</f>
        <v>487.5</v>
      </c>
      <c r="G1105" s="7" t="n">
        <f aca="false">ROUND(F1105*0.2,2)</f>
        <v>97.5</v>
      </c>
      <c r="H1105" s="4" t="str">
        <f aca="false">IF(F1105&gt;500,"Yüksek",IF(F1105&gt;100,"Orta","Düşük"))</f>
        <v>Orta</v>
      </c>
    </row>
    <row r="1106" customFormat="false" ht="12.8" hidden="false" customHeight="false" outlineLevel="0" collapsed="false">
      <c r="A1106" s="4" t="s">
        <v>16</v>
      </c>
      <c r="B1106" s="4" t="s">
        <v>17</v>
      </c>
      <c r="C1106" s="4" t="n">
        <v>22</v>
      </c>
      <c r="D1106" s="5" t="n">
        <v>35.25</v>
      </c>
      <c r="E1106" s="6" t="n">
        <f aca="false">DATE(2024,12,12)</f>
        <v>45638</v>
      </c>
      <c r="F1106" s="7" t="n">
        <f aca="false">C1106*D1106</f>
        <v>775.5</v>
      </c>
      <c r="G1106" s="7" t="n">
        <f aca="false">ROUND(F1106*0.2,2)</f>
        <v>155.1</v>
      </c>
      <c r="H1106" s="4" t="str">
        <f aca="false">IF(F1106&gt;500,"Yüksek",IF(F1106&gt;100,"Orta","Düşük"))</f>
        <v>Yüksek</v>
      </c>
    </row>
    <row r="1107" customFormat="false" ht="12.8" hidden="false" customHeight="false" outlineLevel="0" collapsed="false">
      <c r="A1107" s="4" t="s">
        <v>18</v>
      </c>
      <c r="B1107" s="4" t="s">
        <v>19</v>
      </c>
      <c r="C1107" s="4" t="n">
        <v>29</v>
      </c>
      <c r="D1107" s="5" t="n">
        <v>38</v>
      </c>
      <c r="E1107" s="6" t="n">
        <f aca="false">DATE(2024,1,13)</f>
        <v>45304</v>
      </c>
      <c r="F1107" s="7" t="n">
        <f aca="false">C1107*D1107</f>
        <v>1102</v>
      </c>
      <c r="G1107" s="7" t="n">
        <f aca="false">ROUND(F1107*0.2,2)</f>
        <v>220.4</v>
      </c>
      <c r="H1107" s="4" t="str">
        <f aca="false">IF(F1107&gt;500,"Yüksek",IF(F1107&gt;100,"Orta","Düşük"))</f>
        <v>Yüksek</v>
      </c>
    </row>
    <row r="1108" customFormat="false" ht="12.8" hidden="false" customHeight="false" outlineLevel="0" collapsed="false">
      <c r="A1108" s="4" t="s">
        <v>20</v>
      </c>
      <c r="B1108" s="4" t="s">
        <v>11</v>
      </c>
      <c r="C1108" s="4" t="n">
        <v>36</v>
      </c>
      <c r="D1108" s="5" t="n">
        <v>5</v>
      </c>
      <c r="E1108" s="6" t="n">
        <f aca="false">DATE(2024,2,14)</f>
        <v>45336</v>
      </c>
      <c r="F1108" s="7" t="n">
        <f aca="false">C1108*D1108</f>
        <v>180</v>
      </c>
      <c r="G1108" s="7" t="n">
        <f aca="false">ROUND(F1108*0.2,2)</f>
        <v>36</v>
      </c>
      <c r="H1108" s="4" t="str">
        <f aca="false">IF(F1108&gt;500,"Yüksek",IF(F1108&gt;100,"Orta","Düşük"))</f>
        <v>Orta</v>
      </c>
    </row>
    <row r="1109" customFormat="false" ht="12.8" hidden="false" customHeight="false" outlineLevel="0" collapsed="false">
      <c r="A1109" s="4" t="s">
        <v>21</v>
      </c>
      <c r="B1109" s="4" t="s">
        <v>13</v>
      </c>
      <c r="C1109" s="4" t="n">
        <v>43</v>
      </c>
      <c r="D1109" s="5" t="n">
        <v>7.75</v>
      </c>
      <c r="E1109" s="6" t="n">
        <f aca="false">DATE(2024,3,15)</f>
        <v>45366</v>
      </c>
      <c r="F1109" s="7" t="n">
        <f aca="false">C1109*D1109</f>
        <v>333.25</v>
      </c>
      <c r="G1109" s="7" t="n">
        <f aca="false">ROUND(F1109*0.2,2)</f>
        <v>66.65</v>
      </c>
      <c r="H1109" s="4" t="str">
        <f aca="false">IF(F1109&gt;500,"Yüksek",IF(F1109&gt;100,"Orta","Düşük"))</f>
        <v>Orta</v>
      </c>
    </row>
    <row r="1110" customFormat="false" ht="12.8" hidden="false" customHeight="false" outlineLevel="0" collapsed="false">
      <c r="A1110" s="4" t="s">
        <v>22</v>
      </c>
      <c r="B1110" s="4" t="s">
        <v>15</v>
      </c>
      <c r="C1110" s="4" t="n">
        <v>50</v>
      </c>
      <c r="D1110" s="5" t="n">
        <v>10.5</v>
      </c>
      <c r="E1110" s="6" t="n">
        <f aca="false">DATE(2024,4,16)</f>
        <v>45398</v>
      </c>
      <c r="F1110" s="7" t="n">
        <f aca="false">C1110*D1110</f>
        <v>525</v>
      </c>
      <c r="G1110" s="7" t="n">
        <f aca="false">ROUND(F1110*0.2,2)</f>
        <v>105</v>
      </c>
      <c r="H1110" s="4" t="str">
        <f aca="false">IF(F1110&gt;500,"Yüksek",IF(F1110&gt;100,"Orta","Düşük"))</f>
        <v>Yüksek</v>
      </c>
    </row>
    <row r="1111" customFormat="false" ht="12.8" hidden="false" customHeight="false" outlineLevel="0" collapsed="false">
      <c r="A1111" s="4" t="s">
        <v>23</v>
      </c>
      <c r="B1111" s="4" t="s">
        <v>17</v>
      </c>
      <c r="C1111" s="4" t="n">
        <v>7</v>
      </c>
      <c r="D1111" s="5" t="n">
        <v>13.25</v>
      </c>
      <c r="E1111" s="6" t="n">
        <f aca="false">DATE(2024,5,17)</f>
        <v>45429</v>
      </c>
      <c r="F1111" s="7" t="n">
        <f aca="false">C1111*D1111</f>
        <v>92.75</v>
      </c>
      <c r="G1111" s="7" t="n">
        <f aca="false">ROUND(F1111*0.2,2)</f>
        <v>18.55</v>
      </c>
      <c r="H1111" s="4" t="str">
        <f aca="false">IF(F1111&gt;500,"Yüksek",IF(F1111&gt;100,"Orta","Düşük"))</f>
        <v>Düşük</v>
      </c>
    </row>
    <row r="1112" customFormat="false" ht="12.8" hidden="false" customHeight="false" outlineLevel="0" collapsed="false">
      <c r="A1112" s="4" t="s">
        <v>24</v>
      </c>
      <c r="B1112" s="4" t="s">
        <v>19</v>
      </c>
      <c r="C1112" s="4" t="n">
        <v>14</v>
      </c>
      <c r="D1112" s="5" t="n">
        <v>16</v>
      </c>
      <c r="E1112" s="6" t="n">
        <f aca="false">DATE(2024,6,18)</f>
        <v>45461</v>
      </c>
      <c r="F1112" s="7" t="n">
        <f aca="false">C1112*D1112</f>
        <v>224</v>
      </c>
      <c r="G1112" s="7" t="n">
        <f aca="false">ROUND(F1112*0.2,2)</f>
        <v>44.8</v>
      </c>
      <c r="H1112" s="4" t="str">
        <f aca="false">IF(F1112&gt;500,"Yüksek",IF(F1112&gt;100,"Orta","Düşük"))</f>
        <v>Orta</v>
      </c>
    </row>
    <row r="1113" customFormat="false" ht="12.8" hidden="false" customHeight="false" outlineLevel="0" collapsed="false">
      <c r="A1113" s="4" t="s">
        <v>10</v>
      </c>
      <c r="B1113" s="4" t="s">
        <v>11</v>
      </c>
      <c r="C1113" s="4" t="n">
        <v>21</v>
      </c>
      <c r="D1113" s="5" t="n">
        <v>18.75</v>
      </c>
      <c r="E1113" s="6" t="n">
        <f aca="false">DATE(2024,7,19)</f>
        <v>45492</v>
      </c>
      <c r="F1113" s="7" t="n">
        <f aca="false">C1113*D1113</f>
        <v>393.75</v>
      </c>
      <c r="G1113" s="7" t="n">
        <f aca="false">ROUND(F1113*0.2,2)</f>
        <v>78.75</v>
      </c>
      <c r="H1113" s="4" t="str">
        <f aca="false">IF(F1113&gt;500,"Yüksek",IF(F1113&gt;100,"Orta","Düşük"))</f>
        <v>Orta</v>
      </c>
    </row>
    <row r="1114" customFormat="false" ht="12.8" hidden="false" customHeight="false" outlineLevel="0" collapsed="false">
      <c r="A1114" s="4" t="s">
        <v>12</v>
      </c>
      <c r="B1114" s="4" t="s">
        <v>13</v>
      </c>
      <c r="C1114" s="4" t="n">
        <v>28</v>
      </c>
      <c r="D1114" s="5" t="n">
        <v>21.5</v>
      </c>
      <c r="E1114" s="6" t="n">
        <f aca="false">DATE(2024,8,20)</f>
        <v>45524</v>
      </c>
      <c r="F1114" s="7" t="n">
        <f aca="false">C1114*D1114</f>
        <v>602</v>
      </c>
      <c r="G1114" s="7" t="n">
        <f aca="false">ROUND(F1114*0.2,2)</f>
        <v>120.4</v>
      </c>
      <c r="H1114" s="4" t="str">
        <f aca="false">IF(F1114&gt;500,"Yüksek",IF(F1114&gt;100,"Orta","Düşük"))</f>
        <v>Yüksek</v>
      </c>
    </row>
    <row r="1115" customFormat="false" ht="12.8" hidden="false" customHeight="false" outlineLevel="0" collapsed="false">
      <c r="A1115" s="4" t="s">
        <v>14</v>
      </c>
      <c r="B1115" s="4" t="s">
        <v>15</v>
      </c>
      <c r="C1115" s="4" t="n">
        <v>35</v>
      </c>
      <c r="D1115" s="5" t="n">
        <v>24.25</v>
      </c>
      <c r="E1115" s="6" t="n">
        <f aca="false">DATE(2024,9,21)</f>
        <v>45556</v>
      </c>
      <c r="F1115" s="7" t="n">
        <f aca="false">C1115*D1115</f>
        <v>848.75</v>
      </c>
      <c r="G1115" s="7" t="n">
        <f aca="false">ROUND(F1115*0.2,2)</f>
        <v>169.75</v>
      </c>
      <c r="H1115" s="4" t="str">
        <f aca="false">IF(F1115&gt;500,"Yüksek",IF(F1115&gt;100,"Orta","Düşük"))</f>
        <v>Yüksek</v>
      </c>
    </row>
    <row r="1116" customFormat="false" ht="12.8" hidden="false" customHeight="false" outlineLevel="0" collapsed="false">
      <c r="A1116" s="4" t="s">
        <v>16</v>
      </c>
      <c r="B1116" s="4" t="s">
        <v>17</v>
      </c>
      <c r="C1116" s="4" t="n">
        <v>42</v>
      </c>
      <c r="D1116" s="5" t="n">
        <v>27</v>
      </c>
      <c r="E1116" s="6" t="n">
        <f aca="false">DATE(2024,10,22)</f>
        <v>45587</v>
      </c>
      <c r="F1116" s="7" t="n">
        <f aca="false">C1116*D1116</f>
        <v>1134</v>
      </c>
      <c r="G1116" s="7" t="n">
        <f aca="false">ROUND(F1116*0.2,2)</f>
        <v>226.8</v>
      </c>
      <c r="H1116" s="4" t="str">
        <f aca="false">IF(F1116&gt;500,"Yüksek",IF(F1116&gt;100,"Orta","Düşük"))</f>
        <v>Yüksek</v>
      </c>
    </row>
    <row r="1117" customFormat="false" ht="12.8" hidden="false" customHeight="false" outlineLevel="0" collapsed="false">
      <c r="A1117" s="4" t="s">
        <v>18</v>
      </c>
      <c r="B1117" s="4" t="s">
        <v>19</v>
      </c>
      <c r="C1117" s="4" t="n">
        <v>49</v>
      </c>
      <c r="D1117" s="5" t="n">
        <v>29.75</v>
      </c>
      <c r="E1117" s="6" t="n">
        <f aca="false">DATE(2024,11,23)</f>
        <v>45619</v>
      </c>
      <c r="F1117" s="7" t="n">
        <f aca="false">C1117*D1117</f>
        <v>1457.75</v>
      </c>
      <c r="G1117" s="7" t="n">
        <f aca="false">ROUND(F1117*0.2,2)</f>
        <v>291.55</v>
      </c>
      <c r="H1117" s="4" t="str">
        <f aca="false">IF(F1117&gt;500,"Yüksek",IF(F1117&gt;100,"Orta","Düşük"))</f>
        <v>Yüksek</v>
      </c>
    </row>
    <row r="1118" customFormat="false" ht="12.8" hidden="false" customHeight="false" outlineLevel="0" collapsed="false">
      <c r="A1118" s="4" t="s">
        <v>20</v>
      </c>
      <c r="B1118" s="4" t="s">
        <v>11</v>
      </c>
      <c r="C1118" s="4" t="n">
        <v>6</v>
      </c>
      <c r="D1118" s="5" t="n">
        <v>32.5</v>
      </c>
      <c r="E1118" s="6" t="n">
        <f aca="false">DATE(2024,12,24)</f>
        <v>45650</v>
      </c>
      <c r="F1118" s="7" t="n">
        <f aca="false">C1118*D1118</f>
        <v>195</v>
      </c>
      <c r="G1118" s="7" t="n">
        <f aca="false">ROUND(F1118*0.2,2)</f>
        <v>39</v>
      </c>
      <c r="H1118" s="4" t="str">
        <f aca="false">IF(F1118&gt;500,"Yüksek",IF(F1118&gt;100,"Orta","Düşük"))</f>
        <v>Orta</v>
      </c>
    </row>
    <row r="1119" customFormat="false" ht="12.8" hidden="false" customHeight="false" outlineLevel="0" collapsed="false">
      <c r="A1119" s="4" t="s">
        <v>21</v>
      </c>
      <c r="B1119" s="4" t="s">
        <v>13</v>
      </c>
      <c r="C1119" s="4" t="n">
        <v>13</v>
      </c>
      <c r="D1119" s="5" t="n">
        <v>35.25</v>
      </c>
      <c r="E1119" s="6" t="n">
        <f aca="false">DATE(2024,1,25)</f>
        <v>45316</v>
      </c>
      <c r="F1119" s="7" t="n">
        <f aca="false">C1119*D1119</f>
        <v>458.25</v>
      </c>
      <c r="G1119" s="7" t="n">
        <f aca="false">ROUND(F1119*0.2,2)</f>
        <v>91.65</v>
      </c>
      <c r="H1119" s="4" t="str">
        <f aca="false">IF(F1119&gt;500,"Yüksek",IF(F1119&gt;100,"Orta","Düşük"))</f>
        <v>Orta</v>
      </c>
    </row>
    <row r="1120" customFormat="false" ht="12.8" hidden="false" customHeight="false" outlineLevel="0" collapsed="false">
      <c r="A1120" s="4" t="s">
        <v>22</v>
      </c>
      <c r="B1120" s="4" t="s">
        <v>15</v>
      </c>
      <c r="C1120" s="4" t="n">
        <v>20</v>
      </c>
      <c r="D1120" s="5" t="n">
        <v>38</v>
      </c>
      <c r="E1120" s="6" t="n">
        <f aca="false">DATE(2024,2,26)</f>
        <v>45348</v>
      </c>
      <c r="F1120" s="7" t="n">
        <f aca="false">C1120*D1120</f>
        <v>760</v>
      </c>
      <c r="G1120" s="7" t="n">
        <f aca="false">ROUND(F1120*0.2,2)</f>
        <v>152</v>
      </c>
      <c r="H1120" s="4" t="str">
        <f aca="false">IF(F1120&gt;500,"Yüksek",IF(F1120&gt;100,"Orta","Düşük"))</f>
        <v>Yüksek</v>
      </c>
    </row>
    <row r="1121" customFormat="false" ht="12.8" hidden="false" customHeight="false" outlineLevel="0" collapsed="false">
      <c r="A1121" s="4" t="s">
        <v>23</v>
      </c>
      <c r="B1121" s="4" t="s">
        <v>17</v>
      </c>
      <c r="C1121" s="4" t="n">
        <v>27</v>
      </c>
      <c r="D1121" s="5" t="n">
        <v>5</v>
      </c>
      <c r="E1121" s="6" t="n">
        <f aca="false">DATE(2024,3,27)</f>
        <v>45378</v>
      </c>
      <c r="F1121" s="7" t="n">
        <f aca="false">C1121*D1121</f>
        <v>135</v>
      </c>
      <c r="G1121" s="7" t="n">
        <f aca="false">ROUND(F1121*0.2,2)</f>
        <v>27</v>
      </c>
      <c r="H1121" s="4" t="str">
        <f aca="false">IF(F1121&gt;500,"Yüksek",IF(F1121&gt;100,"Orta","Düşük"))</f>
        <v>Orta</v>
      </c>
    </row>
    <row r="1122" customFormat="false" ht="12.8" hidden="false" customHeight="false" outlineLevel="0" collapsed="false">
      <c r="A1122" s="4" t="s">
        <v>24</v>
      </c>
      <c r="B1122" s="4" t="s">
        <v>19</v>
      </c>
      <c r="C1122" s="4" t="n">
        <v>34</v>
      </c>
      <c r="D1122" s="5" t="n">
        <v>7.75</v>
      </c>
      <c r="E1122" s="6" t="n">
        <f aca="false">DATE(2024,4,28)</f>
        <v>45410</v>
      </c>
      <c r="F1122" s="7" t="n">
        <f aca="false">C1122*D1122</f>
        <v>263.5</v>
      </c>
      <c r="G1122" s="7" t="n">
        <f aca="false">ROUND(F1122*0.2,2)</f>
        <v>52.7</v>
      </c>
      <c r="H1122" s="4" t="str">
        <f aca="false">IF(F1122&gt;500,"Yüksek",IF(F1122&gt;100,"Orta","Düşük"))</f>
        <v>Orta</v>
      </c>
    </row>
    <row r="1123" customFormat="false" ht="12.8" hidden="false" customHeight="false" outlineLevel="0" collapsed="false">
      <c r="A1123" s="4" t="s">
        <v>10</v>
      </c>
      <c r="B1123" s="4" t="s">
        <v>11</v>
      </c>
      <c r="C1123" s="4" t="n">
        <v>41</v>
      </c>
      <c r="D1123" s="5" t="n">
        <v>10.5</v>
      </c>
      <c r="E1123" s="6" t="n">
        <f aca="false">DATE(2024,5,1)</f>
        <v>45413</v>
      </c>
      <c r="F1123" s="7" t="n">
        <f aca="false">C1123*D1123</f>
        <v>430.5</v>
      </c>
      <c r="G1123" s="7" t="n">
        <f aca="false">ROUND(F1123*0.2,2)</f>
        <v>86.1</v>
      </c>
      <c r="H1123" s="4" t="str">
        <f aca="false">IF(F1123&gt;500,"Yüksek",IF(F1123&gt;100,"Orta","Düşük"))</f>
        <v>Orta</v>
      </c>
    </row>
    <row r="1124" customFormat="false" ht="12.8" hidden="false" customHeight="false" outlineLevel="0" collapsed="false">
      <c r="A1124" s="4" t="s">
        <v>12</v>
      </c>
      <c r="B1124" s="4" t="s">
        <v>13</v>
      </c>
      <c r="C1124" s="4" t="n">
        <v>48</v>
      </c>
      <c r="D1124" s="5" t="n">
        <v>13.25</v>
      </c>
      <c r="E1124" s="6" t="n">
        <f aca="false">DATE(2024,6,2)</f>
        <v>45445</v>
      </c>
      <c r="F1124" s="7" t="n">
        <f aca="false">C1124*D1124</f>
        <v>636</v>
      </c>
      <c r="G1124" s="7" t="n">
        <f aca="false">ROUND(F1124*0.2,2)</f>
        <v>127.2</v>
      </c>
      <c r="H1124" s="4" t="str">
        <f aca="false">IF(F1124&gt;500,"Yüksek",IF(F1124&gt;100,"Orta","Düşük"))</f>
        <v>Yüksek</v>
      </c>
    </row>
    <row r="1125" customFormat="false" ht="12.8" hidden="false" customHeight="false" outlineLevel="0" collapsed="false">
      <c r="A1125" s="4" t="s">
        <v>14</v>
      </c>
      <c r="B1125" s="4" t="s">
        <v>15</v>
      </c>
      <c r="C1125" s="4" t="n">
        <v>5</v>
      </c>
      <c r="D1125" s="5" t="n">
        <v>16</v>
      </c>
      <c r="E1125" s="6" t="n">
        <f aca="false">DATE(2024,7,3)</f>
        <v>45476</v>
      </c>
      <c r="F1125" s="7" t="n">
        <f aca="false">C1125*D1125</f>
        <v>80</v>
      </c>
      <c r="G1125" s="7" t="n">
        <f aca="false">ROUND(F1125*0.2,2)</f>
        <v>16</v>
      </c>
      <c r="H1125" s="4" t="str">
        <f aca="false">IF(F1125&gt;500,"Yüksek",IF(F1125&gt;100,"Orta","Düşük"))</f>
        <v>Düşük</v>
      </c>
    </row>
    <row r="1126" customFormat="false" ht="12.8" hidden="false" customHeight="false" outlineLevel="0" collapsed="false">
      <c r="A1126" s="4" t="s">
        <v>16</v>
      </c>
      <c r="B1126" s="4" t="s">
        <v>17</v>
      </c>
      <c r="C1126" s="4" t="n">
        <v>12</v>
      </c>
      <c r="D1126" s="5" t="n">
        <v>18.75</v>
      </c>
      <c r="E1126" s="6" t="n">
        <f aca="false">DATE(2024,8,4)</f>
        <v>45508</v>
      </c>
      <c r="F1126" s="7" t="n">
        <f aca="false">C1126*D1126</f>
        <v>225</v>
      </c>
      <c r="G1126" s="7" t="n">
        <f aca="false">ROUND(F1126*0.2,2)</f>
        <v>45</v>
      </c>
      <c r="H1126" s="4" t="str">
        <f aca="false">IF(F1126&gt;500,"Yüksek",IF(F1126&gt;100,"Orta","Düşük"))</f>
        <v>Orta</v>
      </c>
    </row>
    <row r="1127" customFormat="false" ht="12.8" hidden="false" customHeight="false" outlineLevel="0" collapsed="false">
      <c r="A1127" s="4" t="s">
        <v>18</v>
      </c>
      <c r="B1127" s="4" t="s">
        <v>19</v>
      </c>
      <c r="C1127" s="4" t="n">
        <v>19</v>
      </c>
      <c r="D1127" s="5" t="n">
        <v>21.5</v>
      </c>
      <c r="E1127" s="6" t="n">
        <f aca="false">DATE(2024,9,5)</f>
        <v>45540</v>
      </c>
      <c r="F1127" s="7" t="n">
        <f aca="false">C1127*D1127</f>
        <v>408.5</v>
      </c>
      <c r="G1127" s="7" t="n">
        <f aca="false">ROUND(F1127*0.2,2)</f>
        <v>81.7</v>
      </c>
      <c r="H1127" s="4" t="str">
        <f aca="false">IF(F1127&gt;500,"Yüksek",IF(F1127&gt;100,"Orta","Düşük"))</f>
        <v>Orta</v>
      </c>
    </row>
    <row r="1128" customFormat="false" ht="12.8" hidden="false" customHeight="false" outlineLevel="0" collapsed="false">
      <c r="A1128" s="4" t="s">
        <v>20</v>
      </c>
      <c r="B1128" s="4" t="s">
        <v>11</v>
      </c>
      <c r="C1128" s="4" t="n">
        <v>26</v>
      </c>
      <c r="D1128" s="5" t="n">
        <v>24.25</v>
      </c>
      <c r="E1128" s="6" t="n">
        <f aca="false">DATE(2024,10,6)</f>
        <v>45571</v>
      </c>
      <c r="F1128" s="7" t="n">
        <f aca="false">C1128*D1128</f>
        <v>630.5</v>
      </c>
      <c r="G1128" s="7" t="n">
        <f aca="false">ROUND(F1128*0.2,2)</f>
        <v>126.1</v>
      </c>
      <c r="H1128" s="4" t="str">
        <f aca="false">IF(F1128&gt;500,"Yüksek",IF(F1128&gt;100,"Orta","Düşük"))</f>
        <v>Yüksek</v>
      </c>
    </row>
    <row r="1129" customFormat="false" ht="12.8" hidden="false" customHeight="false" outlineLevel="0" collapsed="false">
      <c r="A1129" s="4" t="s">
        <v>21</v>
      </c>
      <c r="B1129" s="4" t="s">
        <v>13</v>
      </c>
      <c r="C1129" s="4" t="n">
        <v>33</v>
      </c>
      <c r="D1129" s="5" t="n">
        <v>27</v>
      </c>
      <c r="E1129" s="6" t="n">
        <f aca="false">DATE(2024,11,7)</f>
        <v>45603</v>
      </c>
      <c r="F1129" s="7" t="n">
        <f aca="false">C1129*D1129</f>
        <v>891</v>
      </c>
      <c r="G1129" s="7" t="n">
        <f aca="false">ROUND(F1129*0.2,2)</f>
        <v>178.2</v>
      </c>
      <c r="H1129" s="4" t="str">
        <f aca="false">IF(F1129&gt;500,"Yüksek",IF(F1129&gt;100,"Orta","Düşük"))</f>
        <v>Yüksek</v>
      </c>
    </row>
    <row r="1130" customFormat="false" ht="12.8" hidden="false" customHeight="false" outlineLevel="0" collapsed="false">
      <c r="A1130" s="4" t="s">
        <v>22</v>
      </c>
      <c r="B1130" s="4" t="s">
        <v>15</v>
      </c>
      <c r="C1130" s="4" t="n">
        <v>40</v>
      </c>
      <c r="D1130" s="5" t="n">
        <v>29.75</v>
      </c>
      <c r="E1130" s="6" t="n">
        <f aca="false">DATE(2024,12,8)</f>
        <v>45634</v>
      </c>
      <c r="F1130" s="7" t="n">
        <f aca="false">C1130*D1130</f>
        <v>1190</v>
      </c>
      <c r="G1130" s="7" t="n">
        <f aca="false">ROUND(F1130*0.2,2)</f>
        <v>238</v>
      </c>
      <c r="H1130" s="4" t="str">
        <f aca="false">IF(F1130&gt;500,"Yüksek",IF(F1130&gt;100,"Orta","Düşük"))</f>
        <v>Yüksek</v>
      </c>
    </row>
    <row r="1131" customFormat="false" ht="12.8" hidden="false" customHeight="false" outlineLevel="0" collapsed="false">
      <c r="A1131" s="4" t="s">
        <v>23</v>
      </c>
      <c r="B1131" s="4" t="s">
        <v>17</v>
      </c>
      <c r="C1131" s="4" t="n">
        <v>47</v>
      </c>
      <c r="D1131" s="5" t="n">
        <v>32.5</v>
      </c>
      <c r="E1131" s="6" t="n">
        <f aca="false">DATE(2024,1,9)</f>
        <v>45300</v>
      </c>
      <c r="F1131" s="7" t="n">
        <f aca="false">C1131*D1131</f>
        <v>1527.5</v>
      </c>
      <c r="G1131" s="7" t="n">
        <f aca="false">ROUND(F1131*0.2,2)</f>
        <v>305.5</v>
      </c>
      <c r="H1131" s="4" t="str">
        <f aca="false">IF(F1131&gt;500,"Yüksek",IF(F1131&gt;100,"Orta","Düşük"))</f>
        <v>Yüksek</v>
      </c>
    </row>
    <row r="1132" customFormat="false" ht="12.8" hidden="false" customHeight="false" outlineLevel="0" collapsed="false">
      <c r="A1132" s="4" t="s">
        <v>24</v>
      </c>
      <c r="B1132" s="4" t="s">
        <v>19</v>
      </c>
      <c r="C1132" s="4" t="n">
        <v>4</v>
      </c>
      <c r="D1132" s="5" t="n">
        <v>35.25</v>
      </c>
      <c r="E1132" s="6" t="n">
        <f aca="false">DATE(2024,2,10)</f>
        <v>45332</v>
      </c>
      <c r="F1132" s="7" t="n">
        <f aca="false">C1132*D1132</f>
        <v>141</v>
      </c>
      <c r="G1132" s="7" t="n">
        <f aca="false">ROUND(F1132*0.2,2)</f>
        <v>28.2</v>
      </c>
      <c r="H1132" s="4" t="str">
        <f aca="false">IF(F1132&gt;500,"Yüksek",IF(F1132&gt;100,"Orta","Düşük"))</f>
        <v>Orta</v>
      </c>
    </row>
    <row r="1133" customFormat="false" ht="12.8" hidden="false" customHeight="false" outlineLevel="0" collapsed="false">
      <c r="A1133" s="4" t="s">
        <v>10</v>
      </c>
      <c r="B1133" s="4" t="s">
        <v>11</v>
      </c>
      <c r="C1133" s="4" t="n">
        <v>11</v>
      </c>
      <c r="D1133" s="5" t="n">
        <v>38</v>
      </c>
      <c r="E1133" s="6" t="n">
        <f aca="false">DATE(2024,3,11)</f>
        <v>45362</v>
      </c>
      <c r="F1133" s="7" t="n">
        <f aca="false">C1133*D1133</f>
        <v>418</v>
      </c>
      <c r="G1133" s="7" t="n">
        <f aca="false">ROUND(F1133*0.2,2)</f>
        <v>83.6</v>
      </c>
      <c r="H1133" s="4" t="str">
        <f aca="false">IF(F1133&gt;500,"Yüksek",IF(F1133&gt;100,"Orta","Düşük"))</f>
        <v>Orta</v>
      </c>
    </row>
    <row r="1134" customFormat="false" ht="12.8" hidden="false" customHeight="false" outlineLevel="0" collapsed="false">
      <c r="A1134" s="4" t="s">
        <v>12</v>
      </c>
      <c r="B1134" s="4" t="s">
        <v>13</v>
      </c>
      <c r="C1134" s="4" t="n">
        <v>18</v>
      </c>
      <c r="D1134" s="5" t="n">
        <v>5</v>
      </c>
      <c r="E1134" s="6" t="n">
        <f aca="false">DATE(2024,4,12)</f>
        <v>45394</v>
      </c>
      <c r="F1134" s="7" t="n">
        <f aca="false">C1134*D1134</f>
        <v>90</v>
      </c>
      <c r="G1134" s="7" t="n">
        <f aca="false">ROUND(F1134*0.2,2)</f>
        <v>18</v>
      </c>
      <c r="H1134" s="4" t="str">
        <f aca="false">IF(F1134&gt;500,"Yüksek",IF(F1134&gt;100,"Orta","Düşük"))</f>
        <v>Düşük</v>
      </c>
    </row>
    <row r="1135" customFormat="false" ht="12.8" hidden="false" customHeight="false" outlineLevel="0" collapsed="false">
      <c r="A1135" s="4" t="s">
        <v>14</v>
      </c>
      <c r="B1135" s="4" t="s">
        <v>15</v>
      </c>
      <c r="C1135" s="4" t="n">
        <v>25</v>
      </c>
      <c r="D1135" s="5" t="n">
        <v>7.75</v>
      </c>
      <c r="E1135" s="6" t="n">
        <f aca="false">DATE(2024,5,13)</f>
        <v>45425</v>
      </c>
      <c r="F1135" s="7" t="n">
        <f aca="false">C1135*D1135</f>
        <v>193.75</v>
      </c>
      <c r="G1135" s="7" t="n">
        <f aca="false">ROUND(F1135*0.2,2)</f>
        <v>38.75</v>
      </c>
      <c r="H1135" s="4" t="str">
        <f aca="false">IF(F1135&gt;500,"Yüksek",IF(F1135&gt;100,"Orta","Düşük"))</f>
        <v>Orta</v>
      </c>
    </row>
    <row r="1136" customFormat="false" ht="12.8" hidden="false" customHeight="false" outlineLevel="0" collapsed="false">
      <c r="A1136" s="4" t="s">
        <v>16</v>
      </c>
      <c r="B1136" s="4" t="s">
        <v>17</v>
      </c>
      <c r="C1136" s="4" t="n">
        <v>32</v>
      </c>
      <c r="D1136" s="5" t="n">
        <v>10.5</v>
      </c>
      <c r="E1136" s="6" t="n">
        <f aca="false">DATE(2024,6,14)</f>
        <v>45457</v>
      </c>
      <c r="F1136" s="7" t="n">
        <f aca="false">C1136*D1136</f>
        <v>336</v>
      </c>
      <c r="G1136" s="7" t="n">
        <f aca="false">ROUND(F1136*0.2,2)</f>
        <v>67.2</v>
      </c>
      <c r="H1136" s="4" t="str">
        <f aca="false">IF(F1136&gt;500,"Yüksek",IF(F1136&gt;100,"Orta","Düşük"))</f>
        <v>Orta</v>
      </c>
    </row>
    <row r="1137" customFormat="false" ht="12.8" hidden="false" customHeight="false" outlineLevel="0" collapsed="false">
      <c r="A1137" s="4" t="s">
        <v>18</v>
      </c>
      <c r="B1137" s="4" t="s">
        <v>19</v>
      </c>
      <c r="C1137" s="4" t="n">
        <v>39</v>
      </c>
      <c r="D1137" s="5" t="n">
        <v>13.25</v>
      </c>
      <c r="E1137" s="6" t="n">
        <f aca="false">DATE(2024,7,15)</f>
        <v>45488</v>
      </c>
      <c r="F1137" s="7" t="n">
        <f aca="false">C1137*D1137</f>
        <v>516.75</v>
      </c>
      <c r="G1137" s="7" t="n">
        <f aca="false">ROUND(F1137*0.2,2)</f>
        <v>103.35</v>
      </c>
      <c r="H1137" s="4" t="str">
        <f aca="false">IF(F1137&gt;500,"Yüksek",IF(F1137&gt;100,"Orta","Düşük"))</f>
        <v>Yüksek</v>
      </c>
    </row>
    <row r="1138" customFormat="false" ht="12.8" hidden="false" customHeight="false" outlineLevel="0" collapsed="false">
      <c r="A1138" s="4" t="s">
        <v>20</v>
      </c>
      <c r="B1138" s="4" t="s">
        <v>11</v>
      </c>
      <c r="C1138" s="4" t="n">
        <v>46</v>
      </c>
      <c r="D1138" s="5" t="n">
        <v>16</v>
      </c>
      <c r="E1138" s="6" t="n">
        <f aca="false">DATE(2024,8,16)</f>
        <v>45520</v>
      </c>
      <c r="F1138" s="7" t="n">
        <f aca="false">C1138*D1138</f>
        <v>736</v>
      </c>
      <c r="G1138" s="7" t="n">
        <f aca="false">ROUND(F1138*0.2,2)</f>
        <v>147.2</v>
      </c>
      <c r="H1138" s="4" t="str">
        <f aca="false">IF(F1138&gt;500,"Yüksek",IF(F1138&gt;100,"Orta","Düşük"))</f>
        <v>Yüksek</v>
      </c>
    </row>
    <row r="1139" customFormat="false" ht="12.8" hidden="false" customHeight="false" outlineLevel="0" collapsed="false">
      <c r="A1139" s="4" t="s">
        <v>21</v>
      </c>
      <c r="B1139" s="4" t="s">
        <v>13</v>
      </c>
      <c r="C1139" s="4" t="n">
        <v>3</v>
      </c>
      <c r="D1139" s="5" t="n">
        <v>18.75</v>
      </c>
      <c r="E1139" s="6" t="n">
        <f aca="false">DATE(2024,9,17)</f>
        <v>45552</v>
      </c>
      <c r="F1139" s="7" t="n">
        <f aca="false">C1139*D1139</f>
        <v>56.25</v>
      </c>
      <c r="G1139" s="7" t="n">
        <f aca="false">ROUND(F1139*0.2,2)</f>
        <v>11.25</v>
      </c>
      <c r="H1139" s="4" t="str">
        <f aca="false">IF(F1139&gt;500,"Yüksek",IF(F1139&gt;100,"Orta","Düşük"))</f>
        <v>Düşük</v>
      </c>
    </row>
    <row r="1140" customFormat="false" ht="12.8" hidden="false" customHeight="false" outlineLevel="0" collapsed="false">
      <c r="A1140" s="4" t="s">
        <v>22</v>
      </c>
      <c r="B1140" s="4" t="s">
        <v>15</v>
      </c>
      <c r="C1140" s="4" t="n">
        <v>10</v>
      </c>
      <c r="D1140" s="5" t="n">
        <v>21.5</v>
      </c>
      <c r="E1140" s="6" t="n">
        <f aca="false">DATE(2024,10,18)</f>
        <v>45583</v>
      </c>
      <c r="F1140" s="7" t="n">
        <f aca="false">C1140*D1140</f>
        <v>215</v>
      </c>
      <c r="G1140" s="7" t="n">
        <f aca="false">ROUND(F1140*0.2,2)</f>
        <v>43</v>
      </c>
      <c r="H1140" s="4" t="str">
        <f aca="false">IF(F1140&gt;500,"Yüksek",IF(F1140&gt;100,"Orta","Düşük"))</f>
        <v>Orta</v>
      </c>
    </row>
    <row r="1141" customFormat="false" ht="12.8" hidden="false" customHeight="false" outlineLevel="0" collapsed="false">
      <c r="A1141" s="4" t="s">
        <v>23</v>
      </c>
      <c r="B1141" s="4" t="s">
        <v>17</v>
      </c>
      <c r="C1141" s="4" t="n">
        <v>17</v>
      </c>
      <c r="D1141" s="5" t="n">
        <v>24.25</v>
      </c>
      <c r="E1141" s="6" t="n">
        <f aca="false">DATE(2024,11,19)</f>
        <v>45615</v>
      </c>
      <c r="F1141" s="7" t="n">
        <f aca="false">C1141*D1141</f>
        <v>412.25</v>
      </c>
      <c r="G1141" s="7" t="n">
        <f aca="false">ROUND(F1141*0.2,2)</f>
        <v>82.45</v>
      </c>
      <c r="H1141" s="4" t="str">
        <f aca="false">IF(F1141&gt;500,"Yüksek",IF(F1141&gt;100,"Orta","Düşük"))</f>
        <v>Orta</v>
      </c>
    </row>
    <row r="1142" customFormat="false" ht="12.8" hidden="false" customHeight="false" outlineLevel="0" collapsed="false">
      <c r="A1142" s="4" t="s">
        <v>24</v>
      </c>
      <c r="B1142" s="4" t="s">
        <v>19</v>
      </c>
      <c r="C1142" s="4" t="n">
        <v>24</v>
      </c>
      <c r="D1142" s="5" t="n">
        <v>27</v>
      </c>
      <c r="E1142" s="6" t="n">
        <f aca="false">DATE(2024,12,20)</f>
        <v>45646</v>
      </c>
      <c r="F1142" s="7" t="n">
        <f aca="false">C1142*D1142</f>
        <v>648</v>
      </c>
      <c r="G1142" s="7" t="n">
        <f aca="false">ROUND(F1142*0.2,2)</f>
        <v>129.6</v>
      </c>
      <c r="H1142" s="4" t="str">
        <f aca="false">IF(F1142&gt;500,"Yüksek",IF(F1142&gt;100,"Orta","Düşük"))</f>
        <v>Yüksek</v>
      </c>
    </row>
    <row r="1143" customFormat="false" ht="12.8" hidden="false" customHeight="false" outlineLevel="0" collapsed="false">
      <c r="A1143" s="4" t="s">
        <v>10</v>
      </c>
      <c r="B1143" s="4" t="s">
        <v>11</v>
      </c>
      <c r="C1143" s="4" t="n">
        <v>31</v>
      </c>
      <c r="D1143" s="5" t="n">
        <v>29.75</v>
      </c>
      <c r="E1143" s="6" t="n">
        <f aca="false">DATE(2024,1,21)</f>
        <v>45312</v>
      </c>
      <c r="F1143" s="7" t="n">
        <f aca="false">C1143*D1143</f>
        <v>922.25</v>
      </c>
      <c r="G1143" s="7" t="n">
        <f aca="false">ROUND(F1143*0.2,2)</f>
        <v>184.45</v>
      </c>
      <c r="H1143" s="4" t="str">
        <f aca="false">IF(F1143&gt;500,"Yüksek",IF(F1143&gt;100,"Orta","Düşük"))</f>
        <v>Yüksek</v>
      </c>
    </row>
    <row r="1144" customFormat="false" ht="12.8" hidden="false" customHeight="false" outlineLevel="0" collapsed="false">
      <c r="A1144" s="4" t="s">
        <v>12</v>
      </c>
      <c r="B1144" s="4" t="s">
        <v>13</v>
      </c>
      <c r="C1144" s="4" t="n">
        <v>38</v>
      </c>
      <c r="D1144" s="5" t="n">
        <v>32.5</v>
      </c>
      <c r="E1144" s="6" t="n">
        <f aca="false">DATE(2024,2,22)</f>
        <v>45344</v>
      </c>
      <c r="F1144" s="7" t="n">
        <f aca="false">C1144*D1144</f>
        <v>1235</v>
      </c>
      <c r="G1144" s="7" t="n">
        <f aca="false">ROUND(F1144*0.2,2)</f>
        <v>247</v>
      </c>
      <c r="H1144" s="4" t="str">
        <f aca="false">IF(F1144&gt;500,"Yüksek",IF(F1144&gt;100,"Orta","Düşük"))</f>
        <v>Yüksek</v>
      </c>
    </row>
    <row r="1145" customFormat="false" ht="12.8" hidden="false" customHeight="false" outlineLevel="0" collapsed="false">
      <c r="A1145" s="4" t="s">
        <v>14</v>
      </c>
      <c r="B1145" s="4" t="s">
        <v>15</v>
      </c>
      <c r="C1145" s="4" t="n">
        <v>45</v>
      </c>
      <c r="D1145" s="5" t="n">
        <v>35.25</v>
      </c>
      <c r="E1145" s="6" t="n">
        <f aca="false">DATE(2024,3,23)</f>
        <v>45374</v>
      </c>
      <c r="F1145" s="7" t="n">
        <f aca="false">C1145*D1145</f>
        <v>1586.25</v>
      </c>
      <c r="G1145" s="7" t="n">
        <f aca="false">ROUND(F1145*0.2,2)</f>
        <v>317.25</v>
      </c>
      <c r="H1145" s="4" t="str">
        <f aca="false">IF(F1145&gt;500,"Yüksek",IF(F1145&gt;100,"Orta","Düşük"))</f>
        <v>Yüksek</v>
      </c>
    </row>
    <row r="1146" customFormat="false" ht="12.8" hidden="false" customHeight="false" outlineLevel="0" collapsed="false">
      <c r="A1146" s="4" t="s">
        <v>16</v>
      </c>
      <c r="B1146" s="4" t="s">
        <v>17</v>
      </c>
      <c r="C1146" s="4" t="n">
        <v>2</v>
      </c>
      <c r="D1146" s="5" t="n">
        <v>38</v>
      </c>
      <c r="E1146" s="6" t="n">
        <f aca="false">DATE(2024,4,24)</f>
        <v>45406</v>
      </c>
      <c r="F1146" s="7" t="n">
        <f aca="false">C1146*D1146</f>
        <v>76</v>
      </c>
      <c r="G1146" s="7" t="n">
        <f aca="false">ROUND(F1146*0.2,2)</f>
        <v>15.2</v>
      </c>
      <c r="H1146" s="4" t="str">
        <f aca="false">IF(F1146&gt;500,"Yüksek",IF(F1146&gt;100,"Orta","Düşük"))</f>
        <v>Düşük</v>
      </c>
    </row>
    <row r="1147" customFormat="false" ht="12.8" hidden="false" customHeight="false" outlineLevel="0" collapsed="false">
      <c r="A1147" s="4" t="s">
        <v>18</v>
      </c>
      <c r="B1147" s="4" t="s">
        <v>19</v>
      </c>
      <c r="C1147" s="4" t="n">
        <v>9</v>
      </c>
      <c r="D1147" s="5" t="n">
        <v>5</v>
      </c>
      <c r="E1147" s="6" t="n">
        <f aca="false">DATE(2024,5,25)</f>
        <v>45437</v>
      </c>
      <c r="F1147" s="7" t="n">
        <f aca="false">C1147*D1147</f>
        <v>45</v>
      </c>
      <c r="G1147" s="7" t="n">
        <f aca="false">ROUND(F1147*0.2,2)</f>
        <v>9</v>
      </c>
      <c r="H1147" s="4" t="str">
        <f aca="false">IF(F1147&gt;500,"Yüksek",IF(F1147&gt;100,"Orta","Düşük"))</f>
        <v>Düşük</v>
      </c>
    </row>
    <row r="1148" customFormat="false" ht="12.8" hidden="false" customHeight="false" outlineLevel="0" collapsed="false">
      <c r="A1148" s="4" t="s">
        <v>20</v>
      </c>
      <c r="B1148" s="4" t="s">
        <v>11</v>
      </c>
      <c r="C1148" s="4" t="n">
        <v>16</v>
      </c>
      <c r="D1148" s="5" t="n">
        <v>7.75</v>
      </c>
      <c r="E1148" s="6" t="n">
        <f aca="false">DATE(2024,6,26)</f>
        <v>45469</v>
      </c>
      <c r="F1148" s="7" t="n">
        <f aca="false">C1148*D1148</f>
        <v>124</v>
      </c>
      <c r="G1148" s="7" t="n">
        <f aca="false">ROUND(F1148*0.2,2)</f>
        <v>24.8</v>
      </c>
      <c r="H1148" s="4" t="str">
        <f aca="false">IF(F1148&gt;500,"Yüksek",IF(F1148&gt;100,"Orta","Düşük"))</f>
        <v>Orta</v>
      </c>
    </row>
    <row r="1149" customFormat="false" ht="12.8" hidden="false" customHeight="false" outlineLevel="0" collapsed="false">
      <c r="A1149" s="4" t="s">
        <v>21</v>
      </c>
      <c r="B1149" s="4" t="s">
        <v>13</v>
      </c>
      <c r="C1149" s="4" t="n">
        <v>23</v>
      </c>
      <c r="D1149" s="5" t="n">
        <v>10.5</v>
      </c>
      <c r="E1149" s="6" t="n">
        <f aca="false">DATE(2024,7,27)</f>
        <v>45500</v>
      </c>
      <c r="F1149" s="7" t="n">
        <f aca="false">C1149*D1149</f>
        <v>241.5</v>
      </c>
      <c r="G1149" s="7" t="n">
        <f aca="false">ROUND(F1149*0.2,2)</f>
        <v>48.3</v>
      </c>
      <c r="H1149" s="4" t="str">
        <f aca="false">IF(F1149&gt;500,"Yüksek",IF(F1149&gt;100,"Orta","Düşük"))</f>
        <v>Orta</v>
      </c>
    </row>
    <row r="1150" customFormat="false" ht="12.8" hidden="false" customHeight="false" outlineLevel="0" collapsed="false">
      <c r="A1150" s="4" t="s">
        <v>22</v>
      </c>
      <c r="B1150" s="4" t="s">
        <v>15</v>
      </c>
      <c r="C1150" s="4" t="n">
        <v>30</v>
      </c>
      <c r="D1150" s="5" t="n">
        <v>13.25</v>
      </c>
      <c r="E1150" s="6" t="n">
        <f aca="false">DATE(2024,8,28)</f>
        <v>45532</v>
      </c>
      <c r="F1150" s="7" t="n">
        <f aca="false">C1150*D1150</f>
        <v>397.5</v>
      </c>
      <c r="G1150" s="7" t="n">
        <f aca="false">ROUND(F1150*0.2,2)</f>
        <v>79.5</v>
      </c>
      <c r="H1150" s="4" t="str">
        <f aca="false">IF(F1150&gt;500,"Yüksek",IF(F1150&gt;100,"Orta","Düşük"))</f>
        <v>Orta</v>
      </c>
    </row>
    <row r="1151" customFormat="false" ht="12.8" hidden="false" customHeight="false" outlineLevel="0" collapsed="false">
      <c r="A1151" s="4" t="s">
        <v>23</v>
      </c>
      <c r="B1151" s="4" t="s">
        <v>17</v>
      </c>
      <c r="C1151" s="4" t="n">
        <v>37</v>
      </c>
      <c r="D1151" s="5" t="n">
        <v>16</v>
      </c>
      <c r="E1151" s="6" t="n">
        <f aca="false">DATE(2024,9,1)</f>
        <v>45536</v>
      </c>
      <c r="F1151" s="7" t="n">
        <f aca="false">C1151*D1151</f>
        <v>592</v>
      </c>
      <c r="G1151" s="7" t="n">
        <f aca="false">ROUND(F1151*0.2,2)</f>
        <v>118.4</v>
      </c>
      <c r="H1151" s="4" t="str">
        <f aca="false">IF(F1151&gt;500,"Yüksek",IF(F1151&gt;100,"Orta","Düşük"))</f>
        <v>Yüksek</v>
      </c>
    </row>
    <row r="1152" customFormat="false" ht="12.8" hidden="false" customHeight="false" outlineLevel="0" collapsed="false">
      <c r="A1152" s="4" t="s">
        <v>24</v>
      </c>
      <c r="B1152" s="4" t="s">
        <v>19</v>
      </c>
      <c r="C1152" s="4" t="n">
        <v>44</v>
      </c>
      <c r="D1152" s="5" t="n">
        <v>18.75</v>
      </c>
      <c r="E1152" s="6" t="n">
        <f aca="false">DATE(2024,10,2)</f>
        <v>45567</v>
      </c>
      <c r="F1152" s="7" t="n">
        <f aca="false">C1152*D1152</f>
        <v>825</v>
      </c>
      <c r="G1152" s="7" t="n">
        <f aca="false">ROUND(F1152*0.2,2)</f>
        <v>165</v>
      </c>
      <c r="H1152" s="4" t="str">
        <f aca="false">IF(F1152&gt;500,"Yüksek",IF(F1152&gt;100,"Orta","Düşük"))</f>
        <v>Yüksek</v>
      </c>
    </row>
    <row r="1153" customFormat="false" ht="12.8" hidden="false" customHeight="false" outlineLevel="0" collapsed="false">
      <c r="A1153" s="4" t="s">
        <v>10</v>
      </c>
      <c r="B1153" s="4" t="s">
        <v>11</v>
      </c>
      <c r="C1153" s="4" t="n">
        <v>1</v>
      </c>
      <c r="D1153" s="5" t="n">
        <v>21.5</v>
      </c>
      <c r="E1153" s="6" t="n">
        <f aca="false">DATE(2024,11,3)</f>
        <v>45599</v>
      </c>
      <c r="F1153" s="7" t="n">
        <f aca="false">C1153*D1153</f>
        <v>21.5</v>
      </c>
      <c r="G1153" s="7" t="n">
        <f aca="false">ROUND(F1153*0.2,2)</f>
        <v>4.3</v>
      </c>
      <c r="H1153" s="4" t="str">
        <f aca="false">IF(F1153&gt;500,"Yüksek",IF(F1153&gt;100,"Orta","Düşük"))</f>
        <v>Düşük</v>
      </c>
    </row>
    <row r="1154" customFormat="false" ht="12.8" hidden="false" customHeight="false" outlineLevel="0" collapsed="false">
      <c r="A1154" s="4" t="s">
        <v>12</v>
      </c>
      <c r="B1154" s="4" t="s">
        <v>13</v>
      </c>
      <c r="C1154" s="4" t="n">
        <v>8</v>
      </c>
      <c r="D1154" s="5" t="n">
        <v>24.25</v>
      </c>
      <c r="E1154" s="6" t="n">
        <f aca="false">DATE(2024,12,4)</f>
        <v>45630</v>
      </c>
      <c r="F1154" s="7" t="n">
        <f aca="false">C1154*D1154</f>
        <v>194</v>
      </c>
      <c r="G1154" s="7" t="n">
        <f aca="false">ROUND(F1154*0.2,2)</f>
        <v>38.8</v>
      </c>
      <c r="H1154" s="4" t="str">
        <f aca="false">IF(F1154&gt;500,"Yüksek",IF(F1154&gt;100,"Orta","Düşük"))</f>
        <v>Orta</v>
      </c>
    </row>
    <row r="1155" customFormat="false" ht="12.8" hidden="false" customHeight="false" outlineLevel="0" collapsed="false">
      <c r="A1155" s="4" t="s">
        <v>14</v>
      </c>
      <c r="B1155" s="4" t="s">
        <v>15</v>
      </c>
      <c r="C1155" s="4" t="n">
        <v>15</v>
      </c>
      <c r="D1155" s="5" t="n">
        <v>27</v>
      </c>
      <c r="E1155" s="6" t="n">
        <f aca="false">DATE(2024,1,5)</f>
        <v>45296</v>
      </c>
      <c r="F1155" s="7" t="n">
        <f aca="false">C1155*D1155</f>
        <v>405</v>
      </c>
      <c r="G1155" s="7" t="n">
        <f aca="false">ROUND(F1155*0.2,2)</f>
        <v>81</v>
      </c>
      <c r="H1155" s="4" t="str">
        <f aca="false">IF(F1155&gt;500,"Yüksek",IF(F1155&gt;100,"Orta","Düşük"))</f>
        <v>Orta</v>
      </c>
    </row>
    <row r="1156" customFormat="false" ht="12.8" hidden="false" customHeight="false" outlineLevel="0" collapsed="false">
      <c r="A1156" s="4" t="s">
        <v>16</v>
      </c>
      <c r="B1156" s="4" t="s">
        <v>17</v>
      </c>
      <c r="C1156" s="4" t="n">
        <v>22</v>
      </c>
      <c r="D1156" s="5" t="n">
        <v>29.75</v>
      </c>
      <c r="E1156" s="6" t="n">
        <f aca="false">DATE(2024,2,6)</f>
        <v>45328</v>
      </c>
      <c r="F1156" s="7" t="n">
        <f aca="false">C1156*D1156</f>
        <v>654.5</v>
      </c>
      <c r="G1156" s="7" t="n">
        <f aca="false">ROUND(F1156*0.2,2)</f>
        <v>130.9</v>
      </c>
      <c r="H1156" s="4" t="str">
        <f aca="false">IF(F1156&gt;500,"Yüksek",IF(F1156&gt;100,"Orta","Düşük"))</f>
        <v>Yüksek</v>
      </c>
    </row>
    <row r="1157" customFormat="false" ht="12.8" hidden="false" customHeight="false" outlineLevel="0" collapsed="false">
      <c r="A1157" s="4" t="s">
        <v>18</v>
      </c>
      <c r="B1157" s="4" t="s">
        <v>19</v>
      </c>
      <c r="C1157" s="4" t="n">
        <v>29</v>
      </c>
      <c r="D1157" s="5" t="n">
        <v>32.5</v>
      </c>
      <c r="E1157" s="6" t="n">
        <f aca="false">DATE(2024,3,7)</f>
        <v>45358</v>
      </c>
      <c r="F1157" s="7" t="n">
        <f aca="false">C1157*D1157</f>
        <v>942.5</v>
      </c>
      <c r="G1157" s="7" t="n">
        <f aca="false">ROUND(F1157*0.2,2)</f>
        <v>188.5</v>
      </c>
      <c r="H1157" s="4" t="str">
        <f aca="false">IF(F1157&gt;500,"Yüksek",IF(F1157&gt;100,"Orta","Düşük"))</f>
        <v>Yüksek</v>
      </c>
    </row>
    <row r="1158" customFormat="false" ht="12.8" hidden="false" customHeight="false" outlineLevel="0" collapsed="false">
      <c r="A1158" s="4" t="s">
        <v>20</v>
      </c>
      <c r="B1158" s="4" t="s">
        <v>11</v>
      </c>
      <c r="C1158" s="4" t="n">
        <v>36</v>
      </c>
      <c r="D1158" s="5" t="n">
        <v>35.25</v>
      </c>
      <c r="E1158" s="6" t="n">
        <f aca="false">DATE(2024,4,8)</f>
        <v>45390</v>
      </c>
      <c r="F1158" s="7" t="n">
        <f aca="false">C1158*D1158</f>
        <v>1269</v>
      </c>
      <c r="G1158" s="7" t="n">
        <f aca="false">ROUND(F1158*0.2,2)</f>
        <v>253.8</v>
      </c>
      <c r="H1158" s="4" t="str">
        <f aca="false">IF(F1158&gt;500,"Yüksek",IF(F1158&gt;100,"Orta","Düşük"))</f>
        <v>Yüksek</v>
      </c>
    </row>
    <row r="1159" customFormat="false" ht="12.8" hidden="false" customHeight="false" outlineLevel="0" collapsed="false">
      <c r="A1159" s="4" t="s">
        <v>21</v>
      </c>
      <c r="B1159" s="4" t="s">
        <v>13</v>
      </c>
      <c r="C1159" s="4" t="n">
        <v>43</v>
      </c>
      <c r="D1159" s="5" t="n">
        <v>38</v>
      </c>
      <c r="E1159" s="6" t="n">
        <f aca="false">DATE(2024,5,9)</f>
        <v>45421</v>
      </c>
      <c r="F1159" s="7" t="n">
        <f aca="false">C1159*D1159</f>
        <v>1634</v>
      </c>
      <c r="G1159" s="7" t="n">
        <f aca="false">ROUND(F1159*0.2,2)</f>
        <v>326.8</v>
      </c>
      <c r="H1159" s="4" t="str">
        <f aca="false">IF(F1159&gt;500,"Yüksek",IF(F1159&gt;100,"Orta","Düşük"))</f>
        <v>Yüksek</v>
      </c>
    </row>
    <row r="1160" customFormat="false" ht="12.8" hidden="false" customHeight="false" outlineLevel="0" collapsed="false">
      <c r="A1160" s="4" t="s">
        <v>22</v>
      </c>
      <c r="B1160" s="4" t="s">
        <v>15</v>
      </c>
      <c r="C1160" s="4" t="n">
        <v>50</v>
      </c>
      <c r="D1160" s="5" t="n">
        <v>5</v>
      </c>
      <c r="E1160" s="6" t="n">
        <f aca="false">DATE(2024,6,10)</f>
        <v>45453</v>
      </c>
      <c r="F1160" s="7" t="n">
        <f aca="false">C1160*D1160</f>
        <v>250</v>
      </c>
      <c r="G1160" s="7" t="n">
        <f aca="false">ROUND(F1160*0.2,2)</f>
        <v>50</v>
      </c>
      <c r="H1160" s="4" t="str">
        <f aca="false">IF(F1160&gt;500,"Yüksek",IF(F1160&gt;100,"Orta","Düşük"))</f>
        <v>Orta</v>
      </c>
    </row>
    <row r="1161" customFormat="false" ht="12.8" hidden="false" customHeight="false" outlineLevel="0" collapsed="false">
      <c r="A1161" s="4" t="s">
        <v>23</v>
      </c>
      <c r="B1161" s="4" t="s">
        <v>17</v>
      </c>
      <c r="C1161" s="4" t="n">
        <v>7</v>
      </c>
      <c r="D1161" s="5" t="n">
        <v>7.75</v>
      </c>
      <c r="E1161" s="6" t="n">
        <f aca="false">DATE(2024,7,11)</f>
        <v>45484</v>
      </c>
      <c r="F1161" s="7" t="n">
        <f aca="false">C1161*D1161</f>
        <v>54.25</v>
      </c>
      <c r="G1161" s="7" t="n">
        <f aca="false">ROUND(F1161*0.2,2)</f>
        <v>10.85</v>
      </c>
      <c r="H1161" s="4" t="str">
        <f aca="false">IF(F1161&gt;500,"Yüksek",IF(F1161&gt;100,"Orta","Düşük"))</f>
        <v>Düşük</v>
      </c>
    </row>
    <row r="1162" customFormat="false" ht="12.8" hidden="false" customHeight="false" outlineLevel="0" collapsed="false">
      <c r="A1162" s="4" t="s">
        <v>24</v>
      </c>
      <c r="B1162" s="4" t="s">
        <v>19</v>
      </c>
      <c r="C1162" s="4" t="n">
        <v>14</v>
      </c>
      <c r="D1162" s="5" t="n">
        <v>10.5</v>
      </c>
      <c r="E1162" s="6" t="n">
        <f aca="false">DATE(2024,8,12)</f>
        <v>45516</v>
      </c>
      <c r="F1162" s="7" t="n">
        <f aca="false">C1162*D1162</f>
        <v>147</v>
      </c>
      <c r="G1162" s="7" t="n">
        <f aca="false">ROUND(F1162*0.2,2)</f>
        <v>29.4</v>
      </c>
      <c r="H1162" s="4" t="str">
        <f aca="false">IF(F1162&gt;500,"Yüksek",IF(F1162&gt;100,"Orta","Düşük"))</f>
        <v>Orta</v>
      </c>
    </row>
    <row r="1163" customFormat="false" ht="12.8" hidden="false" customHeight="false" outlineLevel="0" collapsed="false">
      <c r="A1163" s="4" t="s">
        <v>10</v>
      </c>
      <c r="B1163" s="4" t="s">
        <v>11</v>
      </c>
      <c r="C1163" s="4" t="n">
        <v>21</v>
      </c>
      <c r="D1163" s="5" t="n">
        <v>13.25</v>
      </c>
      <c r="E1163" s="6" t="n">
        <f aca="false">DATE(2024,9,13)</f>
        <v>45548</v>
      </c>
      <c r="F1163" s="7" t="n">
        <f aca="false">C1163*D1163</f>
        <v>278.25</v>
      </c>
      <c r="G1163" s="7" t="n">
        <f aca="false">ROUND(F1163*0.2,2)</f>
        <v>55.65</v>
      </c>
      <c r="H1163" s="4" t="str">
        <f aca="false">IF(F1163&gt;500,"Yüksek",IF(F1163&gt;100,"Orta","Düşük"))</f>
        <v>Orta</v>
      </c>
    </row>
    <row r="1164" customFormat="false" ht="12.8" hidden="false" customHeight="false" outlineLevel="0" collapsed="false">
      <c r="A1164" s="4" t="s">
        <v>12</v>
      </c>
      <c r="B1164" s="4" t="s">
        <v>13</v>
      </c>
      <c r="C1164" s="4" t="n">
        <v>28</v>
      </c>
      <c r="D1164" s="5" t="n">
        <v>16</v>
      </c>
      <c r="E1164" s="6" t="n">
        <f aca="false">DATE(2024,10,14)</f>
        <v>45579</v>
      </c>
      <c r="F1164" s="7" t="n">
        <f aca="false">C1164*D1164</f>
        <v>448</v>
      </c>
      <c r="G1164" s="7" t="n">
        <f aca="false">ROUND(F1164*0.2,2)</f>
        <v>89.6</v>
      </c>
      <c r="H1164" s="4" t="str">
        <f aca="false">IF(F1164&gt;500,"Yüksek",IF(F1164&gt;100,"Orta","Düşük"))</f>
        <v>Orta</v>
      </c>
    </row>
    <row r="1165" customFormat="false" ht="12.8" hidden="false" customHeight="false" outlineLevel="0" collapsed="false">
      <c r="A1165" s="4" t="s">
        <v>14</v>
      </c>
      <c r="B1165" s="4" t="s">
        <v>15</v>
      </c>
      <c r="C1165" s="4" t="n">
        <v>35</v>
      </c>
      <c r="D1165" s="5" t="n">
        <v>18.75</v>
      </c>
      <c r="E1165" s="6" t="n">
        <f aca="false">DATE(2024,11,15)</f>
        <v>45611</v>
      </c>
      <c r="F1165" s="7" t="n">
        <f aca="false">C1165*D1165</f>
        <v>656.25</v>
      </c>
      <c r="G1165" s="7" t="n">
        <f aca="false">ROUND(F1165*0.2,2)</f>
        <v>131.25</v>
      </c>
      <c r="H1165" s="4" t="str">
        <f aca="false">IF(F1165&gt;500,"Yüksek",IF(F1165&gt;100,"Orta","Düşük"))</f>
        <v>Yüksek</v>
      </c>
    </row>
    <row r="1166" customFormat="false" ht="12.8" hidden="false" customHeight="false" outlineLevel="0" collapsed="false">
      <c r="A1166" s="4" t="s">
        <v>16</v>
      </c>
      <c r="B1166" s="4" t="s">
        <v>17</v>
      </c>
      <c r="C1166" s="4" t="n">
        <v>42</v>
      </c>
      <c r="D1166" s="5" t="n">
        <v>21.5</v>
      </c>
      <c r="E1166" s="6" t="n">
        <f aca="false">DATE(2024,12,16)</f>
        <v>45642</v>
      </c>
      <c r="F1166" s="7" t="n">
        <f aca="false">C1166*D1166</f>
        <v>903</v>
      </c>
      <c r="G1166" s="7" t="n">
        <f aca="false">ROUND(F1166*0.2,2)</f>
        <v>180.6</v>
      </c>
      <c r="H1166" s="4" t="str">
        <f aca="false">IF(F1166&gt;500,"Yüksek",IF(F1166&gt;100,"Orta","Düşük"))</f>
        <v>Yüksek</v>
      </c>
    </row>
    <row r="1167" customFormat="false" ht="12.8" hidden="false" customHeight="false" outlineLevel="0" collapsed="false">
      <c r="A1167" s="4" t="s">
        <v>18</v>
      </c>
      <c r="B1167" s="4" t="s">
        <v>19</v>
      </c>
      <c r="C1167" s="4" t="n">
        <v>49</v>
      </c>
      <c r="D1167" s="5" t="n">
        <v>24.25</v>
      </c>
      <c r="E1167" s="6" t="n">
        <f aca="false">DATE(2024,1,17)</f>
        <v>45308</v>
      </c>
      <c r="F1167" s="7" t="n">
        <f aca="false">C1167*D1167</f>
        <v>1188.25</v>
      </c>
      <c r="G1167" s="7" t="n">
        <f aca="false">ROUND(F1167*0.2,2)</f>
        <v>237.65</v>
      </c>
      <c r="H1167" s="4" t="str">
        <f aca="false">IF(F1167&gt;500,"Yüksek",IF(F1167&gt;100,"Orta","Düşük"))</f>
        <v>Yüksek</v>
      </c>
    </row>
    <row r="1168" customFormat="false" ht="12.8" hidden="false" customHeight="false" outlineLevel="0" collapsed="false">
      <c r="A1168" s="4" t="s">
        <v>20</v>
      </c>
      <c r="B1168" s="4" t="s">
        <v>11</v>
      </c>
      <c r="C1168" s="4" t="n">
        <v>6</v>
      </c>
      <c r="D1168" s="5" t="n">
        <v>27</v>
      </c>
      <c r="E1168" s="6" t="n">
        <f aca="false">DATE(2024,2,18)</f>
        <v>45340</v>
      </c>
      <c r="F1168" s="7" t="n">
        <f aca="false">C1168*D1168</f>
        <v>162</v>
      </c>
      <c r="G1168" s="7" t="n">
        <f aca="false">ROUND(F1168*0.2,2)</f>
        <v>32.4</v>
      </c>
      <c r="H1168" s="4" t="str">
        <f aca="false">IF(F1168&gt;500,"Yüksek",IF(F1168&gt;100,"Orta","Düşük"))</f>
        <v>Orta</v>
      </c>
    </row>
    <row r="1169" customFormat="false" ht="12.8" hidden="false" customHeight="false" outlineLevel="0" collapsed="false">
      <c r="A1169" s="4" t="s">
        <v>21</v>
      </c>
      <c r="B1169" s="4" t="s">
        <v>13</v>
      </c>
      <c r="C1169" s="4" t="n">
        <v>13</v>
      </c>
      <c r="D1169" s="5" t="n">
        <v>29.75</v>
      </c>
      <c r="E1169" s="6" t="n">
        <f aca="false">DATE(2024,3,19)</f>
        <v>45370</v>
      </c>
      <c r="F1169" s="7" t="n">
        <f aca="false">C1169*D1169</f>
        <v>386.75</v>
      </c>
      <c r="G1169" s="7" t="n">
        <f aca="false">ROUND(F1169*0.2,2)</f>
        <v>77.35</v>
      </c>
      <c r="H1169" s="4" t="str">
        <f aca="false">IF(F1169&gt;500,"Yüksek",IF(F1169&gt;100,"Orta","Düşük"))</f>
        <v>Orta</v>
      </c>
    </row>
    <row r="1170" customFormat="false" ht="12.8" hidden="false" customHeight="false" outlineLevel="0" collapsed="false">
      <c r="A1170" s="4" t="s">
        <v>22</v>
      </c>
      <c r="B1170" s="4" t="s">
        <v>15</v>
      </c>
      <c r="C1170" s="4" t="n">
        <v>20</v>
      </c>
      <c r="D1170" s="5" t="n">
        <v>32.5</v>
      </c>
      <c r="E1170" s="6" t="n">
        <f aca="false">DATE(2024,4,20)</f>
        <v>45402</v>
      </c>
      <c r="F1170" s="7" t="n">
        <f aca="false">C1170*D1170</f>
        <v>650</v>
      </c>
      <c r="G1170" s="7" t="n">
        <f aca="false">ROUND(F1170*0.2,2)</f>
        <v>130</v>
      </c>
      <c r="H1170" s="4" t="str">
        <f aca="false">IF(F1170&gt;500,"Yüksek",IF(F1170&gt;100,"Orta","Düşük"))</f>
        <v>Yüksek</v>
      </c>
    </row>
    <row r="1171" customFormat="false" ht="12.8" hidden="false" customHeight="false" outlineLevel="0" collapsed="false">
      <c r="A1171" s="4" t="s">
        <v>23</v>
      </c>
      <c r="B1171" s="4" t="s">
        <v>17</v>
      </c>
      <c r="C1171" s="4" t="n">
        <v>27</v>
      </c>
      <c r="D1171" s="5" t="n">
        <v>35.25</v>
      </c>
      <c r="E1171" s="6" t="n">
        <f aca="false">DATE(2024,5,21)</f>
        <v>45433</v>
      </c>
      <c r="F1171" s="7" t="n">
        <f aca="false">C1171*D1171</f>
        <v>951.75</v>
      </c>
      <c r="G1171" s="7" t="n">
        <f aca="false">ROUND(F1171*0.2,2)</f>
        <v>190.35</v>
      </c>
      <c r="H1171" s="4" t="str">
        <f aca="false">IF(F1171&gt;500,"Yüksek",IF(F1171&gt;100,"Orta","Düşük"))</f>
        <v>Yüksek</v>
      </c>
    </row>
    <row r="1172" customFormat="false" ht="12.8" hidden="false" customHeight="false" outlineLevel="0" collapsed="false">
      <c r="A1172" s="4" t="s">
        <v>24</v>
      </c>
      <c r="B1172" s="4" t="s">
        <v>19</v>
      </c>
      <c r="C1172" s="4" t="n">
        <v>34</v>
      </c>
      <c r="D1172" s="5" t="n">
        <v>38</v>
      </c>
      <c r="E1172" s="6" t="n">
        <f aca="false">DATE(2024,6,22)</f>
        <v>45465</v>
      </c>
      <c r="F1172" s="7" t="n">
        <f aca="false">C1172*D1172</f>
        <v>1292</v>
      </c>
      <c r="G1172" s="7" t="n">
        <f aca="false">ROUND(F1172*0.2,2)</f>
        <v>258.4</v>
      </c>
      <c r="H1172" s="4" t="str">
        <f aca="false">IF(F1172&gt;500,"Yüksek",IF(F1172&gt;100,"Orta","Düşük"))</f>
        <v>Yüksek</v>
      </c>
    </row>
    <row r="1173" customFormat="false" ht="12.8" hidden="false" customHeight="false" outlineLevel="0" collapsed="false">
      <c r="A1173" s="4" t="s">
        <v>10</v>
      </c>
      <c r="B1173" s="4" t="s">
        <v>11</v>
      </c>
      <c r="C1173" s="4" t="n">
        <v>41</v>
      </c>
      <c r="D1173" s="5" t="n">
        <v>5</v>
      </c>
      <c r="E1173" s="6" t="n">
        <f aca="false">DATE(2024,7,23)</f>
        <v>45496</v>
      </c>
      <c r="F1173" s="7" t="n">
        <f aca="false">C1173*D1173</f>
        <v>205</v>
      </c>
      <c r="G1173" s="7" t="n">
        <f aca="false">ROUND(F1173*0.2,2)</f>
        <v>41</v>
      </c>
      <c r="H1173" s="4" t="str">
        <f aca="false">IF(F1173&gt;500,"Yüksek",IF(F1173&gt;100,"Orta","Düşük"))</f>
        <v>Orta</v>
      </c>
    </row>
    <row r="1174" customFormat="false" ht="12.8" hidden="false" customHeight="false" outlineLevel="0" collapsed="false">
      <c r="A1174" s="4" t="s">
        <v>12</v>
      </c>
      <c r="B1174" s="4" t="s">
        <v>13</v>
      </c>
      <c r="C1174" s="4" t="n">
        <v>48</v>
      </c>
      <c r="D1174" s="5" t="n">
        <v>7.75</v>
      </c>
      <c r="E1174" s="6" t="n">
        <f aca="false">DATE(2024,8,24)</f>
        <v>45528</v>
      </c>
      <c r="F1174" s="7" t="n">
        <f aca="false">C1174*D1174</f>
        <v>372</v>
      </c>
      <c r="G1174" s="7" t="n">
        <f aca="false">ROUND(F1174*0.2,2)</f>
        <v>74.4</v>
      </c>
      <c r="H1174" s="4" t="str">
        <f aca="false">IF(F1174&gt;500,"Yüksek",IF(F1174&gt;100,"Orta","Düşük"))</f>
        <v>Orta</v>
      </c>
    </row>
    <row r="1175" customFormat="false" ht="12.8" hidden="false" customHeight="false" outlineLevel="0" collapsed="false">
      <c r="A1175" s="4" t="s">
        <v>14</v>
      </c>
      <c r="B1175" s="4" t="s">
        <v>15</v>
      </c>
      <c r="C1175" s="4" t="n">
        <v>5</v>
      </c>
      <c r="D1175" s="5" t="n">
        <v>10.5</v>
      </c>
      <c r="E1175" s="6" t="n">
        <f aca="false">DATE(2024,9,25)</f>
        <v>45560</v>
      </c>
      <c r="F1175" s="7" t="n">
        <f aca="false">C1175*D1175</f>
        <v>52.5</v>
      </c>
      <c r="G1175" s="7" t="n">
        <f aca="false">ROUND(F1175*0.2,2)</f>
        <v>10.5</v>
      </c>
      <c r="H1175" s="4" t="str">
        <f aca="false">IF(F1175&gt;500,"Yüksek",IF(F1175&gt;100,"Orta","Düşük"))</f>
        <v>Düşük</v>
      </c>
    </row>
    <row r="1176" customFormat="false" ht="12.8" hidden="false" customHeight="false" outlineLevel="0" collapsed="false">
      <c r="A1176" s="4" t="s">
        <v>16</v>
      </c>
      <c r="B1176" s="4" t="s">
        <v>17</v>
      </c>
      <c r="C1176" s="4" t="n">
        <v>12</v>
      </c>
      <c r="D1176" s="5" t="n">
        <v>13.25</v>
      </c>
      <c r="E1176" s="6" t="n">
        <f aca="false">DATE(2024,10,26)</f>
        <v>45591</v>
      </c>
      <c r="F1176" s="7" t="n">
        <f aca="false">C1176*D1176</f>
        <v>159</v>
      </c>
      <c r="G1176" s="7" t="n">
        <f aca="false">ROUND(F1176*0.2,2)</f>
        <v>31.8</v>
      </c>
      <c r="H1176" s="4" t="str">
        <f aca="false">IF(F1176&gt;500,"Yüksek",IF(F1176&gt;100,"Orta","Düşük"))</f>
        <v>Orta</v>
      </c>
    </row>
    <row r="1177" customFormat="false" ht="12.8" hidden="false" customHeight="false" outlineLevel="0" collapsed="false">
      <c r="A1177" s="4" t="s">
        <v>18</v>
      </c>
      <c r="B1177" s="4" t="s">
        <v>19</v>
      </c>
      <c r="C1177" s="4" t="n">
        <v>19</v>
      </c>
      <c r="D1177" s="5" t="n">
        <v>16</v>
      </c>
      <c r="E1177" s="6" t="n">
        <f aca="false">DATE(2024,11,27)</f>
        <v>45623</v>
      </c>
      <c r="F1177" s="7" t="n">
        <f aca="false">C1177*D1177</f>
        <v>304</v>
      </c>
      <c r="G1177" s="7" t="n">
        <f aca="false">ROUND(F1177*0.2,2)</f>
        <v>60.8</v>
      </c>
      <c r="H1177" s="4" t="str">
        <f aca="false">IF(F1177&gt;500,"Yüksek",IF(F1177&gt;100,"Orta","Düşük"))</f>
        <v>Orta</v>
      </c>
    </row>
    <row r="1178" customFormat="false" ht="12.8" hidden="false" customHeight="false" outlineLevel="0" collapsed="false">
      <c r="A1178" s="4" t="s">
        <v>20</v>
      </c>
      <c r="B1178" s="4" t="s">
        <v>11</v>
      </c>
      <c r="C1178" s="4" t="n">
        <v>26</v>
      </c>
      <c r="D1178" s="5" t="n">
        <v>18.75</v>
      </c>
      <c r="E1178" s="6" t="n">
        <f aca="false">DATE(2024,12,28)</f>
        <v>45654</v>
      </c>
      <c r="F1178" s="7" t="n">
        <f aca="false">C1178*D1178</f>
        <v>487.5</v>
      </c>
      <c r="G1178" s="7" t="n">
        <f aca="false">ROUND(F1178*0.2,2)</f>
        <v>97.5</v>
      </c>
      <c r="H1178" s="4" t="str">
        <f aca="false">IF(F1178&gt;500,"Yüksek",IF(F1178&gt;100,"Orta","Düşük"))</f>
        <v>Orta</v>
      </c>
    </row>
    <row r="1179" customFormat="false" ht="12.8" hidden="false" customHeight="false" outlineLevel="0" collapsed="false">
      <c r="A1179" s="4" t="s">
        <v>21</v>
      </c>
      <c r="B1179" s="4" t="s">
        <v>13</v>
      </c>
      <c r="C1179" s="4" t="n">
        <v>33</v>
      </c>
      <c r="D1179" s="5" t="n">
        <v>21.5</v>
      </c>
      <c r="E1179" s="6" t="n">
        <f aca="false">DATE(2024,1,1)</f>
        <v>45292</v>
      </c>
      <c r="F1179" s="7" t="n">
        <f aca="false">C1179*D1179</f>
        <v>709.5</v>
      </c>
      <c r="G1179" s="7" t="n">
        <f aca="false">ROUND(F1179*0.2,2)</f>
        <v>141.9</v>
      </c>
      <c r="H1179" s="4" t="str">
        <f aca="false">IF(F1179&gt;500,"Yüksek",IF(F1179&gt;100,"Orta","Düşük"))</f>
        <v>Yüksek</v>
      </c>
    </row>
    <row r="1180" customFormat="false" ht="12.8" hidden="false" customHeight="false" outlineLevel="0" collapsed="false">
      <c r="A1180" s="4" t="s">
        <v>22</v>
      </c>
      <c r="B1180" s="4" t="s">
        <v>15</v>
      </c>
      <c r="C1180" s="4" t="n">
        <v>40</v>
      </c>
      <c r="D1180" s="5" t="n">
        <v>24.25</v>
      </c>
      <c r="E1180" s="6" t="n">
        <f aca="false">DATE(2024,2,2)</f>
        <v>45324</v>
      </c>
      <c r="F1180" s="7" t="n">
        <f aca="false">C1180*D1180</f>
        <v>970</v>
      </c>
      <c r="G1180" s="7" t="n">
        <f aca="false">ROUND(F1180*0.2,2)</f>
        <v>194</v>
      </c>
      <c r="H1180" s="4" t="str">
        <f aca="false">IF(F1180&gt;500,"Yüksek",IF(F1180&gt;100,"Orta","Düşük"))</f>
        <v>Yüksek</v>
      </c>
    </row>
    <row r="1181" customFormat="false" ht="12.8" hidden="false" customHeight="false" outlineLevel="0" collapsed="false">
      <c r="A1181" s="4" t="s">
        <v>23</v>
      </c>
      <c r="B1181" s="4" t="s">
        <v>17</v>
      </c>
      <c r="C1181" s="4" t="n">
        <v>47</v>
      </c>
      <c r="D1181" s="5" t="n">
        <v>27</v>
      </c>
      <c r="E1181" s="6" t="n">
        <f aca="false">DATE(2024,3,3)</f>
        <v>45354</v>
      </c>
      <c r="F1181" s="7" t="n">
        <f aca="false">C1181*D1181</f>
        <v>1269</v>
      </c>
      <c r="G1181" s="7" t="n">
        <f aca="false">ROUND(F1181*0.2,2)</f>
        <v>253.8</v>
      </c>
      <c r="H1181" s="4" t="str">
        <f aca="false">IF(F1181&gt;500,"Yüksek",IF(F1181&gt;100,"Orta","Düşük"))</f>
        <v>Yüksek</v>
      </c>
    </row>
    <row r="1182" customFormat="false" ht="12.8" hidden="false" customHeight="false" outlineLevel="0" collapsed="false">
      <c r="A1182" s="4" t="s">
        <v>24</v>
      </c>
      <c r="B1182" s="4" t="s">
        <v>19</v>
      </c>
      <c r="C1182" s="4" t="n">
        <v>4</v>
      </c>
      <c r="D1182" s="5" t="n">
        <v>29.75</v>
      </c>
      <c r="E1182" s="6" t="n">
        <f aca="false">DATE(2024,4,4)</f>
        <v>45386</v>
      </c>
      <c r="F1182" s="7" t="n">
        <f aca="false">C1182*D1182</f>
        <v>119</v>
      </c>
      <c r="G1182" s="7" t="n">
        <f aca="false">ROUND(F1182*0.2,2)</f>
        <v>23.8</v>
      </c>
      <c r="H1182" s="4" t="str">
        <f aca="false">IF(F1182&gt;500,"Yüksek",IF(F1182&gt;100,"Orta","Düşük"))</f>
        <v>Orta</v>
      </c>
    </row>
    <row r="1183" customFormat="false" ht="12.8" hidden="false" customHeight="false" outlineLevel="0" collapsed="false">
      <c r="A1183" s="4" t="s">
        <v>10</v>
      </c>
      <c r="B1183" s="4" t="s">
        <v>11</v>
      </c>
      <c r="C1183" s="4" t="n">
        <v>11</v>
      </c>
      <c r="D1183" s="5" t="n">
        <v>32.5</v>
      </c>
      <c r="E1183" s="6" t="n">
        <f aca="false">DATE(2024,5,5)</f>
        <v>45417</v>
      </c>
      <c r="F1183" s="7" t="n">
        <f aca="false">C1183*D1183</f>
        <v>357.5</v>
      </c>
      <c r="G1183" s="7" t="n">
        <f aca="false">ROUND(F1183*0.2,2)</f>
        <v>71.5</v>
      </c>
      <c r="H1183" s="4" t="str">
        <f aca="false">IF(F1183&gt;500,"Yüksek",IF(F1183&gt;100,"Orta","Düşük"))</f>
        <v>Orta</v>
      </c>
    </row>
    <row r="1184" customFormat="false" ht="12.8" hidden="false" customHeight="false" outlineLevel="0" collapsed="false">
      <c r="A1184" s="4" t="s">
        <v>12</v>
      </c>
      <c r="B1184" s="4" t="s">
        <v>13</v>
      </c>
      <c r="C1184" s="4" t="n">
        <v>18</v>
      </c>
      <c r="D1184" s="5" t="n">
        <v>35.25</v>
      </c>
      <c r="E1184" s="6" t="n">
        <f aca="false">DATE(2024,6,6)</f>
        <v>45449</v>
      </c>
      <c r="F1184" s="7" t="n">
        <f aca="false">C1184*D1184</f>
        <v>634.5</v>
      </c>
      <c r="G1184" s="7" t="n">
        <f aca="false">ROUND(F1184*0.2,2)</f>
        <v>126.9</v>
      </c>
      <c r="H1184" s="4" t="str">
        <f aca="false">IF(F1184&gt;500,"Yüksek",IF(F1184&gt;100,"Orta","Düşük"))</f>
        <v>Yüksek</v>
      </c>
    </row>
    <row r="1185" customFormat="false" ht="12.8" hidden="false" customHeight="false" outlineLevel="0" collapsed="false">
      <c r="A1185" s="4" t="s">
        <v>14</v>
      </c>
      <c r="B1185" s="4" t="s">
        <v>15</v>
      </c>
      <c r="C1185" s="4" t="n">
        <v>25</v>
      </c>
      <c r="D1185" s="5" t="n">
        <v>38</v>
      </c>
      <c r="E1185" s="6" t="n">
        <f aca="false">DATE(2024,7,7)</f>
        <v>45480</v>
      </c>
      <c r="F1185" s="7" t="n">
        <f aca="false">C1185*D1185</f>
        <v>950</v>
      </c>
      <c r="G1185" s="7" t="n">
        <f aca="false">ROUND(F1185*0.2,2)</f>
        <v>190</v>
      </c>
      <c r="H1185" s="4" t="str">
        <f aca="false">IF(F1185&gt;500,"Yüksek",IF(F1185&gt;100,"Orta","Düşük"))</f>
        <v>Yüksek</v>
      </c>
    </row>
    <row r="1186" customFormat="false" ht="12.8" hidden="false" customHeight="false" outlineLevel="0" collapsed="false">
      <c r="A1186" s="4" t="s">
        <v>16</v>
      </c>
      <c r="B1186" s="4" t="s">
        <v>17</v>
      </c>
      <c r="C1186" s="4" t="n">
        <v>32</v>
      </c>
      <c r="D1186" s="5" t="n">
        <v>5</v>
      </c>
      <c r="E1186" s="6" t="n">
        <f aca="false">DATE(2024,8,8)</f>
        <v>45512</v>
      </c>
      <c r="F1186" s="7" t="n">
        <f aca="false">C1186*D1186</f>
        <v>160</v>
      </c>
      <c r="G1186" s="7" t="n">
        <f aca="false">ROUND(F1186*0.2,2)</f>
        <v>32</v>
      </c>
      <c r="H1186" s="4" t="str">
        <f aca="false">IF(F1186&gt;500,"Yüksek",IF(F1186&gt;100,"Orta","Düşük"))</f>
        <v>Orta</v>
      </c>
    </row>
    <row r="1187" customFormat="false" ht="12.8" hidden="false" customHeight="false" outlineLevel="0" collapsed="false">
      <c r="A1187" s="4" t="s">
        <v>18</v>
      </c>
      <c r="B1187" s="4" t="s">
        <v>19</v>
      </c>
      <c r="C1187" s="4" t="n">
        <v>39</v>
      </c>
      <c r="D1187" s="5" t="n">
        <v>7.75</v>
      </c>
      <c r="E1187" s="6" t="n">
        <f aca="false">DATE(2024,9,9)</f>
        <v>45544</v>
      </c>
      <c r="F1187" s="7" t="n">
        <f aca="false">C1187*D1187</f>
        <v>302.25</v>
      </c>
      <c r="G1187" s="7" t="n">
        <f aca="false">ROUND(F1187*0.2,2)</f>
        <v>60.45</v>
      </c>
      <c r="H1187" s="4" t="str">
        <f aca="false">IF(F1187&gt;500,"Yüksek",IF(F1187&gt;100,"Orta","Düşük"))</f>
        <v>Orta</v>
      </c>
    </row>
    <row r="1188" customFormat="false" ht="12.8" hidden="false" customHeight="false" outlineLevel="0" collapsed="false">
      <c r="A1188" s="4" t="s">
        <v>20</v>
      </c>
      <c r="B1188" s="4" t="s">
        <v>11</v>
      </c>
      <c r="C1188" s="4" t="n">
        <v>46</v>
      </c>
      <c r="D1188" s="5" t="n">
        <v>10.5</v>
      </c>
      <c r="E1188" s="6" t="n">
        <f aca="false">DATE(2024,10,10)</f>
        <v>45575</v>
      </c>
      <c r="F1188" s="7" t="n">
        <f aca="false">C1188*D1188</f>
        <v>483</v>
      </c>
      <c r="G1188" s="7" t="n">
        <f aca="false">ROUND(F1188*0.2,2)</f>
        <v>96.6</v>
      </c>
      <c r="H1188" s="4" t="str">
        <f aca="false">IF(F1188&gt;500,"Yüksek",IF(F1188&gt;100,"Orta","Düşük"))</f>
        <v>Orta</v>
      </c>
    </row>
    <row r="1189" customFormat="false" ht="12.8" hidden="false" customHeight="false" outlineLevel="0" collapsed="false">
      <c r="A1189" s="4" t="s">
        <v>21</v>
      </c>
      <c r="B1189" s="4" t="s">
        <v>13</v>
      </c>
      <c r="C1189" s="4" t="n">
        <v>3</v>
      </c>
      <c r="D1189" s="5" t="n">
        <v>13.25</v>
      </c>
      <c r="E1189" s="6" t="n">
        <f aca="false">DATE(2024,11,11)</f>
        <v>45607</v>
      </c>
      <c r="F1189" s="7" t="n">
        <f aca="false">C1189*D1189</f>
        <v>39.75</v>
      </c>
      <c r="G1189" s="7" t="n">
        <f aca="false">ROUND(F1189*0.2,2)</f>
        <v>7.95</v>
      </c>
      <c r="H1189" s="4" t="str">
        <f aca="false">IF(F1189&gt;500,"Yüksek",IF(F1189&gt;100,"Orta","Düşük"))</f>
        <v>Düşük</v>
      </c>
    </row>
    <row r="1190" customFormat="false" ht="12.8" hidden="false" customHeight="false" outlineLevel="0" collapsed="false">
      <c r="A1190" s="4" t="s">
        <v>22</v>
      </c>
      <c r="B1190" s="4" t="s">
        <v>15</v>
      </c>
      <c r="C1190" s="4" t="n">
        <v>10</v>
      </c>
      <c r="D1190" s="5" t="n">
        <v>16</v>
      </c>
      <c r="E1190" s="6" t="n">
        <f aca="false">DATE(2024,12,12)</f>
        <v>45638</v>
      </c>
      <c r="F1190" s="7" t="n">
        <f aca="false">C1190*D1190</f>
        <v>160</v>
      </c>
      <c r="G1190" s="7" t="n">
        <f aca="false">ROUND(F1190*0.2,2)</f>
        <v>32</v>
      </c>
      <c r="H1190" s="4" t="str">
        <f aca="false">IF(F1190&gt;500,"Yüksek",IF(F1190&gt;100,"Orta","Düşük"))</f>
        <v>Orta</v>
      </c>
    </row>
    <row r="1191" customFormat="false" ht="12.8" hidden="false" customHeight="false" outlineLevel="0" collapsed="false">
      <c r="A1191" s="4" t="s">
        <v>23</v>
      </c>
      <c r="B1191" s="4" t="s">
        <v>17</v>
      </c>
      <c r="C1191" s="4" t="n">
        <v>17</v>
      </c>
      <c r="D1191" s="5" t="n">
        <v>18.75</v>
      </c>
      <c r="E1191" s="6" t="n">
        <f aca="false">DATE(2024,1,13)</f>
        <v>45304</v>
      </c>
      <c r="F1191" s="7" t="n">
        <f aca="false">C1191*D1191</f>
        <v>318.75</v>
      </c>
      <c r="G1191" s="7" t="n">
        <f aca="false">ROUND(F1191*0.2,2)</f>
        <v>63.75</v>
      </c>
      <c r="H1191" s="4" t="str">
        <f aca="false">IF(F1191&gt;500,"Yüksek",IF(F1191&gt;100,"Orta","Düşük"))</f>
        <v>Orta</v>
      </c>
    </row>
    <row r="1192" customFormat="false" ht="12.8" hidden="false" customHeight="false" outlineLevel="0" collapsed="false">
      <c r="A1192" s="4" t="s">
        <v>24</v>
      </c>
      <c r="B1192" s="4" t="s">
        <v>19</v>
      </c>
      <c r="C1192" s="4" t="n">
        <v>24</v>
      </c>
      <c r="D1192" s="5" t="n">
        <v>21.5</v>
      </c>
      <c r="E1192" s="6" t="n">
        <f aca="false">DATE(2024,2,14)</f>
        <v>45336</v>
      </c>
      <c r="F1192" s="7" t="n">
        <f aca="false">C1192*D1192</f>
        <v>516</v>
      </c>
      <c r="G1192" s="7" t="n">
        <f aca="false">ROUND(F1192*0.2,2)</f>
        <v>103.2</v>
      </c>
      <c r="H1192" s="4" t="str">
        <f aca="false">IF(F1192&gt;500,"Yüksek",IF(F1192&gt;100,"Orta","Düşük"))</f>
        <v>Yüksek</v>
      </c>
    </row>
    <row r="1193" customFormat="false" ht="12.8" hidden="false" customHeight="false" outlineLevel="0" collapsed="false">
      <c r="A1193" s="4" t="s">
        <v>10</v>
      </c>
      <c r="B1193" s="4" t="s">
        <v>11</v>
      </c>
      <c r="C1193" s="4" t="n">
        <v>31</v>
      </c>
      <c r="D1193" s="5" t="n">
        <v>24.25</v>
      </c>
      <c r="E1193" s="6" t="n">
        <f aca="false">DATE(2024,3,15)</f>
        <v>45366</v>
      </c>
      <c r="F1193" s="7" t="n">
        <f aca="false">C1193*D1193</f>
        <v>751.75</v>
      </c>
      <c r="G1193" s="7" t="n">
        <f aca="false">ROUND(F1193*0.2,2)</f>
        <v>150.35</v>
      </c>
      <c r="H1193" s="4" t="str">
        <f aca="false">IF(F1193&gt;500,"Yüksek",IF(F1193&gt;100,"Orta","Düşük"))</f>
        <v>Yüksek</v>
      </c>
    </row>
    <row r="1194" customFormat="false" ht="12.8" hidden="false" customHeight="false" outlineLevel="0" collapsed="false">
      <c r="A1194" s="4" t="s">
        <v>12</v>
      </c>
      <c r="B1194" s="4" t="s">
        <v>13</v>
      </c>
      <c r="C1194" s="4" t="n">
        <v>38</v>
      </c>
      <c r="D1194" s="5" t="n">
        <v>27</v>
      </c>
      <c r="E1194" s="6" t="n">
        <f aca="false">DATE(2024,4,16)</f>
        <v>45398</v>
      </c>
      <c r="F1194" s="7" t="n">
        <f aca="false">C1194*D1194</f>
        <v>1026</v>
      </c>
      <c r="G1194" s="7" t="n">
        <f aca="false">ROUND(F1194*0.2,2)</f>
        <v>205.2</v>
      </c>
      <c r="H1194" s="4" t="str">
        <f aca="false">IF(F1194&gt;500,"Yüksek",IF(F1194&gt;100,"Orta","Düşük"))</f>
        <v>Yüksek</v>
      </c>
    </row>
    <row r="1195" customFormat="false" ht="12.8" hidden="false" customHeight="false" outlineLevel="0" collapsed="false">
      <c r="A1195" s="4" t="s">
        <v>14</v>
      </c>
      <c r="B1195" s="4" t="s">
        <v>15</v>
      </c>
      <c r="C1195" s="4" t="n">
        <v>45</v>
      </c>
      <c r="D1195" s="5" t="n">
        <v>29.75</v>
      </c>
      <c r="E1195" s="6" t="n">
        <f aca="false">DATE(2024,5,17)</f>
        <v>45429</v>
      </c>
      <c r="F1195" s="7" t="n">
        <f aca="false">C1195*D1195</f>
        <v>1338.75</v>
      </c>
      <c r="G1195" s="7" t="n">
        <f aca="false">ROUND(F1195*0.2,2)</f>
        <v>267.75</v>
      </c>
      <c r="H1195" s="4" t="str">
        <f aca="false">IF(F1195&gt;500,"Yüksek",IF(F1195&gt;100,"Orta","Düşük"))</f>
        <v>Yüksek</v>
      </c>
    </row>
    <row r="1196" customFormat="false" ht="12.8" hidden="false" customHeight="false" outlineLevel="0" collapsed="false">
      <c r="A1196" s="4" t="s">
        <v>16</v>
      </c>
      <c r="B1196" s="4" t="s">
        <v>17</v>
      </c>
      <c r="C1196" s="4" t="n">
        <v>2</v>
      </c>
      <c r="D1196" s="5" t="n">
        <v>32.5</v>
      </c>
      <c r="E1196" s="6" t="n">
        <f aca="false">DATE(2024,6,18)</f>
        <v>45461</v>
      </c>
      <c r="F1196" s="7" t="n">
        <f aca="false">C1196*D1196</f>
        <v>65</v>
      </c>
      <c r="G1196" s="7" t="n">
        <f aca="false">ROUND(F1196*0.2,2)</f>
        <v>13</v>
      </c>
      <c r="H1196" s="4" t="str">
        <f aca="false">IF(F1196&gt;500,"Yüksek",IF(F1196&gt;100,"Orta","Düşük"))</f>
        <v>Düşük</v>
      </c>
    </row>
    <row r="1197" customFormat="false" ht="12.8" hidden="false" customHeight="false" outlineLevel="0" collapsed="false">
      <c r="A1197" s="4" t="s">
        <v>18</v>
      </c>
      <c r="B1197" s="4" t="s">
        <v>19</v>
      </c>
      <c r="C1197" s="4" t="n">
        <v>9</v>
      </c>
      <c r="D1197" s="5" t="n">
        <v>35.25</v>
      </c>
      <c r="E1197" s="6" t="n">
        <f aca="false">DATE(2024,7,19)</f>
        <v>45492</v>
      </c>
      <c r="F1197" s="7" t="n">
        <f aca="false">C1197*D1197</f>
        <v>317.25</v>
      </c>
      <c r="G1197" s="7" t="n">
        <f aca="false">ROUND(F1197*0.2,2)</f>
        <v>63.45</v>
      </c>
      <c r="H1197" s="4" t="str">
        <f aca="false">IF(F1197&gt;500,"Yüksek",IF(F1197&gt;100,"Orta","Düşük"))</f>
        <v>Orta</v>
      </c>
    </row>
    <row r="1198" customFormat="false" ht="12.8" hidden="false" customHeight="false" outlineLevel="0" collapsed="false">
      <c r="A1198" s="4" t="s">
        <v>20</v>
      </c>
      <c r="B1198" s="4" t="s">
        <v>11</v>
      </c>
      <c r="C1198" s="4" t="n">
        <v>16</v>
      </c>
      <c r="D1198" s="5" t="n">
        <v>38</v>
      </c>
      <c r="E1198" s="6" t="n">
        <f aca="false">DATE(2024,8,20)</f>
        <v>45524</v>
      </c>
      <c r="F1198" s="7" t="n">
        <f aca="false">C1198*D1198</f>
        <v>608</v>
      </c>
      <c r="G1198" s="7" t="n">
        <f aca="false">ROUND(F1198*0.2,2)</f>
        <v>121.6</v>
      </c>
      <c r="H1198" s="4" t="str">
        <f aca="false">IF(F1198&gt;500,"Yüksek",IF(F1198&gt;100,"Orta","Düşük"))</f>
        <v>Yüksek</v>
      </c>
    </row>
    <row r="1199" customFormat="false" ht="12.8" hidden="false" customHeight="false" outlineLevel="0" collapsed="false">
      <c r="A1199" s="4" t="s">
        <v>21</v>
      </c>
      <c r="B1199" s="4" t="s">
        <v>13</v>
      </c>
      <c r="C1199" s="4" t="n">
        <v>23</v>
      </c>
      <c r="D1199" s="5" t="n">
        <v>5</v>
      </c>
      <c r="E1199" s="6" t="n">
        <f aca="false">DATE(2024,9,21)</f>
        <v>45556</v>
      </c>
      <c r="F1199" s="7" t="n">
        <f aca="false">C1199*D1199</f>
        <v>115</v>
      </c>
      <c r="G1199" s="7" t="n">
        <f aca="false">ROUND(F1199*0.2,2)</f>
        <v>23</v>
      </c>
      <c r="H1199" s="4" t="str">
        <f aca="false">IF(F1199&gt;500,"Yüksek",IF(F1199&gt;100,"Orta","Düşük"))</f>
        <v>Orta</v>
      </c>
    </row>
    <row r="1200" customFormat="false" ht="12.8" hidden="false" customHeight="false" outlineLevel="0" collapsed="false">
      <c r="A1200" s="4" t="s">
        <v>22</v>
      </c>
      <c r="B1200" s="4" t="s">
        <v>15</v>
      </c>
      <c r="C1200" s="4" t="n">
        <v>30</v>
      </c>
      <c r="D1200" s="5" t="n">
        <v>7.75</v>
      </c>
      <c r="E1200" s="6" t="n">
        <f aca="false">DATE(2024,10,22)</f>
        <v>45587</v>
      </c>
      <c r="F1200" s="7" t="n">
        <f aca="false">C1200*D1200</f>
        <v>232.5</v>
      </c>
      <c r="G1200" s="7" t="n">
        <f aca="false">ROUND(F1200*0.2,2)</f>
        <v>46.5</v>
      </c>
      <c r="H1200" s="4" t="str">
        <f aca="false">IF(F1200&gt;500,"Yüksek",IF(F1200&gt;100,"Orta","Düşük"))</f>
        <v>Orta</v>
      </c>
    </row>
    <row r="1201" customFormat="false" ht="12.8" hidden="false" customHeight="false" outlineLevel="0" collapsed="false">
      <c r="A1201" s="4" t="s">
        <v>23</v>
      </c>
      <c r="B1201" s="4" t="s">
        <v>17</v>
      </c>
      <c r="C1201" s="4" t="n">
        <v>37</v>
      </c>
      <c r="D1201" s="5" t="n">
        <v>10.5</v>
      </c>
      <c r="E1201" s="6" t="n">
        <f aca="false">DATE(2024,11,23)</f>
        <v>45619</v>
      </c>
      <c r="F1201" s="7" t="n">
        <f aca="false">C1201*D1201</f>
        <v>388.5</v>
      </c>
      <c r="G1201" s="7" t="n">
        <f aca="false">ROUND(F1201*0.2,2)</f>
        <v>77.7</v>
      </c>
      <c r="H1201" s="4" t="str">
        <f aca="false">IF(F1201&gt;500,"Yüksek",IF(F1201&gt;100,"Orta","Düşük"))</f>
        <v>Orta</v>
      </c>
    </row>
    <row r="1202" customFormat="false" ht="12.8" hidden="false" customHeight="false" outlineLevel="0" collapsed="false">
      <c r="A1202" s="4" t="s">
        <v>24</v>
      </c>
      <c r="B1202" s="4" t="s">
        <v>19</v>
      </c>
      <c r="C1202" s="4" t="n">
        <v>44</v>
      </c>
      <c r="D1202" s="5" t="n">
        <v>13.25</v>
      </c>
      <c r="E1202" s="6" t="n">
        <f aca="false">DATE(2024,12,24)</f>
        <v>45650</v>
      </c>
      <c r="F1202" s="7" t="n">
        <f aca="false">C1202*D1202</f>
        <v>583</v>
      </c>
      <c r="G1202" s="7" t="n">
        <f aca="false">ROUND(F1202*0.2,2)</f>
        <v>116.6</v>
      </c>
      <c r="H1202" s="4" t="str">
        <f aca="false">IF(F1202&gt;500,"Yüksek",IF(F1202&gt;100,"Orta","Düşük"))</f>
        <v>Yüksek</v>
      </c>
    </row>
    <row r="1203" customFormat="false" ht="12.8" hidden="false" customHeight="false" outlineLevel="0" collapsed="false">
      <c r="A1203" s="4" t="s">
        <v>10</v>
      </c>
      <c r="B1203" s="4" t="s">
        <v>11</v>
      </c>
      <c r="C1203" s="4" t="n">
        <v>1</v>
      </c>
      <c r="D1203" s="5" t="n">
        <v>16</v>
      </c>
      <c r="E1203" s="6" t="n">
        <f aca="false">DATE(2024,1,25)</f>
        <v>45316</v>
      </c>
      <c r="F1203" s="7" t="n">
        <f aca="false">C1203*D1203</f>
        <v>16</v>
      </c>
      <c r="G1203" s="7" t="n">
        <f aca="false">ROUND(F1203*0.2,2)</f>
        <v>3.2</v>
      </c>
      <c r="H1203" s="4" t="str">
        <f aca="false">IF(F1203&gt;500,"Yüksek",IF(F1203&gt;100,"Orta","Düşük"))</f>
        <v>Düşük</v>
      </c>
    </row>
    <row r="1204" customFormat="false" ht="12.8" hidden="false" customHeight="false" outlineLevel="0" collapsed="false">
      <c r="A1204" s="4" t="s">
        <v>12</v>
      </c>
      <c r="B1204" s="4" t="s">
        <v>13</v>
      </c>
      <c r="C1204" s="4" t="n">
        <v>8</v>
      </c>
      <c r="D1204" s="5" t="n">
        <v>18.75</v>
      </c>
      <c r="E1204" s="6" t="n">
        <f aca="false">DATE(2024,2,26)</f>
        <v>45348</v>
      </c>
      <c r="F1204" s="7" t="n">
        <f aca="false">C1204*D1204</f>
        <v>150</v>
      </c>
      <c r="G1204" s="7" t="n">
        <f aca="false">ROUND(F1204*0.2,2)</f>
        <v>30</v>
      </c>
      <c r="H1204" s="4" t="str">
        <f aca="false">IF(F1204&gt;500,"Yüksek",IF(F1204&gt;100,"Orta","Düşük"))</f>
        <v>Orta</v>
      </c>
    </row>
    <row r="1205" customFormat="false" ht="12.8" hidden="false" customHeight="false" outlineLevel="0" collapsed="false">
      <c r="A1205" s="4" t="s">
        <v>14</v>
      </c>
      <c r="B1205" s="4" t="s">
        <v>15</v>
      </c>
      <c r="C1205" s="4" t="n">
        <v>15</v>
      </c>
      <c r="D1205" s="5" t="n">
        <v>21.5</v>
      </c>
      <c r="E1205" s="6" t="n">
        <f aca="false">DATE(2024,3,27)</f>
        <v>45378</v>
      </c>
      <c r="F1205" s="7" t="n">
        <f aca="false">C1205*D1205</f>
        <v>322.5</v>
      </c>
      <c r="G1205" s="7" t="n">
        <f aca="false">ROUND(F1205*0.2,2)</f>
        <v>64.5</v>
      </c>
      <c r="H1205" s="4" t="str">
        <f aca="false">IF(F1205&gt;500,"Yüksek",IF(F1205&gt;100,"Orta","Düşük"))</f>
        <v>Orta</v>
      </c>
    </row>
    <row r="1206" customFormat="false" ht="12.8" hidden="false" customHeight="false" outlineLevel="0" collapsed="false">
      <c r="A1206" s="4" t="s">
        <v>16</v>
      </c>
      <c r="B1206" s="4" t="s">
        <v>17</v>
      </c>
      <c r="C1206" s="4" t="n">
        <v>22</v>
      </c>
      <c r="D1206" s="5" t="n">
        <v>24.25</v>
      </c>
      <c r="E1206" s="6" t="n">
        <f aca="false">DATE(2024,4,28)</f>
        <v>45410</v>
      </c>
      <c r="F1206" s="7" t="n">
        <f aca="false">C1206*D1206</f>
        <v>533.5</v>
      </c>
      <c r="G1206" s="7" t="n">
        <f aca="false">ROUND(F1206*0.2,2)</f>
        <v>106.7</v>
      </c>
      <c r="H1206" s="4" t="str">
        <f aca="false">IF(F1206&gt;500,"Yüksek",IF(F1206&gt;100,"Orta","Düşük"))</f>
        <v>Yüksek</v>
      </c>
    </row>
    <row r="1207" customFormat="false" ht="12.8" hidden="false" customHeight="false" outlineLevel="0" collapsed="false">
      <c r="A1207" s="4" t="s">
        <v>18</v>
      </c>
      <c r="B1207" s="4" t="s">
        <v>19</v>
      </c>
      <c r="C1207" s="4" t="n">
        <v>29</v>
      </c>
      <c r="D1207" s="5" t="n">
        <v>27</v>
      </c>
      <c r="E1207" s="6" t="n">
        <f aca="false">DATE(2024,5,1)</f>
        <v>45413</v>
      </c>
      <c r="F1207" s="7" t="n">
        <f aca="false">C1207*D1207</f>
        <v>783</v>
      </c>
      <c r="G1207" s="7" t="n">
        <f aca="false">ROUND(F1207*0.2,2)</f>
        <v>156.6</v>
      </c>
      <c r="H1207" s="4" t="str">
        <f aca="false">IF(F1207&gt;500,"Yüksek",IF(F1207&gt;100,"Orta","Düşük"))</f>
        <v>Yüksek</v>
      </c>
    </row>
    <row r="1208" customFormat="false" ht="12.8" hidden="false" customHeight="false" outlineLevel="0" collapsed="false">
      <c r="A1208" s="4" t="s">
        <v>20</v>
      </c>
      <c r="B1208" s="4" t="s">
        <v>11</v>
      </c>
      <c r="C1208" s="4" t="n">
        <v>36</v>
      </c>
      <c r="D1208" s="5" t="n">
        <v>29.75</v>
      </c>
      <c r="E1208" s="6" t="n">
        <f aca="false">DATE(2024,6,2)</f>
        <v>45445</v>
      </c>
      <c r="F1208" s="7" t="n">
        <f aca="false">C1208*D1208</f>
        <v>1071</v>
      </c>
      <c r="G1208" s="7" t="n">
        <f aca="false">ROUND(F1208*0.2,2)</f>
        <v>214.2</v>
      </c>
      <c r="H1208" s="4" t="str">
        <f aca="false">IF(F1208&gt;500,"Yüksek",IF(F1208&gt;100,"Orta","Düşük"))</f>
        <v>Yüksek</v>
      </c>
    </row>
    <row r="1209" customFormat="false" ht="12.8" hidden="false" customHeight="false" outlineLevel="0" collapsed="false">
      <c r="A1209" s="4" t="s">
        <v>21</v>
      </c>
      <c r="B1209" s="4" t="s">
        <v>13</v>
      </c>
      <c r="C1209" s="4" t="n">
        <v>43</v>
      </c>
      <c r="D1209" s="5" t="n">
        <v>32.5</v>
      </c>
      <c r="E1209" s="6" t="n">
        <f aca="false">DATE(2024,7,3)</f>
        <v>45476</v>
      </c>
      <c r="F1209" s="7" t="n">
        <f aca="false">C1209*D1209</f>
        <v>1397.5</v>
      </c>
      <c r="G1209" s="7" t="n">
        <f aca="false">ROUND(F1209*0.2,2)</f>
        <v>279.5</v>
      </c>
      <c r="H1209" s="4" t="str">
        <f aca="false">IF(F1209&gt;500,"Yüksek",IF(F1209&gt;100,"Orta","Düşük"))</f>
        <v>Yüksek</v>
      </c>
    </row>
    <row r="1210" customFormat="false" ht="12.8" hidden="false" customHeight="false" outlineLevel="0" collapsed="false">
      <c r="A1210" s="4" t="s">
        <v>22</v>
      </c>
      <c r="B1210" s="4" t="s">
        <v>15</v>
      </c>
      <c r="C1210" s="4" t="n">
        <v>50</v>
      </c>
      <c r="D1210" s="5" t="n">
        <v>35.25</v>
      </c>
      <c r="E1210" s="6" t="n">
        <f aca="false">DATE(2024,8,4)</f>
        <v>45508</v>
      </c>
      <c r="F1210" s="7" t="n">
        <f aca="false">C1210*D1210</f>
        <v>1762.5</v>
      </c>
      <c r="G1210" s="7" t="n">
        <f aca="false">ROUND(F1210*0.2,2)</f>
        <v>352.5</v>
      </c>
      <c r="H1210" s="4" t="str">
        <f aca="false">IF(F1210&gt;500,"Yüksek",IF(F1210&gt;100,"Orta","Düşük"))</f>
        <v>Yüksek</v>
      </c>
    </row>
    <row r="1211" customFormat="false" ht="12.8" hidden="false" customHeight="false" outlineLevel="0" collapsed="false">
      <c r="A1211" s="4" t="s">
        <v>23</v>
      </c>
      <c r="B1211" s="4" t="s">
        <v>17</v>
      </c>
      <c r="C1211" s="4" t="n">
        <v>7</v>
      </c>
      <c r="D1211" s="5" t="n">
        <v>38</v>
      </c>
      <c r="E1211" s="6" t="n">
        <f aca="false">DATE(2024,9,5)</f>
        <v>45540</v>
      </c>
      <c r="F1211" s="7" t="n">
        <f aca="false">C1211*D1211</f>
        <v>266</v>
      </c>
      <c r="G1211" s="7" t="n">
        <f aca="false">ROUND(F1211*0.2,2)</f>
        <v>53.2</v>
      </c>
      <c r="H1211" s="4" t="str">
        <f aca="false">IF(F1211&gt;500,"Yüksek",IF(F1211&gt;100,"Orta","Düşük"))</f>
        <v>Orta</v>
      </c>
    </row>
    <row r="1212" customFormat="false" ht="12.8" hidden="false" customHeight="false" outlineLevel="0" collapsed="false">
      <c r="A1212" s="4" t="s">
        <v>24</v>
      </c>
      <c r="B1212" s="4" t="s">
        <v>19</v>
      </c>
      <c r="C1212" s="4" t="n">
        <v>14</v>
      </c>
      <c r="D1212" s="5" t="n">
        <v>5</v>
      </c>
      <c r="E1212" s="6" t="n">
        <f aca="false">DATE(2024,10,6)</f>
        <v>45571</v>
      </c>
      <c r="F1212" s="7" t="n">
        <f aca="false">C1212*D1212</f>
        <v>70</v>
      </c>
      <c r="G1212" s="7" t="n">
        <f aca="false">ROUND(F1212*0.2,2)</f>
        <v>14</v>
      </c>
      <c r="H1212" s="4" t="str">
        <f aca="false">IF(F1212&gt;500,"Yüksek",IF(F1212&gt;100,"Orta","Düşük"))</f>
        <v>Düşük</v>
      </c>
    </row>
    <row r="1213" customFormat="false" ht="12.8" hidden="false" customHeight="false" outlineLevel="0" collapsed="false">
      <c r="A1213" s="4" t="s">
        <v>10</v>
      </c>
      <c r="B1213" s="4" t="s">
        <v>11</v>
      </c>
      <c r="C1213" s="4" t="n">
        <v>21</v>
      </c>
      <c r="D1213" s="5" t="n">
        <v>7.75</v>
      </c>
      <c r="E1213" s="6" t="n">
        <f aca="false">DATE(2024,11,7)</f>
        <v>45603</v>
      </c>
      <c r="F1213" s="7" t="n">
        <f aca="false">C1213*D1213</f>
        <v>162.75</v>
      </c>
      <c r="G1213" s="7" t="n">
        <f aca="false">ROUND(F1213*0.2,2)</f>
        <v>32.55</v>
      </c>
      <c r="H1213" s="4" t="str">
        <f aca="false">IF(F1213&gt;500,"Yüksek",IF(F1213&gt;100,"Orta","Düşük"))</f>
        <v>Orta</v>
      </c>
    </row>
    <row r="1214" customFormat="false" ht="12.8" hidden="false" customHeight="false" outlineLevel="0" collapsed="false">
      <c r="A1214" s="4" t="s">
        <v>12</v>
      </c>
      <c r="B1214" s="4" t="s">
        <v>13</v>
      </c>
      <c r="C1214" s="4" t="n">
        <v>28</v>
      </c>
      <c r="D1214" s="5" t="n">
        <v>10.5</v>
      </c>
      <c r="E1214" s="6" t="n">
        <f aca="false">DATE(2024,12,8)</f>
        <v>45634</v>
      </c>
      <c r="F1214" s="7" t="n">
        <f aca="false">C1214*D1214</f>
        <v>294</v>
      </c>
      <c r="G1214" s="7" t="n">
        <f aca="false">ROUND(F1214*0.2,2)</f>
        <v>58.8</v>
      </c>
      <c r="H1214" s="4" t="str">
        <f aca="false">IF(F1214&gt;500,"Yüksek",IF(F1214&gt;100,"Orta","Düşük"))</f>
        <v>Orta</v>
      </c>
    </row>
    <row r="1215" customFormat="false" ht="12.8" hidden="false" customHeight="false" outlineLevel="0" collapsed="false">
      <c r="A1215" s="4" t="s">
        <v>14</v>
      </c>
      <c r="B1215" s="4" t="s">
        <v>15</v>
      </c>
      <c r="C1215" s="4" t="n">
        <v>35</v>
      </c>
      <c r="D1215" s="5" t="n">
        <v>13.25</v>
      </c>
      <c r="E1215" s="6" t="n">
        <f aca="false">DATE(2024,1,9)</f>
        <v>45300</v>
      </c>
      <c r="F1215" s="7" t="n">
        <f aca="false">C1215*D1215</f>
        <v>463.75</v>
      </c>
      <c r="G1215" s="7" t="n">
        <f aca="false">ROUND(F1215*0.2,2)</f>
        <v>92.75</v>
      </c>
      <c r="H1215" s="4" t="str">
        <f aca="false">IF(F1215&gt;500,"Yüksek",IF(F1215&gt;100,"Orta","Düşük"))</f>
        <v>Orta</v>
      </c>
    </row>
    <row r="1216" customFormat="false" ht="12.8" hidden="false" customHeight="false" outlineLevel="0" collapsed="false">
      <c r="A1216" s="4" t="s">
        <v>16</v>
      </c>
      <c r="B1216" s="4" t="s">
        <v>17</v>
      </c>
      <c r="C1216" s="4" t="n">
        <v>42</v>
      </c>
      <c r="D1216" s="5" t="n">
        <v>16</v>
      </c>
      <c r="E1216" s="6" t="n">
        <f aca="false">DATE(2024,2,10)</f>
        <v>45332</v>
      </c>
      <c r="F1216" s="7" t="n">
        <f aca="false">C1216*D1216</f>
        <v>672</v>
      </c>
      <c r="G1216" s="7" t="n">
        <f aca="false">ROUND(F1216*0.2,2)</f>
        <v>134.4</v>
      </c>
      <c r="H1216" s="4" t="str">
        <f aca="false">IF(F1216&gt;500,"Yüksek",IF(F1216&gt;100,"Orta","Düşük"))</f>
        <v>Yüksek</v>
      </c>
    </row>
    <row r="1217" customFormat="false" ht="12.8" hidden="false" customHeight="false" outlineLevel="0" collapsed="false">
      <c r="A1217" s="4" t="s">
        <v>18</v>
      </c>
      <c r="B1217" s="4" t="s">
        <v>19</v>
      </c>
      <c r="C1217" s="4" t="n">
        <v>49</v>
      </c>
      <c r="D1217" s="5" t="n">
        <v>18.75</v>
      </c>
      <c r="E1217" s="6" t="n">
        <f aca="false">DATE(2024,3,11)</f>
        <v>45362</v>
      </c>
      <c r="F1217" s="7" t="n">
        <f aca="false">C1217*D1217</f>
        <v>918.75</v>
      </c>
      <c r="G1217" s="7" t="n">
        <f aca="false">ROUND(F1217*0.2,2)</f>
        <v>183.75</v>
      </c>
      <c r="H1217" s="4" t="str">
        <f aca="false">IF(F1217&gt;500,"Yüksek",IF(F1217&gt;100,"Orta","Düşük"))</f>
        <v>Yüksek</v>
      </c>
    </row>
    <row r="1218" customFormat="false" ht="12.8" hidden="false" customHeight="false" outlineLevel="0" collapsed="false">
      <c r="A1218" s="4" t="s">
        <v>20</v>
      </c>
      <c r="B1218" s="4" t="s">
        <v>11</v>
      </c>
      <c r="C1218" s="4" t="n">
        <v>6</v>
      </c>
      <c r="D1218" s="5" t="n">
        <v>21.5</v>
      </c>
      <c r="E1218" s="6" t="n">
        <f aca="false">DATE(2024,4,12)</f>
        <v>45394</v>
      </c>
      <c r="F1218" s="7" t="n">
        <f aca="false">C1218*D1218</f>
        <v>129</v>
      </c>
      <c r="G1218" s="7" t="n">
        <f aca="false">ROUND(F1218*0.2,2)</f>
        <v>25.8</v>
      </c>
      <c r="H1218" s="4" t="str">
        <f aca="false">IF(F1218&gt;500,"Yüksek",IF(F1218&gt;100,"Orta","Düşük"))</f>
        <v>Orta</v>
      </c>
    </row>
    <row r="1219" customFormat="false" ht="12.8" hidden="false" customHeight="false" outlineLevel="0" collapsed="false">
      <c r="A1219" s="4" t="s">
        <v>21</v>
      </c>
      <c r="B1219" s="4" t="s">
        <v>13</v>
      </c>
      <c r="C1219" s="4" t="n">
        <v>13</v>
      </c>
      <c r="D1219" s="5" t="n">
        <v>24.25</v>
      </c>
      <c r="E1219" s="6" t="n">
        <f aca="false">DATE(2024,5,13)</f>
        <v>45425</v>
      </c>
      <c r="F1219" s="7" t="n">
        <f aca="false">C1219*D1219</f>
        <v>315.25</v>
      </c>
      <c r="G1219" s="7" t="n">
        <f aca="false">ROUND(F1219*0.2,2)</f>
        <v>63.05</v>
      </c>
      <c r="H1219" s="4" t="str">
        <f aca="false">IF(F1219&gt;500,"Yüksek",IF(F1219&gt;100,"Orta","Düşük"))</f>
        <v>Orta</v>
      </c>
    </row>
    <row r="1220" customFormat="false" ht="12.8" hidden="false" customHeight="false" outlineLevel="0" collapsed="false">
      <c r="A1220" s="4" t="s">
        <v>22</v>
      </c>
      <c r="B1220" s="4" t="s">
        <v>15</v>
      </c>
      <c r="C1220" s="4" t="n">
        <v>20</v>
      </c>
      <c r="D1220" s="5" t="n">
        <v>27</v>
      </c>
      <c r="E1220" s="6" t="n">
        <f aca="false">DATE(2024,6,14)</f>
        <v>45457</v>
      </c>
      <c r="F1220" s="7" t="n">
        <f aca="false">C1220*D1220</f>
        <v>540</v>
      </c>
      <c r="G1220" s="7" t="n">
        <f aca="false">ROUND(F1220*0.2,2)</f>
        <v>108</v>
      </c>
      <c r="H1220" s="4" t="str">
        <f aca="false">IF(F1220&gt;500,"Yüksek",IF(F1220&gt;100,"Orta","Düşük"))</f>
        <v>Yüksek</v>
      </c>
    </row>
    <row r="1221" customFormat="false" ht="12.8" hidden="false" customHeight="false" outlineLevel="0" collapsed="false">
      <c r="A1221" s="4" t="s">
        <v>23</v>
      </c>
      <c r="B1221" s="4" t="s">
        <v>17</v>
      </c>
      <c r="C1221" s="4" t="n">
        <v>27</v>
      </c>
      <c r="D1221" s="5" t="n">
        <v>29.75</v>
      </c>
      <c r="E1221" s="6" t="n">
        <f aca="false">DATE(2024,7,15)</f>
        <v>45488</v>
      </c>
      <c r="F1221" s="7" t="n">
        <f aca="false">C1221*D1221</f>
        <v>803.25</v>
      </c>
      <c r="G1221" s="7" t="n">
        <f aca="false">ROUND(F1221*0.2,2)</f>
        <v>160.65</v>
      </c>
      <c r="H1221" s="4" t="str">
        <f aca="false">IF(F1221&gt;500,"Yüksek",IF(F1221&gt;100,"Orta","Düşük"))</f>
        <v>Yüksek</v>
      </c>
    </row>
    <row r="1222" customFormat="false" ht="12.8" hidden="false" customHeight="false" outlineLevel="0" collapsed="false">
      <c r="A1222" s="4" t="s">
        <v>24</v>
      </c>
      <c r="B1222" s="4" t="s">
        <v>19</v>
      </c>
      <c r="C1222" s="4" t="n">
        <v>34</v>
      </c>
      <c r="D1222" s="5" t="n">
        <v>32.5</v>
      </c>
      <c r="E1222" s="6" t="n">
        <f aca="false">DATE(2024,8,16)</f>
        <v>45520</v>
      </c>
      <c r="F1222" s="7" t="n">
        <f aca="false">C1222*D1222</f>
        <v>1105</v>
      </c>
      <c r="G1222" s="7" t="n">
        <f aca="false">ROUND(F1222*0.2,2)</f>
        <v>221</v>
      </c>
      <c r="H1222" s="4" t="str">
        <f aca="false">IF(F1222&gt;500,"Yüksek",IF(F1222&gt;100,"Orta","Düşük"))</f>
        <v>Yüksek</v>
      </c>
    </row>
    <row r="1223" customFormat="false" ht="12.8" hidden="false" customHeight="false" outlineLevel="0" collapsed="false">
      <c r="A1223" s="4" t="s">
        <v>10</v>
      </c>
      <c r="B1223" s="4" t="s">
        <v>11</v>
      </c>
      <c r="C1223" s="4" t="n">
        <v>41</v>
      </c>
      <c r="D1223" s="5" t="n">
        <v>35.25</v>
      </c>
      <c r="E1223" s="6" t="n">
        <f aca="false">DATE(2024,9,17)</f>
        <v>45552</v>
      </c>
      <c r="F1223" s="7" t="n">
        <f aca="false">C1223*D1223</f>
        <v>1445.25</v>
      </c>
      <c r="G1223" s="7" t="n">
        <f aca="false">ROUND(F1223*0.2,2)</f>
        <v>289.05</v>
      </c>
      <c r="H1223" s="4" t="str">
        <f aca="false">IF(F1223&gt;500,"Yüksek",IF(F1223&gt;100,"Orta","Düşük"))</f>
        <v>Yüksek</v>
      </c>
    </row>
    <row r="1224" customFormat="false" ht="12.8" hidden="false" customHeight="false" outlineLevel="0" collapsed="false">
      <c r="A1224" s="4" t="s">
        <v>12</v>
      </c>
      <c r="B1224" s="4" t="s">
        <v>13</v>
      </c>
      <c r="C1224" s="4" t="n">
        <v>48</v>
      </c>
      <c r="D1224" s="5" t="n">
        <v>38</v>
      </c>
      <c r="E1224" s="6" t="n">
        <f aca="false">DATE(2024,10,18)</f>
        <v>45583</v>
      </c>
      <c r="F1224" s="7" t="n">
        <f aca="false">C1224*D1224</f>
        <v>1824</v>
      </c>
      <c r="G1224" s="7" t="n">
        <f aca="false">ROUND(F1224*0.2,2)</f>
        <v>364.8</v>
      </c>
      <c r="H1224" s="4" t="str">
        <f aca="false">IF(F1224&gt;500,"Yüksek",IF(F1224&gt;100,"Orta","Düşük"))</f>
        <v>Yüksek</v>
      </c>
    </row>
    <row r="1225" customFormat="false" ht="12.8" hidden="false" customHeight="false" outlineLevel="0" collapsed="false">
      <c r="A1225" s="4" t="s">
        <v>14</v>
      </c>
      <c r="B1225" s="4" t="s">
        <v>15</v>
      </c>
      <c r="C1225" s="4" t="n">
        <v>5</v>
      </c>
      <c r="D1225" s="5" t="n">
        <v>5</v>
      </c>
      <c r="E1225" s="6" t="n">
        <f aca="false">DATE(2024,11,19)</f>
        <v>45615</v>
      </c>
      <c r="F1225" s="7" t="n">
        <f aca="false">C1225*D1225</f>
        <v>25</v>
      </c>
      <c r="G1225" s="7" t="n">
        <f aca="false">ROUND(F1225*0.2,2)</f>
        <v>5</v>
      </c>
      <c r="H1225" s="4" t="str">
        <f aca="false">IF(F1225&gt;500,"Yüksek",IF(F1225&gt;100,"Orta","Düşük"))</f>
        <v>Düşük</v>
      </c>
    </row>
    <row r="1226" customFormat="false" ht="12.8" hidden="false" customHeight="false" outlineLevel="0" collapsed="false">
      <c r="A1226" s="4" t="s">
        <v>16</v>
      </c>
      <c r="B1226" s="4" t="s">
        <v>17</v>
      </c>
      <c r="C1226" s="4" t="n">
        <v>12</v>
      </c>
      <c r="D1226" s="5" t="n">
        <v>7.75</v>
      </c>
      <c r="E1226" s="6" t="n">
        <f aca="false">DATE(2024,12,20)</f>
        <v>45646</v>
      </c>
      <c r="F1226" s="7" t="n">
        <f aca="false">C1226*D1226</f>
        <v>93</v>
      </c>
      <c r="G1226" s="7" t="n">
        <f aca="false">ROUND(F1226*0.2,2)</f>
        <v>18.6</v>
      </c>
      <c r="H1226" s="4" t="str">
        <f aca="false">IF(F1226&gt;500,"Yüksek",IF(F1226&gt;100,"Orta","Düşük"))</f>
        <v>Düşük</v>
      </c>
    </row>
    <row r="1227" customFormat="false" ht="12.8" hidden="false" customHeight="false" outlineLevel="0" collapsed="false">
      <c r="A1227" s="4" t="s">
        <v>18</v>
      </c>
      <c r="B1227" s="4" t="s">
        <v>19</v>
      </c>
      <c r="C1227" s="4" t="n">
        <v>19</v>
      </c>
      <c r="D1227" s="5" t="n">
        <v>10.5</v>
      </c>
      <c r="E1227" s="6" t="n">
        <f aca="false">DATE(2024,1,21)</f>
        <v>45312</v>
      </c>
      <c r="F1227" s="7" t="n">
        <f aca="false">C1227*D1227</f>
        <v>199.5</v>
      </c>
      <c r="G1227" s="7" t="n">
        <f aca="false">ROUND(F1227*0.2,2)</f>
        <v>39.9</v>
      </c>
      <c r="H1227" s="4" t="str">
        <f aca="false">IF(F1227&gt;500,"Yüksek",IF(F1227&gt;100,"Orta","Düşük"))</f>
        <v>Orta</v>
      </c>
    </row>
    <row r="1228" customFormat="false" ht="12.8" hidden="false" customHeight="false" outlineLevel="0" collapsed="false">
      <c r="A1228" s="4" t="s">
        <v>20</v>
      </c>
      <c r="B1228" s="4" t="s">
        <v>11</v>
      </c>
      <c r="C1228" s="4" t="n">
        <v>26</v>
      </c>
      <c r="D1228" s="5" t="n">
        <v>13.25</v>
      </c>
      <c r="E1228" s="6" t="n">
        <f aca="false">DATE(2024,2,22)</f>
        <v>45344</v>
      </c>
      <c r="F1228" s="7" t="n">
        <f aca="false">C1228*D1228</f>
        <v>344.5</v>
      </c>
      <c r="G1228" s="7" t="n">
        <f aca="false">ROUND(F1228*0.2,2)</f>
        <v>68.9</v>
      </c>
      <c r="H1228" s="4" t="str">
        <f aca="false">IF(F1228&gt;500,"Yüksek",IF(F1228&gt;100,"Orta","Düşük"))</f>
        <v>Orta</v>
      </c>
    </row>
    <row r="1229" customFormat="false" ht="12.8" hidden="false" customHeight="false" outlineLevel="0" collapsed="false">
      <c r="A1229" s="4" t="s">
        <v>21</v>
      </c>
      <c r="B1229" s="4" t="s">
        <v>13</v>
      </c>
      <c r="C1229" s="4" t="n">
        <v>33</v>
      </c>
      <c r="D1229" s="5" t="n">
        <v>16</v>
      </c>
      <c r="E1229" s="6" t="n">
        <f aca="false">DATE(2024,3,23)</f>
        <v>45374</v>
      </c>
      <c r="F1229" s="7" t="n">
        <f aca="false">C1229*D1229</f>
        <v>528</v>
      </c>
      <c r="G1229" s="7" t="n">
        <f aca="false">ROUND(F1229*0.2,2)</f>
        <v>105.6</v>
      </c>
      <c r="H1229" s="4" t="str">
        <f aca="false">IF(F1229&gt;500,"Yüksek",IF(F1229&gt;100,"Orta","Düşük"))</f>
        <v>Yüksek</v>
      </c>
    </row>
    <row r="1230" customFormat="false" ht="12.8" hidden="false" customHeight="false" outlineLevel="0" collapsed="false">
      <c r="A1230" s="4" t="s">
        <v>22</v>
      </c>
      <c r="B1230" s="4" t="s">
        <v>15</v>
      </c>
      <c r="C1230" s="4" t="n">
        <v>40</v>
      </c>
      <c r="D1230" s="5" t="n">
        <v>18.75</v>
      </c>
      <c r="E1230" s="6" t="n">
        <f aca="false">DATE(2024,4,24)</f>
        <v>45406</v>
      </c>
      <c r="F1230" s="7" t="n">
        <f aca="false">C1230*D1230</f>
        <v>750</v>
      </c>
      <c r="G1230" s="7" t="n">
        <f aca="false">ROUND(F1230*0.2,2)</f>
        <v>150</v>
      </c>
      <c r="H1230" s="4" t="str">
        <f aca="false">IF(F1230&gt;500,"Yüksek",IF(F1230&gt;100,"Orta","Düşük"))</f>
        <v>Yüksek</v>
      </c>
    </row>
    <row r="1231" customFormat="false" ht="12.8" hidden="false" customHeight="false" outlineLevel="0" collapsed="false">
      <c r="A1231" s="4" t="s">
        <v>23</v>
      </c>
      <c r="B1231" s="4" t="s">
        <v>17</v>
      </c>
      <c r="C1231" s="4" t="n">
        <v>47</v>
      </c>
      <c r="D1231" s="5" t="n">
        <v>21.5</v>
      </c>
      <c r="E1231" s="6" t="n">
        <f aca="false">DATE(2024,5,25)</f>
        <v>45437</v>
      </c>
      <c r="F1231" s="7" t="n">
        <f aca="false">C1231*D1231</f>
        <v>1010.5</v>
      </c>
      <c r="G1231" s="7" t="n">
        <f aca="false">ROUND(F1231*0.2,2)</f>
        <v>202.1</v>
      </c>
      <c r="H1231" s="4" t="str">
        <f aca="false">IF(F1231&gt;500,"Yüksek",IF(F1231&gt;100,"Orta","Düşük"))</f>
        <v>Yüksek</v>
      </c>
    </row>
    <row r="1232" customFormat="false" ht="12.8" hidden="false" customHeight="false" outlineLevel="0" collapsed="false">
      <c r="A1232" s="4" t="s">
        <v>24</v>
      </c>
      <c r="B1232" s="4" t="s">
        <v>19</v>
      </c>
      <c r="C1232" s="4" t="n">
        <v>4</v>
      </c>
      <c r="D1232" s="5" t="n">
        <v>24.25</v>
      </c>
      <c r="E1232" s="6" t="n">
        <f aca="false">DATE(2024,6,26)</f>
        <v>45469</v>
      </c>
      <c r="F1232" s="7" t="n">
        <f aca="false">C1232*D1232</f>
        <v>97</v>
      </c>
      <c r="G1232" s="7" t="n">
        <f aca="false">ROUND(F1232*0.2,2)</f>
        <v>19.4</v>
      </c>
      <c r="H1232" s="4" t="str">
        <f aca="false">IF(F1232&gt;500,"Yüksek",IF(F1232&gt;100,"Orta","Düşük"))</f>
        <v>Düşük</v>
      </c>
    </row>
    <row r="1233" customFormat="false" ht="12.8" hidden="false" customHeight="false" outlineLevel="0" collapsed="false">
      <c r="A1233" s="4" t="s">
        <v>10</v>
      </c>
      <c r="B1233" s="4" t="s">
        <v>11</v>
      </c>
      <c r="C1233" s="4" t="n">
        <v>11</v>
      </c>
      <c r="D1233" s="5" t="n">
        <v>27</v>
      </c>
      <c r="E1233" s="6" t="n">
        <f aca="false">DATE(2024,7,27)</f>
        <v>45500</v>
      </c>
      <c r="F1233" s="7" t="n">
        <f aca="false">C1233*D1233</f>
        <v>297</v>
      </c>
      <c r="G1233" s="7" t="n">
        <f aca="false">ROUND(F1233*0.2,2)</f>
        <v>59.4</v>
      </c>
      <c r="H1233" s="4" t="str">
        <f aca="false">IF(F1233&gt;500,"Yüksek",IF(F1233&gt;100,"Orta","Düşük"))</f>
        <v>Orta</v>
      </c>
    </row>
    <row r="1234" customFormat="false" ht="12.8" hidden="false" customHeight="false" outlineLevel="0" collapsed="false">
      <c r="A1234" s="4" t="s">
        <v>12</v>
      </c>
      <c r="B1234" s="4" t="s">
        <v>13</v>
      </c>
      <c r="C1234" s="4" t="n">
        <v>18</v>
      </c>
      <c r="D1234" s="5" t="n">
        <v>29.75</v>
      </c>
      <c r="E1234" s="6" t="n">
        <f aca="false">DATE(2024,8,28)</f>
        <v>45532</v>
      </c>
      <c r="F1234" s="7" t="n">
        <f aca="false">C1234*D1234</f>
        <v>535.5</v>
      </c>
      <c r="G1234" s="7" t="n">
        <f aca="false">ROUND(F1234*0.2,2)</f>
        <v>107.1</v>
      </c>
      <c r="H1234" s="4" t="str">
        <f aca="false">IF(F1234&gt;500,"Yüksek",IF(F1234&gt;100,"Orta","Düşük"))</f>
        <v>Yüksek</v>
      </c>
    </row>
    <row r="1235" customFormat="false" ht="12.8" hidden="false" customHeight="false" outlineLevel="0" collapsed="false">
      <c r="A1235" s="4" t="s">
        <v>14</v>
      </c>
      <c r="B1235" s="4" t="s">
        <v>15</v>
      </c>
      <c r="C1235" s="4" t="n">
        <v>25</v>
      </c>
      <c r="D1235" s="5" t="n">
        <v>32.5</v>
      </c>
      <c r="E1235" s="6" t="n">
        <f aca="false">DATE(2024,9,1)</f>
        <v>45536</v>
      </c>
      <c r="F1235" s="7" t="n">
        <f aca="false">C1235*D1235</f>
        <v>812.5</v>
      </c>
      <c r="G1235" s="7" t="n">
        <f aca="false">ROUND(F1235*0.2,2)</f>
        <v>162.5</v>
      </c>
      <c r="H1235" s="4" t="str">
        <f aca="false">IF(F1235&gt;500,"Yüksek",IF(F1235&gt;100,"Orta","Düşük"))</f>
        <v>Yüksek</v>
      </c>
    </row>
    <row r="1236" customFormat="false" ht="12.8" hidden="false" customHeight="false" outlineLevel="0" collapsed="false">
      <c r="A1236" s="4" t="s">
        <v>16</v>
      </c>
      <c r="B1236" s="4" t="s">
        <v>17</v>
      </c>
      <c r="C1236" s="4" t="n">
        <v>32</v>
      </c>
      <c r="D1236" s="5" t="n">
        <v>35.25</v>
      </c>
      <c r="E1236" s="6" t="n">
        <f aca="false">DATE(2024,10,2)</f>
        <v>45567</v>
      </c>
      <c r="F1236" s="7" t="n">
        <f aca="false">C1236*D1236</f>
        <v>1128</v>
      </c>
      <c r="G1236" s="7" t="n">
        <f aca="false">ROUND(F1236*0.2,2)</f>
        <v>225.6</v>
      </c>
      <c r="H1236" s="4" t="str">
        <f aca="false">IF(F1236&gt;500,"Yüksek",IF(F1236&gt;100,"Orta","Düşük"))</f>
        <v>Yüksek</v>
      </c>
    </row>
    <row r="1237" customFormat="false" ht="12.8" hidden="false" customHeight="false" outlineLevel="0" collapsed="false">
      <c r="A1237" s="4" t="s">
        <v>18</v>
      </c>
      <c r="B1237" s="4" t="s">
        <v>19</v>
      </c>
      <c r="C1237" s="4" t="n">
        <v>39</v>
      </c>
      <c r="D1237" s="5" t="n">
        <v>38</v>
      </c>
      <c r="E1237" s="6" t="n">
        <f aca="false">DATE(2024,11,3)</f>
        <v>45599</v>
      </c>
      <c r="F1237" s="7" t="n">
        <f aca="false">C1237*D1237</f>
        <v>1482</v>
      </c>
      <c r="G1237" s="7" t="n">
        <f aca="false">ROUND(F1237*0.2,2)</f>
        <v>296.4</v>
      </c>
      <c r="H1237" s="4" t="str">
        <f aca="false">IF(F1237&gt;500,"Yüksek",IF(F1237&gt;100,"Orta","Düşük"))</f>
        <v>Yüksek</v>
      </c>
    </row>
    <row r="1238" customFormat="false" ht="12.8" hidden="false" customHeight="false" outlineLevel="0" collapsed="false">
      <c r="A1238" s="4" t="s">
        <v>20</v>
      </c>
      <c r="B1238" s="4" t="s">
        <v>11</v>
      </c>
      <c r="C1238" s="4" t="n">
        <v>46</v>
      </c>
      <c r="D1238" s="5" t="n">
        <v>5</v>
      </c>
      <c r="E1238" s="6" t="n">
        <f aca="false">DATE(2024,12,4)</f>
        <v>45630</v>
      </c>
      <c r="F1238" s="7" t="n">
        <f aca="false">C1238*D1238</f>
        <v>230</v>
      </c>
      <c r="G1238" s="7" t="n">
        <f aca="false">ROUND(F1238*0.2,2)</f>
        <v>46</v>
      </c>
      <c r="H1238" s="4" t="str">
        <f aca="false">IF(F1238&gt;500,"Yüksek",IF(F1238&gt;100,"Orta","Düşük"))</f>
        <v>Orta</v>
      </c>
    </row>
    <row r="1239" customFormat="false" ht="12.8" hidden="false" customHeight="false" outlineLevel="0" collapsed="false">
      <c r="A1239" s="4" t="s">
        <v>21</v>
      </c>
      <c r="B1239" s="4" t="s">
        <v>13</v>
      </c>
      <c r="C1239" s="4" t="n">
        <v>3</v>
      </c>
      <c r="D1239" s="5" t="n">
        <v>7.75</v>
      </c>
      <c r="E1239" s="6" t="n">
        <f aca="false">DATE(2024,1,5)</f>
        <v>45296</v>
      </c>
      <c r="F1239" s="7" t="n">
        <f aca="false">C1239*D1239</f>
        <v>23.25</v>
      </c>
      <c r="G1239" s="7" t="n">
        <f aca="false">ROUND(F1239*0.2,2)</f>
        <v>4.65</v>
      </c>
      <c r="H1239" s="4" t="str">
        <f aca="false">IF(F1239&gt;500,"Yüksek",IF(F1239&gt;100,"Orta","Düşük"))</f>
        <v>Düşük</v>
      </c>
    </row>
    <row r="1240" customFormat="false" ht="12.8" hidden="false" customHeight="false" outlineLevel="0" collapsed="false">
      <c r="A1240" s="4" t="s">
        <v>22</v>
      </c>
      <c r="B1240" s="4" t="s">
        <v>15</v>
      </c>
      <c r="C1240" s="4" t="n">
        <v>10</v>
      </c>
      <c r="D1240" s="5" t="n">
        <v>10.5</v>
      </c>
      <c r="E1240" s="6" t="n">
        <f aca="false">DATE(2024,2,6)</f>
        <v>45328</v>
      </c>
      <c r="F1240" s="7" t="n">
        <f aca="false">C1240*D1240</f>
        <v>105</v>
      </c>
      <c r="G1240" s="7" t="n">
        <f aca="false">ROUND(F1240*0.2,2)</f>
        <v>21</v>
      </c>
      <c r="H1240" s="4" t="str">
        <f aca="false">IF(F1240&gt;500,"Yüksek",IF(F1240&gt;100,"Orta","Düşük"))</f>
        <v>Orta</v>
      </c>
    </row>
    <row r="1241" customFormat="false" ht="12.8" hidden="false" customHeight="false" outlineLevel="0" collapsed="false">
      <c r="A1241" s="4" t="s">
        <v>23</v>
      </c>
      <c r="B1241" s="4" t="s">
        <v>17</v>
      </c>
      <c r="C1241" s="4" t="n">
        <v>17</v>
      </c>
      <c r="D1241" s="5" t="n">
        <v>13.25</v>
      </c>
      <c r="E1241" s="6" t="n">
        <f aca="false">DATE(2024,3,7)</f>
        <v>45358</v>
      </c>
      <c r="F1241" s="7" t="n">
        <f aca="false">C1241*D1241</f>
        <v>225.25</v>
      </c>
      <c r="G1241" s="7" t="n">
        <f aca="false">ROUND(F1241*0.2,2)</f>
        <v>45.05</v>
      </c>
      <c r="H1241" s="4" t="str">
        <f aca="false">IF(F1241&gt;500,"Yüksek",IF(F1241&gt;100,"Orta","Düşük"))</f>
        <v>Orta</v>
      </c>
    </row>
    <row r="1242" customFormat="false" ht="12.8" hidden="false" customHeight="false" outlineLevel="0" collapsed="false">
      <c r="A1242" s="4" t="s">
        <v>24</v>
      </c>
      <c r="B1242" s="4" t="s">
        <v>19</v>
      </c>
      <c r="C1242" s="4" t="n">
        <v>24</v>
      </c>
      <c r="D1242" s="5" t="n">
        <v>16</v>
      </c>
      <c r="E1242" s="6" t="n">
        <f aca="false">DATE(2024,4,8)</f>
        <v>45390</v>
      </c>
      <c r="F1242" s="7" t="n">
        <f aca="false">C1242*D1242</f>
        <v>384</v>
      </c>
      <c r="G1242" s="7" t="n">
        <f aca="false">ROUND(F1242*0.2,2)</f>
        <v>76.8</v>
      </c>
      <c r="H1242" s="4" t="str">
        <f aca="false">IF(F1242&gt;500,"Yüksek",IF(F1242&gt;100,"Orta","Düşük"))</f>
        <v>Orta</v>
      </c>
    </row>
    <row r="1243" customFormat="false" ht="12.8" hidden="false" customHeight="false" outlineLevel="0" collapsed="false">
      <c r="A1243" s="4" t="s">
        <v>10</v>
      </c>
      <c r="B1243" s="4" t="s">
        <v>11</v>
      </c>
      <c r="C1243" s="4" t="n">
        <v>31</v>
      </c>
      <c r="D1243" s="5" t="n">
        <v>18.75</v>
      </c>
      <c r="E1243" s="6" t="n">
        <f aca="false">DATE(2024,5,9)</f>
        <v>45421</v>
      </c>
      <c r="F1243" s="7" t="n">
        <f aca="false">C1243*D1243</f>
        <v>581.25</v>
      </c>
      <c r="G1243" s="7" t="n">
        <f aca="false">ROUND(F1243*0.2,2)</f>
        <v>116.25</v>
      </c>
      <c r="H1243" s="4" t="str">
        <f aca="false">IF(F1243&gt;500,"Yüksek",IF(F1243&gt;100,"Orta","Düşük"))</f>
        <v>Yüksek</v>
      </c>
    </row>
    <row r="1244" customFormat="false" ht="12.8" hidden="false" customHeight="false" outlineLevel="0" collapsed="false">
      <c r="A1244" s="4" t="s">
        <v>12</v>
      </c>
      <c r="B1244" s="4" t="s">
        <v>13</v>
      </c>
      <c r="C1244" s="4" t="n">
        <v>38</v>
      </c>
      <c r="D1244" s="5" t="n">
        <v>21.5</v>
      </c>
      <c r="E1244" s="6" t="n">
        <f aca="false">DATE(2024,6,10)</f>
        <v>45453</v>
      </c>
      <c r="F1244" s="7" t="n">
        <f aca="false">C1244*D1244</f>
        <v>817</v>
      </c>
      <c r="G1244" s="7" t="n">
        <f aca="false">ROUND(F1244*0.2,2)</f>
        <v>163.4</v>
      </c>
      <c r="H1244" s="4" t="str">
        <f aca="false">IF(F1244&gt;500,"Yüksek",IF(F1244&gt;100,"Orta","Düşük"))</f>
        <v>Yüksek</v>
      </c>
    </row>
    <row r="1245" customFormat="false" ht="12.8" hidden="false" customHeight="false" outlineLevel="0" collapsed="false">
      <c r="A1245" s="4" t="s">
        <v>14</v>
      </c>
      <c r="B1245" s="4" t="s">
        <v>15</v>
      </c>
      <c r="C1245" s="4" t="n">
        <v>45</v>
      </c>
      <c r="D1245" s="5" t="n">
        <v>24.25</v>
      </c>
      <c r="E1245" s="6" t="n">
        <f aca="false">DATE(2024,7,11)</f>
        <v>45484</v>
      </c>
      <c r="F1245" s="7" t="n">
        <f aca="false">C1245*D1245</f>
        <v>1091.25</v>
      </c>
      <c r="G1245" s="7" t="n">
        <f aca="false">ROUND(F1245*0.2,2)</f>
        <v>218.25</v>
      </c>
      <c r="H1245" s="4" t="str">
        <f aca="false">IF(F1245&gt;500,"Yüksek",IF(F1245&gt;100,"Orta","Düşük"))</f>
        <v>Yüksek</v>
      </c>
    </row>
    <row r="1246" customFormat="false" ht="12.8" hidden="false" customHeight="false" outlineLevel="0" collapsed="false">
      <c r="A1246" s="4" t="s">
        <v>16</v>
      </c>
      <c r="B1246" s="4" t="s">
        <v>17</v>
      </c>
      <c r="C1246" s="4" t="n">
        <v>2</v>
      </c>
      <c r="D1246" s="5" t="n">
        <v>27</v>
      </c>
      <c r="E1246" s="6" t="n">
        <f aca="false">DATE(2024,8,12)</f>
        <v>45516</v>
      </c>
      <c r="F1246" s="7" t="n">
        <f aca="false">C1246*D1246</f>
        <v>54</v>
      </c>
      <c r="G1246" s="7" t="n">
        <f aca="false">ROUND(F1246*0.2,2)</f>
        <v>10.8</v>
      </c>
      <c r="H1246" s="4" t="str">
        <f aca="false">IF(F1246&gt;500,"Yüksek",IF(F1246&gt;100,"Orta","Düşük"))</f>
        <v>Düşük</v>
      </c>
    </row>
    <row r="1247" customFormat="false" ht="12.8" hidden="false" customHeight="false" outlineLevel="0" collapsed="false">
      <c r="A1247" s="4" t="s">
        <v>18</v>
      </c>
      <c r="B1247" s="4" t="s">
        <v>19</v>
      </c>
      <c r="C1247" s="4" t="n">
        <v>9</v>
      </c>
      <c r="D1247" s="5" t="n">
        <v>29.75</v>
      </c>
      <c r="E1247" s="6" t="n">
        <f aca="false">DATE(2024,9,13)</f>
        <v>45548</v>
      </c>
      <c r="F1247" s="7" t="n">
        <f aca="false">C1247*D1247</f>
        <v>267.75</v>
      </c>
      <c r="G1247" s="7" t="n">
        <f aca="false">ROUND(F1247*0.2,2)</f>
        <v>53.55</v>
      </c>
      <c r="H1247" s="4" t="str">
        <f aca="false">IF(F1247&gt;500,"Yüksek",IF(F1247&gt;100,"Orta","Düşük"))</f>
        <v>Orta</v>
      </c>
    </row>
    <row r="1248" customFormat="false" ht="12.8" hidden="false" customHeight="false" outlineLevel="0" collapsed="false">
      <c r="A1248" s="4" t="s">
        <v>20</v>
      </c>
      <c r="B1248" s="4" t="s">
        <v>11</v>
      </c>
      <c r="C1248" s="4" t="n">
        <v>16</v>
      </c>
      <c r="D1248" s="5" t="n">
        <v>32.5</v>
      </c>
      <c r="E1248" s="6" t="n">
        <f aca="false">DATE(2024,10,14)</f>
        <v>45579</v>
      </c>
      <c r="F1248" s="7" t="n">
        <f aca="false">C1248*D1248</f>
        <v>520</v>
      </c>
      <c r="G1248" s="7" t="n">
        <f aca="false">ROUND(F1248*0.2,2)</f>
        <v>104</v>
      </c>
      <c r="H1248" s="4" t="str">
        <f aca="false">IF(F1248&gt;500,"Yüksek",IF(F1248&gt;100,"Orta","Düşük"))</f>
        <v>Yüksek</v>
      </c>
    </row>
    <row r="1249" customFormat="false" ht="12.8" hidden="false" customHeight="false" outlineLevel="0" collapsed="false">
      <c r="A1249" s="4" t="s">
        <v>21</v>
      </c>
      <c r="B1249" s="4" t="s">
        <v>13</v>
      </c>
      <c r="C1249" s="4" t="n">
        <v>23</v>
      </c>
      <c r="D1249" s="5" t="n">
        <v>35.25</v>
      </c>
      <c r="E1249" s="6" t="n">
        <f aca="false">DATE(2024,11,15)</f>
        <v>45611</v>
      </c>
      <c r="F1249" s="7" t="n">
        <f aca="false">C1249*D1249</f>
        <v>810.75</v>
      </c>
      <c r="G1249" s="7" t="n">
        <f aca="false">ROUND(F1249*0.2,2)</f>
        <v>162.15</v>
      </c>
      <c r="H1249" s="4" t="str">
        <f aca="false">IF(F1249&gt;500,"Yüksek",IF(F1249&gt;100,"Orta","Düşük"))</f>
        <v>Yüksek</v>
      </c>
    </row>
    <row r="1250" customFormat="false" ht="12.8" hidden="false" customHeight="false" outlineLevel="0" collapsed="false">
      <c r="A1250" s="4" t="s">
        <v>22</v>
      </c>
      <c r="B1250" s="4" t="s">
        <v>15</v>
      </c>
      <c r="C1250" s="4" t="n">
        <v>30</v>
      </c>
      <c r="D1250" s="5" t="n">
        <v>38</v>
      </c>
      <c r="E1250" s="6" t="n">
        <f aca="false">DATE(2024,12,16)</f>
        <v>45642</v>
      </c>
      <c r="F1250" s="7" t="n">
        <f aca="false">C1250*D1250</f>
        <v>1140</v>
      </c>
      <c r="G1250" s="7" t="n">
        <f aca="false">ROUND(F1250*0.2,2)</f>
        <v>228</v>
      </c>
      <c r="H1250" s="4" t="str">
        <f aca="false">IF(F1250&gt;500,"Yüksek",IF(F1250&gt;100,"Orta","Düşük"))</f>
        <v>Yüksek</v>
      </c>
    </row>
    <row r="1251" customFormat="false" ht="12.8" hidden="false" customHeight="false" outlineLevel="0" collapsed="false">
      <c r="A1251" s="4" t="s">
        <v>23</v>
      </c>
      <c r="B1251" s="4" t="s">
        <v>17</v>
      </c>
      <c r="C1251" s="4" t="n">
        <v>37</v>
      </c>
      <c r="D1251" s="5" t="n">
        <v>5</v>
      </c>
      <c r="E1251" s="6" t="n">
        <f aca="false">DATE(2024,1,17)</f>
        <v>45308</v>
      </c>
      <c r="F1251" s="7" t="n">
        <f aca="false">C1251*D1251</f>
        <v>185</v>
      </c>
      <c r="G1251" s="7" t="n">
        <f aca="false">ROUND(F1251*0.2,2)</f>
        <v>37</v>
      </c>
      <c r="H1251" s="4" t="str">
        <f aca="false">IF(F1251&gt;500,"Yüksek",IF(F1251&gt;100,"Orta","Düşük"))</f>
        <v>Orta</v>
      </c>
    </row>
    <row r="1252" customFormat="false" ht="12.8" hidden="false" customHeight="false" outlineLevel="0" collapsed="false">
      <c r="A1252" s="4" t="s">
        <v>24</v>
      </c>
      <c r="B1252" s="4" t="s">
        <v>19</v>
      </c>
      <c r="C1252" s="4" t="n">
        <v>44</v>
      </c>
      <c r="D1252" s="5" t="n">
        <v>7.75</v>
      </c>
      <c r="E1252" s="6" t="n">
        <f aca="false">DATE(2024,2,18)</f>
        <v>45340</v>
      </c>
      <c r="F1252" s="7" t="n">
        <f aca="false">C1252*D1252</f>
        <v>341</v>
      </c>
      <c r="G1252" s="7" t="n">
        <f aca="false">ROUND(F1252*0.2,2)</f>
        <v>68.2</v>
      </c>
      <c r="H1252" s="4" t="str">
        <f aca="false">IF(F1252&gt;500,"Yüksek",IF(F1252&gt;100,"Orta","Düşük"))</f>
        <v>Orta</v>
      </c>
    </row>
    <row r="1253" customFormat="false" ht="12.8" hidden="false" customHeight="false" outlineLevel="0" collapsed="false">
      <c r="A1253" s="4" t="s">
        <v>10</v>
      </c>
      <c r="B1253" s="4" t="s">
        <v>11</v>
      </c>
      <c r="C1253" s="4" t="n">
        <v>1</v>
      </c>
      <c r="D1253" s="5" t="n">
        <v>10.5</v>
      </c>
      <c r="E1253" s="6" t="n">
        <f aca="false">DATE(2024,3,19)</f>
        <v>45370</v>
      </c>
      <c r="F1253" s="7" t="n">
        <f aca="false">C1253*D1253</f>
        <v>10.5</v>
      </c>
      <c r="G1253" s="7" t="n">
        <f aca="false">ROUND(F1253*0.2,2)</f>
        <v>2.1</v>
      </c>
      <c r="H1253" s="4" t="str">
        <f aca="false">IF(F1253&gt;500,"Yüksek",IF(F1253&gt;100,"Orta","Düşük"))</f>
        <v>Düşük</v>
      </c>
    </row>
    <row r="1254" customFormat="false" ht="12.8" hidden="false" customHeight="false" outlineLevel="0" collapsed="false">
      <c r="A1254" s="4" t="s">
        <v>12</v>
      </c>
      <c r="B1254" s="4" t="s">
        <v>13</v>
      </c>
      <c r="C1254" s="4" t="n">
        <v>8</v>
      </c>
      <c r="D1254" s="5" t="n">
        <v>13.25</v>
      </c>
      <c r="E1254" s="6" t="n">
        <f aca="false">DATE(2024,4,20)</f>
        <v>45402</v>
      </c>
      <c r="F1254" s="7" t="n">
        <f aca="false">C1254*D1254</f>
        <v>106</v>
      </c>
      <c r="G1254" s="7" t="n">
        <f aca="false">ROUND(F1254*0.2,2)</f>
        <v>21.2</v>
      </c>
      <c r="H1254" s="4" t="str">
        <f aca="false">IF(F1254&gt;500,"Yüksek",IF(F1254&gt;100,"Orta","Düşük"))</f>
        <v>Orta</v>
      </c>
    </row>
    <row r="1255" customFormat="false" ht="12.8" hidden="false" customHeight="false" outlineLevel="0" collapsed="false">
      <c r="A1255" s="4" t="s">
        <v>14</v>
      </c>
      <c r="B1255" s="4" t="s">
        <v>15</v>
      </c>
      <c r="C1255" s="4" t="n">
        <v>15</v>
      </c>
      <c r="D1255" s="5" t="n">
        <v>16</v>
      </c>
      <c r="E1255" s="6" t="n">
        <f aca="false">DATE(2024,5,21)</f>
        <v>45433</v>
      </c>
      <c r="F1255" s="7" t="n">
        <f aca="false">C1255*D1255</f>
        <v>240</v>
      </c>
      <c r="G1255" s="7" t="n">
        <f aca="false">ROUND(F1255*0.2,2)</f>
        <v>48</v>
      </c>
      <c r="H1255" s="4" t="str">
        <f aca="false">IF(F1255&gt;500,"Yüksek",IF(F1255&gt;100,"Orta","Düşük"))</f>
        <v>Orta</v>
      </c>
    </row>
    <row r="1256" customFormat="false" ht="12.8" hidden="false" customHeight="false" outlineLevel="0" collapsed="false">
      <c r="A1256" s="4" t="s">
        <v>16</v>
      </c>
      <c r="B1256" s="4" t="s">
        <v>17</v>
      </c>
      <c r="C1256" s="4" t="n">
        <v>22</v>
      </c>
      <c r="D1256" s="5" t="n">
        <v>18.75</v>
      </c>
      <c r="E1256" s="6" t="n">
        <f aca="false">DATE(2024,6,22)</f>
        <v>45465</v>
      </c>
      <c r="F1256" s="7" t="n">
        <f aca="false">C1256*D1256</f>
        <v>412.5</v>
      </c>
      <c r="G1256" s="7" t="n">
        <f aca="false">ROUND(F1256*0.2,2)</f>
        <v>82.5</v>
      </c>
      <c r="H1256" s="4" t="str">
        <f aca="false">IF(F1256&gt;500,"Yüksek",IF(F1256&gt;100,"Orta","Düşük"))</f>
        <v>Orta</v>
      </c>
    </row>
    <row r="1257" customFormat="false" ht="12.8" hidden="false" customHeight="false" outlineLevel="0" collapsed="false">
      <c r="A1257" s="4" t="s">
        <v>18</v>
      </c>
      <c r="B1257" s="4" t="s">
        <v>19</v>
      </c>
      <c r="C1257" s="4" t="n">
        <v>29</v>
      </c>
      <c r="D1257" s="5" t="n">
        <v>21.5</v>
      </c>
      <c r="E1257" s="6" t="n">
        <f aca="false">DATE(2024,7,23)</f>
        <v>45496</v>
      </c>
      <c r="F1257" s="7" t="n">
        <f aca="false">C1257*D1257</f>
        <v>623.5</v>
      </c>
      <c r="G1257" s="7" t="n">
        <f aca="false">ROUND(F1257*0.2,2)</f>
        <v>124.7</v>
      </c>
      <c r="H1257" s="4" t="str">
        <f aca="false">IF(F1257&gt;500,"Yüksek",IF(F1257&gt;100,"Orta","Düşük"))</f>
        <v>Yüksek</v>
      </c>
    </row>
    <row r="1258" customFormat="false" ht="12.8" hidden="false" customHeight="false" outlineLevel="0" collapsed="false">
      <c r="A1258" s="4" t="s">
        <v>20</v>
      </c>
      <c r="B1258" s="4" t="s">
        <v>11</v>
      </c>
      <c r="C1258" s="4" t="n">
        <v>36</v>
      </c>
      <c r="D1258" s="5" t="n">
        <v>24.25</v>
      </c>
      <c r="E1258" s="6" t="n">
        <f aca="false">DATE(2024,8,24)</f>
        <v>45528</v>
      </c>
      <c r="F1258" s="7" t="n">
        <f aca="false">C1258*D1258</f>
        <v>873</v>
      </c>
      <c r="G1258" s="7" t="n">
        <f aca="false">ROUND(F1258*0.2,2)</f>
        <v>174.6</v>
      </c>
      <c r="H1258" s="4" t="str">
        <f aca="false">IF(F1258&gt;500,"Yüksek",IF(F1258&gt;100,"Orta","Düşük"))</f>
        <v>Yüksek</v>
      </c>
    </row>
    <row r="1259" customFormat="false" ht="12.8" hidden="false" customHeight="false" outlineLevel="0" collapsed="false">
      <c r="A1259" s="4" t="s">
        <v>21</v>
      </c>
      <c r="B1259" s="4" t="s">
        <v>13</v>
      </c>
      <c r="C1259" s="4" t="n">
        <v>43</v>
      </c>
      <c r="D1259" s="5" t="n">
        <v>27</v>
      </c>
      <c r="E1259" s="6" t="n">
        <f aca="false">DATE(2024,9,25)</f>
        <v>45560</v>
      </c>
      <c r="F1259" s="7" t="n">
        <f aca="false">C1259*D1259</f>
        <v>1161</v>
      </c>
      <c r="G1259" s="7" t="n">
        <f aca="false">ROUND(F1259*0.2,2)</f>
        <v>232.2</v>
      </c>
      <c r="H1259" s="4" t="str">
        <f aca="false">IF(F1259&gt;500,"Yüksek",IF(F1259&gt;100,"Orta","Düşük"))</f>
        <v>Yüksek</v>
      </c>
    </row>
    <row r="1260" customFormat="false" ht="12.8" hidden="false" customHeight="false" outlineLevel="0" collapsed="false">
      <c r="A1260" s="4" t="s">
        <v>22</v>
      </c>
      <c r="B1260" s="4" t="s">
        <v>15</v>
      </c>
      <c r="C1260" s="4" t="n">
        <v>50</v>
      </c>
      <c r="D1260" s="5" t="n">
        <v>29.75</v>
      </c>
      <c r="E1260" s="6" t="n">
        <f aca="false">DATE(2024,10,26)</f>
        <v>45591</v>
      </c>
      <c r="F1260" s="7" t="n">
        <f aca="false">C1260*D1260</f>
        <v>1487.5</v>
      </c>
      <c r="G1260" s="7" t="n">
        <f aca="false">ROUND(F1260*0.2,2)</f>
        <v>297.5</v>
      </c>
      <c r="H1260" s="4" t="str">
        <f aca="false">IF(F1260&gt;500,"Yüksek",IF(F1260&gt;100,"Orta","Düşük"))</f>
        <v>Yüksek</v>
      </c>
    </row>
    <row r="1261" customFormat="false" ht="12.8" hidden="false" customHeight="false" outlineLevel="0" collapsed="false">
      <c r="A1261" s="4" t="s">
        <v>23</v>
      </c>
      <c r="B1261" s="4" t="s">
        <v>17</v>
      </c>
      <c r="C1261" s="4" t="n">
        <v>7</v>
      </c>
      <c r="D1261" s="5" t="n">
        <v>32.5</v>
      </c>
      <c r="E1261" s="6" t="n">
        <f aca="false">DATE(2024,11,27)</f>
        <v>45623</v>
      </c>
      <c r="F1261" s="7" t="n">
        <f aca="false">C1261*D1261</f>
        <v>227.5</v>
      </c>
      <c r="G1261" s="7" t="n">
        <f aca="false">ROUND(F1261*0.2,2)</f>
        <v>45.5</v>
      </c>
      <c r="H1261" s="4" t="str">
        <f aca="false">IF(F1261&gt;500,"Yüksek",IF(F1261&gt;100,"Orta","Düşük"))</f>
        <v>Orta</v>
      </c>
    </row>
    <row r="1262" customFormat="false" ht="12.8" hidden="false" customHeight="false" outlineLevel="0" collapsed="false">
      <c r="A1262" s="4" t="s">
        <v>24</v>
      </c>
      <c r="B1262" s="4" t="s">
        <v>19</v>
      </c>
      <c r="C1262" s="4" t="n">
        <v>14</v>
      </c>
      <c r="D1262" s="5" t="n">
        <v>35.25</v>
      </c>
      <c r="E1262" s="6" t="n">
        <f aca="false">DATE(2024,12,28)</f>
        <v>45654</v>
      </c>
      <c r="F1262" s="7" t="n">
        <f aca="false">C1262*D1262</f>
        <v>493.5</v>
      </c>
      <c r="G1262" s="7" t="n">
        <f aca="false">ROUND(F1262*0.2,2)</f>
        <v>98.7</v>
      </c>
      <c r="H1262" s="4" t="str">
        <f aca="false">IF(F1262&gt;500,"Yüksek",IF(F1262&gt;100,"Orta","Düşük"))</f>
        <v>Orta</v>
      </c>
    </row>
    <row r="1263" customFormat="false" ht="12.8" hidden="false" customHeight="false" outlineLevel="0" collapsed="false">
      <c r="A1263" s="4" t="s">
        <v>10</v>
      </c>
      <c r="B1263" s="4" t="s">
        <v>11</v>
      </c>
      <c r="C1263" s="4" t="n">
        <v>21</v>
      </c>
      <c r="D1263" s="5" t="n">
        <v>38</v>
      </c>
      <c r="E1263" s="6" t="n">
        <f aca="false">DATE(2024,1,1)</f>
        <v>45292</v>
      </c>
      <c r="F1263" s="7" t="n">
        <f aca="false">C1263*D1263</f>
        <v>798</v>
      </c>
      <c r="G1263" s="7" t="n">
        <f aca="false">ROUND(F1263*0.2,2)</f>
        <v>159.6</v>
      </c>
      <c r="H1263" s="4" t="str">
        <f aca="false">IF(F1263&gt;500,"Yüksek",IF(F1263&gt;100,"Orta","Düşük"))</f>
        <v>Yüksek</v>
      </c>
    </row>
    <row r="1264" customFormat="false" ht="12.8" hidden="false" customHeight="false" outlineLevel="0" collapsed="false">
      <c r="A1264" s="4" t="s">
        <v>12</v>
      </c>
      <c r="B1264" s="4" t="s">
        <v>13</v>
      </c>
      <c r="C1264" s="4" t="n">
        <v>28</v>
      </c>
      <c r="D1264" s="5" t="n">
        <v>5</v>
      </c>
      <c r="E1264" s="6" t="n">
        <f aca="false">DATE(2024,2,2)</f>
        <v>45324</v>
      </c>
      <c r="F1264" s="7" t="n">
        <f aca="false">C1264*D1264</f>
        <v>140</v>
      </c>
      <c r="G1264" s="7" t="n">
        <f aca="false">ROUND(F1264*0.2,2)</f>
        <v>28</v>
      </c>
      <c r="H1264" s="4" t="str">
        <f aca="false">IF(F1264&gt;500,"Yüksek",IF(F1264&gt;100,"Orta","Düşük"))</f>
        <v>Orta</v>
      </c>
    </row>
    <row r="1265" customFormat="false" ht="12.8" hidden="false" customHeight="false" outlineLevel="0" collapsed="false">
      <c r="A1265" s="4" t="s">
        <v>14</v>
      </c>
      <c r="B1265" s="4" t="s">
        <v>15</v>
      </c>
      <c r="C1265" s="4" t="n">
        <v>35</v>
      </c>
      <c r="D1265" s="5" t="n">
        <v>7.75</v>
      </c>
      <c r="E1265" s="6" t="n">
        <f aca="false">DATE(2024,3,3)</f>
        <v>45354</v>
      </c>
      <c r="F1265" s="7" t="n">
        <f aca="false">C1265*D1265</f>
        <v>271.25</v>
      </c>
      <c r="G1265" s="7" t="n">
        <f aca="false">ROUND(F1265*0.2,2)</f>
        <v>54.25</v>
      </c>
      <c r="H1265" s="4" t="str">
        <f aca="false">IF(F1265&gt;500,"Yüksek",IF(F1265&gt;100,"Orta","Düşük"))</f>
        <v>Orta</v>
      </c>
    </row>
    <row r="1266" customFormat="false" ht="12.8" hidden="false" customHeight="false" outlineLevel="0" collapsed="false">
      <c r="A1266" s="4" t="s">
        <v>16</v>
      </c>
      <c r="B1266" s="4" t="s">
        <v>17</v>
      </c>
      <c r="C1266" s="4" t="n">
        <v>42</v>
      </c>
      <c r="D1266" s="5" t="n">
        <v>10.5</v>
      </c>
      <c r="E1266" s="6" t="n">
        <f aca="false">DATE(2024,4,4)</f>
        <v>45386</v>
      </c>
      <c r="F1266" s="7" t="n">
        <f aca="false">C1266*D1266</f>
        <v>441</v>
      </c>
      <c r="G1266" s="7" t="n">
        <f aca="false">ROUND(F1266*0.2,2)</f>
        <v>88.2</v>
      </c>
      <c r="H1266" s="4" t="str">
        <f aca="false">IF(F1266&gt;500,"Yüksek",IF(F1266&gt;100,"Orta","Düşük"))</f>
        <v>Orta</v>
      </c>
    </row>
    <row r="1267" customFormat="false" ht="12.8" hidden="false" customHeight="false" outlineLevel="0" collapsed="false">
      <c r="A1267" s="4" t="s">
        <v>18</v>
      </c>
      <c r="B1267" s="4" t="s">
        <v>19</v>
      </c>
      <c r="C1267" s="4" t="n">
        <v>49</v>
      </c>
      <c r="D1267" s="5" t="n">
        <v>13.25</v>
      </c>
      <c r="E1267" s="6" t="n">
        <f aca="false">DATE(2024,5,5)</f>
        <v>45417</v>
      </c>
      <c r="F1267" s="7" t="n">
        <f aca="false">C1267*D1267</f>
        <v>649.25</v>
      </c>
      <c r="G1267" s="7" t="n">
        <f aca="false">ROUND(F1267*0.2,2)</f>
        <v>129.85</v>
      </c>
      <c r="H1267" s="4" t="str">
        <f aca="false">IF(F1267&gt;500,"Yüksek",IF(F1267&gt;100,"Orta","Düşük"))</f>
        <v>Yüksek</v>
      </c>
    </row>
    <row r="1268" customFormat="false" ht="12.8" hidden="false" customHeight="false" outlineLevel="0" collapsed="false">
      <c r="A1268" s="4" t="s">
        <v>20</v>
      </c>
      <c r="B1268" s="4" t="s">
        <v>11</v>
      </c>
      <c r="C1268" s="4" t="n">
        <v>6</v>
      </c>
      <c r="D1268" s="5" t="n">
        <v>16</v>
      </c>
      <c r="E1268" s="6" t="n">
        <f aca="false">DATE(2024,6,6)</f>
        <v>45449</v>
      </c>
      <c r="F1268" s="7" t="n">
        <f aca="false">C1268*D1268</f>
        <v>96</v>
      </c>
      <c r="G1268" s="7" t="n">
        <f aca="false">ROUND(F1268*0.2,2)</f>
        <v>19.2</v>
      </c>
      <c r="H1268" s="4" t="str">
        <f aca="false">IF(F1268&gt;500,"Yüksek",IF(F1268&gt;100,"Orta","Düşük"))</f>
        <v>Düşük</v>
      </c>
    </row>
    <row r="1269" customFormat="false" ht="12.8" hidden="false" customHeight="false" outlineLevel="0" collapsed="false">
      <c r="A1269" s="4" t="s">
        <v>21</v>
      </c>
      <c r="B1269" s="4" t="s">
        <v>13</v>
      </c>
      <c r="C1269" s="4" t="n">
        <v>13</v>
      </c>
      <c r="D1269" s="5" t="n">
        <v>18.75</v>
      </c>
      <c r="E1269" s="6" t="n">
        <f aca="false">DATE(2024,7,7)</f>
        <v>45480</v>
      </c>
      <c r="F1269" s="7" t="n">
        <f aca="false">C1269*D1269</f>
        <v>243.75</v>
      </c>
      <c r="G1269" s="7" t="n">
        <f aca="false">ROUND(F1269*0.2,2)</f>
        <v>48.75</v>
      </c>
      <c r="H1269" s="4" t="str">
        <f aca="false">IF(F1269&gt;500,"Yüksek",IF(F1269&gt;100,"Orta","Düşük"))</f>
        <v>Orta</v>
      </c>
    </row>
    <row r="1270" customFormat="false" ht="12.8" hidden="false" customHeight="false" outlineLevel="0" collapsed="false">
      <c r="A1270" s="4" t="s">
        <v>22</v>
      </c>
      <c r="B1270" s="4" t="s">
        <v>15</v>
      </c>
      <c r="C1270" s="4" t="n">
        <v>20</v>
      </c>
      <c r="D1270" s="5" t="n">
        <v>21.5</v>
      </c>
      <c r="E1270" s="6" t="n">
        <f aca="false">DATE(2024,8,8)</f>
        <v>45512</v>
      </c>
      <c r="F1270" s="7" t="n">
        <f aca="false">C1270*D1270</f>
        <v>430</v>
      </c>
      <c r="G1270" s="7" t="n">
        <f aca="false">ROUND(F1270*0.2,2)</f>
        <v>86</v>
      </c>
      <c r="H1270" s="4" t="str">
        <f aca="false">IF(F1270&gt;500,"Yüksek",IF(F1270&gt;100,"Orta","Düşük"))</f>
        <v>Orta</v>
      </c>
    </row>
    <row r="1271" customFormat="false" ht="12.8" hidden="false" customHeight="false" outlineLevel="0" collapsed="false">
      <c r="A1271" s="4" t="s">
        <v>23</v>
      </c>
      <c r="B1271" s="4" t="s">
        <v>17</v>
      </c>
      <c r="C1271" s="4" t="n">
        <v>27</v>
      </c>
      <c r="D1271" s="5" t="n">
        <v>24.25</v>
      </c>
      <c r="E1271" s="6" t="n">
        <f aca="false">DATE(2024,9,9)</f>
        <v>45544</v>
      </c>
      <c r="F1271" s="7" t="n">
        <f aca="false">C1271*D1271</f>
        <v>654.75</v>
      </c>
      <c r="G1271" s="7" t="n">
        <f aca="false">ROUND(F1271*0.2,2)</f>
        <v>130.95</v>
      </c>
      <c r="H1271" s="4" t="str">
        <f aca="false">IF(F1271&gt;500,"Yüksek",IF(F1271&gt;100,"Orta","Düşük"))</f>
        <v>Yüksek</v>
      </c>
    </row>
    <row r="1272" customFormat="false" ht="12.8" hidden="false" customHeight="false" outlineLevel="0" collapsed="false">
      <c r="A1272" s="4" t="s">
        <v>24</v>
      </c>
      <c r="B1272" s="4" t="s">
        <v>19</v>
      </c>
      <c r="C1272" s="4" t="n">
        <v>34</v>
      </c>
      <c r="D1272" s="5" t="n">
        <v>27</v>
      </c>
      <c r="E1272" s="6" t="n">
        <f aca="false">DATE(2024,10,10)</f>
        <v>45575</v>
      </c>
      <c r="F1272" s="7" t="n">
        <f aca="false">C1272*D1272</f>
        <v>918</v>
      </c>
      <c r="G1272" s="7" t="n">
        <f aca="false">ROUND(F1272*0.2,2)</f>
        <v>183.6</v>
      </c>
      <c r="H1272" s="4" t="str">
        <f aca="false">IF(F1272&gt;500,"Yüksek",IF(F1272&gt;100,"Orta","Düşük"))</f>
        <v>Yüksek</v>
      </c>
    </row>
    <row r="1273" customFormat="false" ht="12.8" hidden="false" customHeight="false" outlineLevel="0" collapsed="false">
      <c r="A1273" s="4" t="s">
        <v>10</v>
      </c>
      <c r="B1273" s="4" t="s">
        <v>11</v>
      </c>
      <c r="C1273" s="4" t="n">
        <v>41</v>
      </c>
      <c r="D1273" s="5" t="n">
        <v>29.75</v>
      </c>
      <c r="E1273" s="6" t="n">
        <f aca="false">DATE(2024,11,11)</f>
        <v>45607</v>
      </c>
      <c r="F1273" s="7" t="n">
        <f aca="false">C1273*D1273</f>
        <v>1219.75</v>
      </c>
      <c r="G1273" s="7" t="n">
        <f aca="false">ROUND(F1273*0.2,2)</f>
        <v>243.95</v>
      </c>
      <c r="H1273" s="4" t="str">
        <f aca="false">IF(F1273&gt;500,"Yüksek",IF(F1273&gt;100,"Orta","Düşük"))</f>
        <v>Yüksek</v>
      </c>
    </row>
    <row r="1274" customFormat="false" ht="12.8" hidden="false" customHeight="false" outlineLevel="0" collapsed="false">
      <c r="A1274" s="4" t="s">
        <v>12</v>
      </c>
      <c r="B1274" s="4" t="s">
        <v>13</v>
      </c>
      <c r="C1274" s="4" t="n">
        <v>48</v>
      </c>
      <c r="D1274" s="5" t="n">
        <v>32.5</v>
      </c>
      <c r="E1274" s="6" t="n">
        <f aca="false">DATE(2024,12,12)</f>
        <v>45638</v>
      </c>
      <c r="F1274" s="7" t="n">
        <f aca="false">C1274*D1274</f>
        <v>1560</v>
      </c>
      <c r="G1274" s="7" t="n">
        <f aca="false">ROUND(F1274*0.2,2)</f>
        <v>312</v>
      </c>
      <c r="H1274" s="4" t="str">
        <f aca="false">IF(F1274&gt;500,"Yüksek",IF(F1274&gt;100,"Orta","Düşük"))</f>
        <v>Yüksek</v>
      </c>
    </row>
    <row r="1275" customFormat="false" ht="12.8" hidden="false" customHeight="false" outlineLevel="0" collapsed="false">
      <c r="A1275" s="4" t="s">
        <v>14</v>
      </c>
      <c r="B1275" s="4" t="s">
        <v>15</v>
      </c>
      <c r="C1275" s="4" t="n">
        <v>5</v>
      </c>
      <c r="D1275" s="5" t="n">
        <v>35.25</v>
      </c>
      <c r="E1275" s="6" t="n">
        <f aca="false">DATE(2024,1,13)</f>
        <v>45304</v>
      </c>
      <c r="F1275" s="7" t="n">
        <f aca="false">C1275*D1275</f>
        <v>176.25</v>
      </c>
      <c r="G1275" s="7" t="n">
        <f aca="false">ROUND(F1275*0.2,2)</f>
        <v>35.25</v>
      </c>
      <c r="H1275" s="4" t="str">
        <f aca="false">IF(F1275&gt;500,"Yüksek",IF(F1275&gt;100,"Orta","Düşük"))</f>
        <v>Orta</v>
      </c>
    </row>
    <row r="1276" customFormat="false" ht="12.8" hidden="false" customHeight="false" outlineLevel="0" collapsed="false">
      <c r="A1276" s="4" t="s">
        <v>16</v>
      </c>
      <c r="B1276" s="4" t="s">
        <v>17</v>
      </c>
      <c r="C1276" s="4" t="n">
        <v>12</v>
      </c>
      <c r="D1276" s="5" t="n">
        <v>38</v>
      </c>
      <c r="E1276" s="6" t="n">
        <f aca="false">DATE(2024,2,14)</f>
        <v>45336</v>
      </c>
      <c r="F1276" s="7" t="n">
        <f aca="false">C1276*D1276</f>
        <v>456</v>
      </c>
      <c r="G1276" s="7" t="n">
        <f aca="false">ROUND(F1276*0.2,2)</f>
        <v>91.2</v>
      </c>
      <c r="H1276" s="4" t="str">
        <f aca="false">IF(F1276&gt;500,"Yüksek",IF(F1276&gt;100,"Orta","Düşük"))</f>
        <v>Orta</v>
      </c>
    </row>
    <row r="1277" customFormat="false" ht="12.8" hidden="false" customHeight="false" outlineLevel="0" collapsed="false">
      <c r="A1277" s="4" t="s">
        <v>18</v>
      </c>
      <c r="B1277" s="4" t="s">
        <v>19</v>
      </c>
      <c r="C1277" s="4" t="n">
        <v>19</v>
      </c>
      <c r="D1277" s="5" t="n">
        <v>5</v>
      </c>
      <c r="E1277" s="6" t="n">
        <f aca="false">DATE(2024,3,15)</f>
        <v>45366</v>
      </c>
      <c r="F1277" s="7" t="n">
        <f aca="false">C1277*D1277</f>
        <v>95</v>
      </c>
      <c r="G1277" s="7" t="n">
        <f aca="false">ROUND(F1277*0.2,2)</f>
        <v>19</v>
      </c>
      <c r="H1277" s="4" t="str">
        <f aca="false">IF(F1277&gt;500,"Yüksek",IF(F1277&gt;100,"Orta","Düşük"))</f>
        <v>Düşük</v>
      </c>
    </row>
    <row r="1278" customFormat="false" ht="12.8" hidden="false" customHeight="false" outlineLevel="0" collapsed="false">
      <c r="A1278" s="4" t="s">
        <v>20</v>
      </c>
      <c r="B1278" s="4" t="s">
        <v>11</v>
      </c>
      <c r="C1278" s="4" t="n">
        <v>26</v>
      </c>
      <c r="D1278" s="5" t="n">
        <v>7.75</v>
      </c>
      <c r="E1278" s="6" t="n">
        <f aca="false">DATE(2024,4,16)</f>
        <v>45398</v>
      </c>
      <c r="F1278" s="7" t="n">
        <f aca="false">C1278*D1278</f>
        <v>201.5</v>
      </c>
      <c r="G1278" s="7" t="n">
        <f aca="false">ROUND(F1278*0.2,2)</f>
        <v>40.3</v>
      </c>
      <c r="H1278" s="4" t="str">
        <f aca="false">IF(F1278&gt;500,"Yüksek",IF(F1278&gt;100,"Orta","Düşük"))</f>
        <v>Orta</v>
      </c>
    </row>
    <row r="1279" customFormat="false" ht="12.8" hidden="false" customHeight="false" outlineLevel="0" collapsed="false">
      <c r="A1279" s="4" t="s">
        <v>21</v>
      </c>
      <c r="B1279" s="4" t="s">
        <v>13</v>
      </c>
      <c r="C1279" s="4" t="n">
        <v>33</v>
      </c>
      <c r="D1279" s="5" t="n">
        <v>10.5</v>
      </c>
      <c r="E1279" s="6" t="n">
        <f aca="false">DATE(2024,5,17)</f>
        <v>45429</v>
      </c>
      <c r="F1279" s="7" t="n">
        <f aca="false">C1279*D1279</f>
        <v>346.5</v>
      </c>
      <c r="G1279" s="7" t="n">
        <f aca="false">ROUND(F1279*0.2,2)</f>
        <v>69.3</v>
      </c>
      <c r="H1279" s="4" t="str">
        <f aca="false">IF(F1279&gt;500,"Yüksek",IF(F1279&gt;100,"Orta","Düşük"))</f>
        <v>Orta</v>
      </c>
    </row>
    <row r="1280" customFormat="false" ht="12.8" hidden="false" customHeight="false" outlineLevel="0" collapsed="false">
      <c r="A1280" s="4" t="s">
        <v>22</v>
      </c>
      <c r="B1280" s="4" t="s">
        <v>15</v>
      </c>
      <c r="C1280" s="4" t="n">
        <v>40</v>
      </c>
      <c r="D1280" s="5" t="n">
        <v>13.25</v>
      </c>
      <c r="E1280" s="6" t="n">
        <f aca="false">DATE(2024,6,18)</f>
        <v>45461</v>
      </c>
      <c r="F1280" s="7" t="n">
        <f aca="false">C1280*D1280</f>
        <v>530</v>
      </c>
      <c r="G1280" s="7" t="n">
        <f aca="false">ROUND(F1280*0.2,2)</f>
        <v>106</v>
      </c>
      <c r="H1280" s="4" t="str">
        <f aca="false">IF(F1280&gt;500,"Yüksek",IF(F1280&gt;100,"Orta","Düşük"))</f>
        <v>Yüksek</v>
      </c>
    </row>
    <row r="1281" customFormat="false" ht="12.8" hidden="false" customHeight="false" outlineLevel="0" collapsed="false">
      <c r="A1281" s="4" t="s">
        <v>23</v>
      </c>
      <c r="B1281" s="4" t="s">
        <v>17</v>
      </c>
      <c r="C1281" s="4" t="n">
        <v>47</v>
      </c>
      <c r="D1281" s="5" t="n">
        <v>16</v>
      </c>
      <c r="E1281" s="6" t="n">
        <f aca="false">DATE(2024,7,19)</f>
        <v>45492</v>
      </c>
      <c r="F1281" s="7" t="n">
        <f aca="false">C1281*D1281</f>
        <v>752</v>
      </c>
      <c r="G1281" s="7" t="n">
        <f aca="false">ROUND(F1281*0.2,2)</f>
        <v>150.4</v>
      </c>
      <c r="H1281" s="4" t="str">
        <f aca="false">IF(F1281&gt;500,"Yüksek",IF(F1281&gt;100,"Orta","Düşük"))</f>
        <v>Yüksek</v>
      </c>
    </row>
    <row r="1282" customFormat="false" ht="12.8" hidden="false" customHeight="false" outlineLevel="0" collapsed="false">
      <c r="A1282" s="4" t="s">
        <v>24</v>
      </c>
      <c r="B1282" s="4" t="s">
        <v>19</v>
      </c>
      <c r="C1282" s="4" t="n">
        <v>4</v>
      </c>
      <c r="D1282" s="5" t="n">
        <v>18.75</v>
      </c>
      <c r="E1282" s="6" t="n">
        <f aca="false">DATE(2024,8,20)</f>
        <v>45524</v>
      </c>
      <c r="F1282" s="7" t="n">
        <f aca="false">C1282*D1282</f>
        <v>75</v>
      </c>
      <c r="G1282" s="7" t="n">
        <f aca="false">ROUND(F1282*0.2,2)</f>
        <v>15</v>
      </c>
      <c r="H1282" s="4" t="str">
        <f aca="false">IF(F1282&gt;500,"Yüksek",IF(F1282&gt;100,"Orta","Düşük"))</f>
        <v>Düşük</v>
      </c>
    </row>
    <row r="1283" customFormat="false" ht="12.8" hidden="false" customHeight="false" outlineLevel="0" collapsed="false">
      <c r="A1283" s="4" t="s">
        <v>10</v>
      </c>
      <c r="B1283" s="4" t="s">
        <v>11</v>
      </c>
      <c r="C1283" s="4" t="n">
        <v>11</v>
      </c>
      <c r="D1283" s="5" t="n">
        <v>21.5</v>
      </c>
      <c r="E1283" s="6" t="n">
        <f aca="false">DATE(2024,9,21)</f>
        <v>45556</v>
      </c>
      <c r="F1283" s="7" t="n">
        <f aca="false">C1283*D1283</f>
        <v>236.5</v>
      </c>
      <c r="G1283" s="7" t="n">
        <f aca="false">ROUND(F1283*0.2,2)</f>
        <v>47.3</v>
      </c>
      <c r="H1283" s="4" t="str">
        <f aca="false">IF(F1283&gt;500,"Yüksek",IF(F1283&gt;100,"Orta","Düşük"))</f>
        <v>Orta</v>
      </c>
    </row>
    <row r="1284" customFormat="false" ht="12.8" hidden="false" customHeight="false" outlineLevel="0" collapsed="false">
      <c r="A1284" s="4" t="s">
        <v>12</v>
      </c>
      <c r="B1284" s="4" t="s">
        <v>13</v>
      </c>
      <c r="C1284" s="4" t="n">
        <v>18</v>
      </c>
      <c r="D1284" s="5" t="n">
        <v>24.25</v>
      </c>
      <c r="E1284" s="6" t="n">
        <f aca="false">DATE(2024,10,22)</f>
        <v>45587</v>
      </c>
      <c r="F1284" s="7" t="n">
        <f aca="false">C1284*D1284</f>
        <v>436.5</v>
      </c>
      <c r="G1284" s="7" t="n">
        <f aca="false">ROUND(F1284*0.2,2)</f>
        <v>87.3</v>
      </c>
      <c r="H1284" s="4" t="str">
        <f aca="false">IF(F1284&gt;500,"Yüksek",IF(F1284&gt;100,"Orta","Düşük"))</f>
        <v>Orta</v>
      </c>
    </row>
    <row r="1285" customFormat="false" ht="12.8" hidden="false" customHeight="false" outlineLevel="0" collapsed="false">
      <c r="A1285" s="4" t="s">
        <v>14</v>
      </c>
      <c r="B1285" s="4" t="s">
        <v>15</v>
      </c>
      <c r="C1285" s="4" t="n">
        <v>25</v>
      </c>
      <c r="D1285" s="5" t="n">
        <v>27</v>
      </c>
      <c r="E1285" s="6" t="n">
        <f aca="false">DATE(2024,11,23)</f>
        <v>45619</v>
      </c>
      <c r="F1285" s="7" t="n">
        <f aca="false">C1285*D1285</f>
        <v>675</v>
      </c>
      <c r="G1285" s="7" t="n">
        <f aca="false">ROUND(F1285*0.2,2)</f>
        <v>135</v>
      </c>
      <c r="H1285" s="4" t="str">
        <f aca="false">IF(F1285&gt;500,"Yüksek",IF(F1285&gt;100,"Orta","Düşük"))</f>
        <v>Yüksek</v>
      </c>
    </row>
    <row r="1286" customFormat="false" ht="12.8" hidden="false" customHeight="false" outlineLevel="0" collapsed="false">
      <c r="A1286" s="4" t="s">
        <v>16</v>
      </c>
      <c r="B1286" s="4" t="s">
        <v>17</v>
      </c>
      <c r="C1286" s="4" t="n">
        <v>32</v>
      </c>
      <c r="D1286" s="5" t="n">
        <v>29.75</v>
      </c>
      <c r="E1286" s="6" t="n">
        <f aca="false">DATE(2024,12,24)</f>
        <v>45650</v>
      </c>
      <c r="F1286" s="7" t="n">
        <f aca="false">C1286*D1286</f>
        <v>952</v>
      </c>
      <c r="G1286" s="7" t="n">
        <f aca="false">ROUND(F1286*0.2,2)</f>
        <v>190.4</v>
      </c>
      <c r="H1286" s="4" t="str">
        <f aca="false">IF(F1286&gt;500,"Yüksek",IF(F1286&gt;100,"Orta","Düşük"))</f>
        <v>Yüksek</v>
      </c>
    </row>
    <row r="1287" customFormat="false" ht="12.8" hidden="false" customHeight="false" outlineLevel="0" collapsed="false">
      <c r="A1287" s="4" t="s">
        <v>18</v>
      </c>
      <c r="B1287" s="4" t="s">
        <v>19</v>
      </c>
      <c r="C1287" s="4" t="n">
        <v>39</v>
      </c>
      <c r="D1287" s="5" t="n">
        <v>32.5</v>
      </c>
      <c r="E1287" s="6" t="n">
        <f aca="false">DATE(2024,1,25)</f>
        <v>45316</v>
      </c>
      <c r="F1287" s="7" t="n">
        <f aca="false">C1287*D1287</f>
        <v>1267.5</v>
      </c>
      <c r="G1287" s="7" t="n">
        <f aca="false">ROUND(F1287*0.2,2)</f>
        <v>253.5</v>
      </c>
      <c r="H1287" s="4" t="str">
        <f aca="false">IF(F1287&gt;500,"Yüksek",IF(F1287&gt;100,"Orta","Düşük"))</f>
        <v>Yüksek</v>
      </c>
    </row>
    <row r="1288" customFormat="false" ht="12.8" hidden="false" customHeight="false" outlineLevel="0" collapsed="false">
      <c r="A1288" s="4" t="s">
        <v>20</v>
      </c>
      <c r="B1288" s="4" t="s">
        <v>11</v>
      </c>
      <c r="C1288" s="4" t="n">
        <v>46</v>
      </c>
      <c r="D1288" s="5" t="n">
        <v>35.25</v>
      </c>
      <c r="E1288" s="6" t="n">
        <f aca="false">DATE(2024,2,26)</f>
        <v>45348</v>
      </c>
      <c r="F1288" s="7" t="n">
        <f aca="false">C1288*D1288</f>
        <v>1621.5</v>
      </c>
      <c r="G1288" s="7" t="n">
        <f aca="false">ROUND(F1288*0.2,2)</f>
        <v>324.3</v>
      </c>
      <c r="H1288" s="4" t="str">
        <f aca="false">IF(F1288&gt;500,"Yüksek",IF(F1288&gt;100,"Orta","Düşük"))</f>
        <v>Yüksek</v>
      </c>
    </row>
    <row r="1289" customFormat="false" ht="12.8" hidden="false" customHeight="false" outlineLevel="0" collapsed="false">
      <c r="A1289" s="4" t="s">
        <v>21</v>
      </c>
      <c r="B1289" s="4" t="s">
        <v>13</v>
      </c>
      <c r="C1289" s="4" t="n">
        <v>3</v>
      </c>
      <c r="D1289" s="5" t="n">
        <v>38</v>
      </c>
      <c r="E1289" s="6" t="n">
        <f aca="false">DATE(2024,3,27)</f>
        <v>45378</v>
      </c>
      <c r="F1289" s="7" t="n">
        <f aca="false">C1289*D1289</f>
        <v>114</v>
      </c>
      <c r="G1289" s="7" t="n">
        <f aca="false">ROUND(F1289*0.2,2)</f>
        <v>22.8</v>
      </c>
      <c r="H1289" s="4" t="str">
        <f aca="false">IF(F1289&gt;500,"Yüksek",IF(F1289&gt;100,"Orta","Düşük"))</f>
        <v>Orta</v>
      </c>
    </row>
    <row r="1290" customFormat="false" ht="12.8" hidden="false" customHeight="false" outlineLevel="0" collapsed="false">
      <c r="A1290" s="4" t="s">
        <v>22</v>
      </c>
      <c r="B1290" s="4" t="s">
        <v>15</v>
      </c>
      <c r="C1290" s="4" t="n">
        <v>10</v>
      </c>
      <c r="D1290" s="5" t="n">
        <v>5</v>
      </c>
      <c r="E1290" s="6" t="n">
        <f aca="false">DATE(2024,4,28)</f>
        <v>45410</v>
      </c>
      <c r="F1290" s="7" t="n">
        <f aca="false">C1290*D1290</f>
        <v>50</v>
      </c>
      <c r="G1290" s="7" t="n">
        <f aca="false">ROUND(F1290*0.2,2)</f>
        <v>10</v>
      </c>
      <c r="H1290" s="4" t="str">
        <f aca="false">IF(F1290&gt;500,"Yüksek",IF(F1290&gt;100,"Orta","Düşük"))</f>
        <v>Düşük</v>
      </c>
    </row>
    <row r="1291" customFormat="false" ht="12.8" hidden="false" customHeight="false" outlineLevel="0" collapsed="false">
      <c r="A1291" s="4" t="s">
        <v>23</v>
      </c>
      <c r="B1291" s="4" t="s">
        <v>17</v>
      </c>
      <c r="C1291" s="4" t="n">
        <v>17</v>
      </c>
      <c r="D1291" s="5" t="n">
        <v>7.75</v>
      </c>
      <c r="E1291" s="6" t="n">
        <f aca="false">DATE(2024,5,1)</f>
        <v>45413</v>
      </c>
      <c r="F1291" s="7" t="n">
        <f aca="false">C1291*D1291</f>
        <v>131.75</v>
      </c>
      <c r="G1291" s="7" t="n">
        <f aca="false">ROUND(F1291*0.2,2)</f>
        <v>26.35</v>
      </c>
      <c r="H1291" s="4" t="str">
        <f aca="false">IF(F1291&gt;500,"Yüksek",IF(F1291&gt;100,"Orta","Düşük"))</f>
        <v>Orta</v>
      </c>
    </row>
    <row r="1292" customFormat="false" ht="12.8" hidden="false" customHeight="false" outlineLevel="0" collapsed="false">
      <c r="A1292" s="4" t="s">
        <v>24</v>
      </c>
      <c r="B1292" s="4" t="s">
        <v>19</v>
      </c>
      <c r="C1292" s="4" t="n">
        <v>24</v>
      </c>
      <c r="D1292" s="5" t="n">
        <v>10.5</v>
      </c>
      <c r="E1292" s="6" t="n">
        <f aca="false">DATE(2024,6,2)</f>
        <v>45445</v>
      </c>
      <c r="F1292" s="7" t="n">
        <f aca="false">C1292*D1292</f>
        <v>252</v>
      </c>
      <c r="G1292" s="7" t="n">
        <f aca="false">ROUND(F1292*0.2,2)</f>
        <v>50.4</v>
      </c>
      <c r="H1292" s="4" t="str">
        <f aca="false">IF(F1292&gt;500,"Yüksek",IF(F1292&gt;100,"Orta","Düşük"))</f>
        <v>Orta</v>
      </c>
    </row>
    <row r="1293" customFormat="false" ht="12.8" hidden="false" customHeight="false" outlineLevel="0" collapsed="false">
      <c r="A1293" s="4" t="s">
        <v>10</v>
      </c>
      <c r="B1293" s="4" t="s">
        <v>11</v>
      </c>
      <c r="C1293" s="4" t="n">
        <v>31</v>
      </c>
      <c r="D1293" s="5" t="n">
        <v>13.25</v>
      </c>
      <c r="E1293" s="6" t="n">
        <f aca="false">DATE(2024,7,3)</f>
        <v>45476</v>
      </c>
      <c r="F1293" s="7" t="n">
        <f aca="false">C1293*D1293</f>
        <v>410.75</v>
      </c>
      <c r="G1293" s="7" t="n">
        <f aca="false">ROUND(F1293*0.2,2)</f>
        <v>82.15</v>
      </c>
      <c r="H1293" s="4" t="str">
        <f aca="false">IF(F1293&gt;500,"Yüksek",IF(F1293&gt;100,"Orta","Düşük"))</f>
        <v>Orta</v>
      </c>
    </row>
    <row r="1294" customFormat="false" ht="12.8" hidden="false" customHeight="false" outlineLevel="0" collapsed="false">
      <c r="A1294" s="4" t="s">
        <v>12</v>
      </c>
      <c r="B1294" s="4" t="s">
        <v>13</v>
      </c>
      <c r="C1294" s="4" t="n">
        <v>38</v>
      </c>
      <c r="D1294" s="5" t="n">
        <v>16</v>
      </c>
      <c r="E1294" s="6" t="n">
        <f aca="false">DATE(2024,8,4)</f>
        <v>45508</v>
      </c>
      <c r="F1294" s="7" t="n">
        <f aca="false">C1294*D1294</f>
        <v>608</v>
      </c>
      <c r="G1294" s="7" t="n">
        <f aca="false">ROUND(F1294*0.2,2)</f>
        <v>121.6</v>
      </c>
      <c r="H1294" s="4" t="str">
        <f aca="false">IF(F1294&gt;500,"Yüksek",IF(F1294&gt;100,"Orta","Düşük"))</f>
        <v>Yüksek</v>
      </c>
    </row>
    <row r="1295" customFormat="false" ht="12.8" hidden="false" customHeight="false" outlineLevel="0" collapsed="false">
      <c r="A1295" s="4" t="s">
        <v>14</v>
      </c>
      <c r="B1295" s="4" t="s">
        <v>15</v>
      </c>
      <c r="C1295" s="4" t="n">
        <v>45</v>
      </c>
      <c r="D1295" s="5" t="n">
        <v>18.75</v>
      </c>
      <c r="E1295" s="6" t="n">
        <f aca="false">DATE(2024,9,5)</f>
        <v>45540</v>
      </c>
      <c r="F1295" s="7" t="n">
        <f aca="false">C1295*D1295</f>
        <v>843.75</v>
      </c>
      <c r="G1295" s="7" t="n">
        <f aca="false">ROUND(F1295*0.2,2)</f>
        <v>168.75</v>
      </c>
      <c r="H1295" s="4" t="str">
        <f aca="false">IF(F1295&gt;500,"Yüksek",IF(F1295&gt;100,"Orta","Düşük"))</f>
        <v>Yüksek</v>
      </c>
    </row>
    <row r="1296" customFormat="false" ht="12.8" hidden="false" customHeight="false" outlineLevel="0" collapsed="false">
      <c r="A1296" s="4" t="s">
        <v>16</v>
      </c>
      <c r="B1296" s="4" t="s">
        <v>17</v>
      </c>
      <c r="C1296" s="4" t="n">
        <v>2</v>
      </c>
      <c r="D1296" s="5" t="n">
        <v>21.5</v>
      </c>
      <c r="E1296" s="6" t="n">
        <f aca="false">DATE(2024,10,6)</f>
        <v>45571</v>
      </c>
      <c r="F1296" s="7" t="n">
        <f aca="false">C1296*D1296</f>
        <v>43</v>
      </c>
      <c r="G1296" s="7" t="n">
        <f aca="false">ROUND(F1296*0.2,2)</f>
        <v>8.6</v>
      </c>
      <c r="H1296" s="4" t="str">
        <f aca="false">IF(F1296&gt;500,"Yüksek",IF(F1296&gt;100,"Orta","Düşük"))</f>
        <v>Düşük</v>
      </c>
    </row>
    <row r="1297" customFormat="false" ht="12.8" hidden="false" customHeight="false" outlineLevel="0" collapsed="false">
      <c r="A1297" s="4" t="s">
        <v>18</v>
      </c>
      <c r="B1297" s="4" t="s">
        <v>19</v>
      </c>
      <c r="C1297" s="4" t="n">
        <v>9</v>
      </c>
      <c r="D1297" s="5" t="n">
        <v>24.25</v>
      </c>
      <c r="E1297" s="6" t="n">
        <f aca="false">DATE(2024,11,7)</f>
        <v>45603</v>
      </c>
      <c r="F1297" s="7" t="n">
        <f aca="false">C1297*D1297</f>
        <v>218.25</v>
      </c>
      <c r="G1297" s="7" t="n">
        <f aca="false">ROUND(F1297*0.2,2)</f>
        <v>43.65</v>
      </c>
      <c r="H1297" s="4" t="str">
        <f aca="false">IF(F1297&gt;500,"Yüksek",IF(F1297&gt;100,"Orta","Düşük"))</f>
        <v>Orta</v>
      </c>
    </row>
    <row r="1298" customFormat="false" ht="12.8" hidden="false" customHeight="false" outlineLevel="0" collapsed="false">
      <c r="A1298" s="4" t="s">
        <v>20</v>
      </c>
      <c r="B1298" s="4" t="s">
        <v>11</v>
      </c>
      <c r="C1298" s="4" t="n">
        <v>16</v>
      </c>
      <c r="D1298" s="5" t="n">
        <v>27</v>
      </c>
      <c r="E1298" s="6" t="n">
        <f aca="false">DATE(2024,12,8)</f>
        <v>45634</v>
      </c>
      <c r="F1298" s="7" t="n">
        <f aca="false">C1298*D1298</f>
        <v>432</v>
      </c>
      <c r="G1298" s="7" t="n">
        <f aca="false">ROUND(F1298*0.2,2)</f>
        <v>86.4</v>
      </c>
      <c r="H1298" s="4" t="str">
        <f aca="false">IF(F1298&gt;500,"Yüksek",IF(F1298&gt;100,"Orta","Düşük"))</f>
        <v>Orta</v>
      </c>
    </row>
    <row r="1299" customFormat="false" ht="12.8" hidden="false" customHeight="false" outlineLevel="0" collapsed="false">
      <c r="A1299" s="4" t="s">
        <v>21</v>
      </c>
      <c r="B1299" s="4" t="s">
        <v>13</v>
      </c>
      <c r="C1299" s="4" t="n">
        <v>23</v>
      </c>
      <c r="D1299" s="5" t="n">
        <v>29.75</v>
      </c>
      <c r="E1299" s="6" t="n">
        <f aca="false">DATE(2024,1,9)</f>
        <v>45300</v>
      </c>
      <c r="F1299" s="7" t="n">
        <f aca="false">C1299*D1299</f>
        <v>684.25</v>
      </c>
      <c r="G1299" s="7" t="n">
        <f aca="false">ROUND(F1299*0.2,2)</f>
        <v>136.85</v>
      </c>
      <c r="H1299" s="4" t="str">
        <f aca="false">IF(F1299&gt;500,"Yüksek",IF(F1299&gt;100,"Orta","Düşük"))</f>
        <v>Yüksek</v>
      </c>
    </row>
    <row r="1300" customFormat="false" ht="12.8" hidden="false" customHeight="false" outlineLevel="0" collapsed="false">
      <c r="A1300" s="4" t="s">
        <v>22</v>
      </c>
      <c r="B1300" s="4" t="s">
        <v>15</v>
      </c>
      <c r="C1300" s="4" t="n">
        <v>30</v>
      </c>
      <c r="D1300" s="5" t="n">
        <v>32.5</v>
      </c>
      <c r="E1300" s="6" t="n">
        <f aca="false">DATE(2024,2,10)</f>
        <v>45332</v>
      </c>
      <c r="F1300" s="7" t="n">
        <f aca="false">C1300*D1300</f>
        <v>975</v>
      </c>
      <c r="G1300" s="7" t="n">
        <f aca="false">ROUND(F1300*0.2,2)</f>
        <v>195</v>
      </c>
      <c r="H1300" s="4" t="str">
        <f aca="false">IF(F1300&gt;500,"Yüksek",IF(F1300&gt;100,"Orta","Düşük"))</f>
        <v>Yüksek</v>
      </c>
    </row>
    <row r="1301" customFormat="false" ht="12.8" hidden="false" customHeight="false" outlineLevel="0" collapsed="false">
      <c r="A1301" s="4" t="s">
        <v>23</v>
      </c>
      <c r="B1301" s="4" t="s">
        <v>17</v>
      </c>
      <c r="C1301" s="4" t="n">
        <v>37</v>
      </c>
      <c r="D1301" s="5" t="n">
        <v>35.25</v>
      </c>
      <c r="E1301" s="6" t="n">
        <f aca="false">DATE(2024,3,11)</f>
        <v>45362</v>
      </c>
      <c r="F1301" s="7" t="n">
        <f aca="false">C1301*D1301</f>
        <v>1304.25</v>
      </c>
      <c r="G1301" s="7" t="n">
        <f aca="false">ROUND(F1301*0.2,2)</f>
        <v>260.85</v>
      </c>
      <c r="H1301" s="4" t="str">
        <f aca="false">IF(F1301&gt;500,"Yüksek",IF(F1301&gt;100,"Orta","Düşük"))</f>
        <v>Yüksek</v>
      </c>
    </row>
    <row r="1302" customFormat="false" ht="12.8" hidden="false" customHeight="false" outlineLevel="0" collapsed="false">
      <c r="A1302" s="4" t="s">
        <v>24</v>
      </c>
      <c r="B1302" s="4" t="s">
        <v>19</v>
      </c>
      <c r="C1302" s="4" t="n">
        <v>44</v>
      </c>
      <c r="D1302" s="5" t="n">
        <v>38</v>
      </c>
      <c r="E1302" s="6" t="n">
        <f aca="false">DATE(2024,4,12)</f>
        <v>45394</v>
      </c>
      <c r="F1302" s="7" t="n">
        <f aca="false">C1302*D1302</f>
        <v>1672</v>
      </c>
      <c r="G1302" s="7" t="n">
        <f aca="false">ROUND(F1302*0.2,2)</f>
        <v>334.4</v>
      </c>
      <c r="H1302" s="4" t="str">
        <f aca="false">IF(F1302&gt;500,"Yüksek",IF(F1302&gt;100,"Orta","Düşük"))</f>
        <v>Yüksek</v>
      </c>
    </row>
    <row r="1303" customFormat="false" ht="12.8" hidden="false" customHeight="false" outlineLevel="0" collapsed="false">
      <c r="A1303" s="4" t="s">
        <v>10</v>
      </c>
      <c r="B1303" s="4" t="s">
        <v>11</v>
      </c>
      <c r="C1303" s="4" t="n">
        <v>1</v>
      </c>
      <c r="D1303" s="5" t="n">
        <v>5</v>
      </c>
      <c r="E1303" s="6" t="n">
        <f aca="false">DATE(2024,5,13)</f>
        <v>45425</v>
      </c>
      <c r="F1303" s="7" t="n">
        <f aca="false">C1303*D1303</f>
        <v>5</v>
      </c>
      <c r="G1303" s="7" t="n">
        <f aca="false">ROUND(F1303*0.2,2)</f>
        <v>1</v>
      </c>
      <c r="H1303" s="4" t="str">
        <f aca="false">IF(F1303&gt;500,"Yüksek",IF(F1303&gt;100,"Orta","Düşük"))</f>
        <v>Düşük</v>
      </c>
    </row>
    <row r="1304" customFormat="false" ht="12.8" hidden="false" customHeight="false" outlineLevel="0" collapsed="false">
      <c r="A1304" s="4" t="s">
        <v>12</v>
      </c>
      <c r="B1304" s="4" t="s">
        <v>13</v>
      </c>
      <c r="C1304" s="4" t="n">
        <v>8</v>
      </c>
      <c r="D1304" s="5" t="n">
        <v>7.75</v>
      </c>
      <c r="E1304" s="6" t="n">
        <f aca="false">DATE(2024,6,14)</f>
        <v>45457</v>
      </c>
      <c r="F1304" s="7" t="n">
        <f aca="false">C1304*D1304</f>
        <v>62</v>
      </c>
      <c r="G1304" s="7" t="n">
        <f aca="false">ROUND(F1304*0.2,2)</f>
        <v>12.4</v>
      </c>
      <c r="H1304" s="4" t="str">
        <f aca="false">IF(F1304&gt;500,"Yüksek",IF(F1304&gt;100,"Orta","Düşük"))</f>
        <v>Düşük</v>
      </c>
    </row>
    <row r="1305" customFormat="false" ht="12.8" hidden="false" customHeight="false" outlineLevel="0" collapsed="false">
      <c r="A1305" s="4" t="s">
        <v>14</v>
      </c>
      <c r="B1305" s="4" t="s">
        <v>15</v>
      </c>
      <c r="C1305" s="4" t="n">
        <v>15</v>
      </c>
      <c r="D1305" s="5" t="n">
        <v>10.5</v>
      </c>
      <c r="E1305" s="6" t="n">
        <f aca="false">DATE(2024,7,15)</f>
        <v>45488</v>
      </c>
      <c r="F1305" s="7" t="n">
        <f aca="false">C1305*D1305</f>
        <v>157.5</v>
      </c>
      <c r="G1305" s="7" t="n">
        <f aca="false">ROUND(F1305*0.2,2)</f>
        <v>31.5</v>
      </c>
      <c r="H1305" s="4" t="str">
        <f aca="false">IF(F1305&gt;500,"Yüksek",IF(F1305&gt;100,"Orta","Düşük"))</f>
        <v>Orta</v>
      </c>
    </row>
    <row r="1306" customFormat="false" ht="12.8" hidden="false" customHeight="false" outlineLevel="0" collapsed="false">
      <c r="A1306" s="4" t="s">
        <v>16</v>
      </c>
      <c r="B1306" s="4" t="s">
        <v>17</v>
      </c>
      <c r="C1306" s="4" t="n">
        <v>22</v>
      </c>
      <c r="D1306" s="5" t="n">
        <v>13.25</v>
      </c>
      <c r="E1306" s="6" t="n">
        <f aca="false">DATE(2024,8,16)</f>
        <v>45520</v>
      </c>
      <c r="F1306" s="7" t="n">
        <f aca="false">C1306*D1306</f>
        <v>291.5</v>
      </c>
      <c r="G1306" s="7" t="n">
        <f aca="false">ROUND(F1306*0.2,2)</f>
        <v>58.3</v>
      </c>
      <c r="H1306" s="4" t="str">
        <f aca="false">IF(F1306&gt;500,"Yüksek",IF(F1306&gt;100,"Orta","Düşük"))</f>
        <v>Orta</v>
      </c>
    </row>
    <row r="1307" customFormat="false" ht="12.8" hidden="false" customHeight="false" outlineLevel="0" collapsed="false">
      <c r="A1307" s="4" t="s">
        <v>18</v>
      </c>
      <c r="B1307" s="4" t="s">
        <v>19</v>
      </c>
      <c r="C1307" s="4" t="n">
        <v>29</v>
      </c>
      <c r="D1307" s="5" t="n">
        <v>16</v>
      </c>
      <c r="E1307" s="6" t="n">
        <f aca="false">DATE(2024,9,17)</f>
        <v>45552</v>
      </c>
      <c r="F1307" s="7" t="n">
        <f aca="false">C1307*D1307</f>
        <v>464</v>
      </c>
      <c r="G1307" s="7" t="n">
        <f aca="false">ROUND(F1307*0.2,2)</f>
        <v>92.8</v>
      </c>
      <c r="H1307" s="4" t="str">
        <f aca="false">IF(F1307&gt;500,"Yüksek",IF(F1307&gt;100,"Orta","Düşük"))</f>
        <v>Orta</v>
      </c>
    </row>
    <row r="1308" customFormat="false" ht="12.8" hidden="false" customHeight="false" outlineLevel="0" collapsed="false">
      <c r="A1308" s="4" t="s">
        <v>20</v>
      </c>
      <c r="B1308" s="4" t="s">
        <v>11</v>
      </c>
      <c r="C1308" s="4" t="n">
        <v>36</v>
      </c>
      <c r="D1308" s="5" t="n">
        <v>18.75</v>
      </c>
      <c r="E1308" s="6" t="n">
        <f aca="false">DATE(2024,10,18)</f>
        <v>45583</v>
      </c>
      <c r="F1308" s="7" t="n">
        <f aca="false">C1308*D1308</f>
        <v>675</v>
      </c>
      <c r="G1308" s="7" t="n">
        <f aca="false">ROUND(F1308*0.2,2)</f>
        <v>135</v>
      </c>
      <c r="H1308" s="4" t="str">
        <f aca="false">IF(F1308&gt;500,"Yüksek",IF(F1308&gt;100,"Orta","Düşük"))</f>
        <v>Yüksek</v>
      </c>
    </row>
    <row r="1309" customFormat="false" ht="12.8" hidden="false" customHeight="false" outlineLevel="0" collapsed="false">
      <c r="A1309" s="4" t="s">
        <v>21</v>
      </c>
      <c r="B1309" s="4" t="s">
        <v>13</v>
      </c>
      <c r="C1309" s="4" t="n">
        <v>43</v>
      </c>
      <c r="D1309" s="5" t="n">
        <v>21.5</v>
      </c>
      <c r="E1309" s="6" t="n">
        <f aca="false">DATE(2024,11,19)</f>
        <v>45615</v>
      </c>
      <c r="F1309" s="7" t="n">
        <f aca="false">C1309*D1309</f>
        <v>924.5</v>
      </c>
      <c r="G1309" s="7" t="n">
        <f aca="false">ROUND(F1309*0.2,2)</f>
        <v>184.9</v>
      </c>
      <c r="H1309" s="4" t="str">
        <f aca="false">IF(F1309&gt;500,"Yüksek",IF(F1309&gt;100,"Orta","Düşük"))</f>
        <v>Yüksek</v>
      </c>
    </row>
    <row r="1310" customFormat="false" ht="12.8" hidden="false" customHeight="false" outlineLevel="0" collapsed="false">
      <c r="A1310" s="4" t="s">
        <v>22</v>
      </c>
      <c r="B1310" s="4" t="s">
        <v>15</v>
      </c>
      <c r="C1310" s="4" t="n">
        <v>50</v>
      </c>
      <c r="D1310" s="5" t="n">
        <v>24.25</v>
      </c>
      <c r="E1310" s="6" t="n">
        <f aca="false">DATE(2024,12,20)</f>
        <v>45646</v>
      </c>
      <c r="F1310" s="7" t="n">
        <f aca="false">C1310*D1310</f>
        <v>1212.5</v>
      </c>
      <c r="G1310" s="7" t="n">
        <f aca="false">ROUND(F1310*0.2,2)</f>
        <v>242.5</v>
      </c>
      <c r="H1310" s="4" t="str">
        <f aca="false">IF(F1310&gt;500,"Yüksek",IF(F1310&gt;100,"Orta","Düşük"))</f>
        <v>Yüksek</v>
      </c>
    </row>
    <row r="1311" customFormat="false" ht="12.8" hidden="false" customHeight="false" outlineLevel="0" collapsed="false">
      <c r="A1311" s="4" t="s">
        <v>23</v>
      </c>
      <c r="B1311" s="4" t="s">
        <v>17</v>
      </c>
      <c r="C1311" s="4" t="n">
        <v>7</v>
      </c>
      <c r="D1311" s="5" t="n">
        <v>27</v>
      </c>
      <c r="E1311" s="6" t="n">
        <f aca="false">DATE(2024,1,21)</f>
        <v>45312</v>
      </c>
      <c r="F1311" s="7" t="n">
        <f aca="false">C1311*D1311</f>
        <v>189</v>
      </c>
      <c r="G1311" s="7" t="n">
        <f aca="false">ROUND(F1311*0.2,2)</f>
        <v>37.8</v>
      </c>
      <c r="H1311" s="4" t="str">
        <f aca="false">IF(F1311&gt;500,"Yüksek",IF(F1311&gt;100,"Orta","Düşük"))</f>
        <v>Orta</v>
      </c>
    </row>
    <row r="1312" customFormat="false" ht="12.8" hidden="false" customHeight="false" outlineLevel="0" collapsed="false">
      <c r="A1312" s="4" t="s">
        <v>24</v>
      </c>
      <c r="B1312" s="4" t="s">
        <v>19</v>
      </c>
      <c r="C1312" s="4" t="n">
        <v>14</v>
      </c>
      <c r="D1312" s="5" t="n">
        <v>29.75</v>
      </c>
      <c r="E1312" s="6" t="n">
        <f aca="false">DATE(2024,2,22)</f>
        <v>45344</v>
      </c>
      <c r="F1312" s="7" t="n">
        <f aca="false">C1312*D1312</f>
        <v>416.5</v>
      </c>
      <c r="G1312" s="7" t="n">
        <f aca="false">ROUND(F1312*0.2,2)</f>
        <v>83.3</v>
      </c>
      <c r="H1312" s="4" t="str">
        <f aca="false">IF(F1312&gt;500,"Yüksek",IF(F1312&gt;100,"Orta","Düşük"))</f>
        <v>Orta</v>
      </c>
    </row>
    <row r="1313" customFormat="false" ht="12.8" hidden="false" customHeight="false" outlineLevel="0" collapsed="false">
      <c r="A1313" s="4" t="s">
        <v>10</v>
      </c>
      <c r="B1313" s="4" t="s">
        <v>11</v>
      </c>
      <c r="C1313" s="4" t="n">
        <v>21</v>
      </c>
      <c r="D1313" s="5" t="n">
        <v>32.5</v>
      </c>
      <c r="E1313" s="6" t="n">
        <f aca="false">DATE(2024,3,23)</f>
        <v>45374</v>
      </c>
      <c r="F1313" s="7" t="n">
        <f aca="false">C1313*D1313</f>
        <v>682.5</v>
      </c>
      <c r="G1313" s="7" t="n">
        <f aca="false">ROUND(F1313*0.2,2)</f>
        <v>136.5</v>
      </c>
      <c r="H1313" s="4" t="str">
        <f aca="false">IF(F1313&gt;500,"Yüksek",IF(F1313&gt;100,"Orta","Düşük"))</f>
        <v>Yüksek</v>
      </c>
    </row>
    <row r="1314" customFormat="false" ht="12.8" hidden="false" customHeight="false" outlineLevel="0" collapsed="false">
      <c r="A1314" s="4" t="s">
        <v>12</v>
      </c>
      <c r="B1314" s="4" t="s">
        <v>13</v>
      </c>
      <c r="C1314" s="4" t="n">
        <v>28</v>
      </c>
      <c r="D1314" s="5" t="n">
        <v>35.25</v>
      </c>
      <c r="E1314" s="6" t="n">
        <f aca="false">DATE(2024,4,24)</f>
        <v>45406</v>
      </c>
      <c r="F1314" s="7" t="n">
        <f aca="false">C1314*D1314</f>
        <v>987</v>
      </c>
      <c r="G1314" s="7" t="n">
        <f aca="false">ROUND(F1314*0.2,2)</f>
        <v>197.4</v>
      </c>
      <c r="H1314" s="4" t="str">
        <f aca="false">IF(F1314&gt;500,"Yüksek",IF(F1314&gt;100,"Orta","Düşük"))</f>
        <v>Yüksek</v>
      </c>
    </row>
    <row r="1315" customFormat="false" ht="12.8" hidden="false" customHeight="false" outlineLevel="0" collapsed="false">
      <c r="A1315" s="4" t="s">
        <v>14</v>
      </c>
      <c r="B1315" s="4" t="s">
        <v>15</v>
      </c>
      <c r="C1315" s="4" t="n">
        <v>35</v>
      </c>
      <c r="D1315" s="5" t="n">
        <v>38</v>
      </c>
      <c r="E1315" s="6" t="n">
        <f aca="false">DATE(2024,5,25)</f>
        <v>45437</v>
      </c>
      <c r="F1315" s="7" t="n">
        <f aca="false">C1315*D1315</f>
        <v>1330</v>
      </c>
      <c r="G1315" s="7" t="n">
        <f aca="false">ROUND(F1315*0.2,2)</f>
        <v>266</v>
      </c>
      <c r="H1315" s="4" t="str">
        <f aca="false">IF(F1315&gt;500,"Yüksek",IF(F1315&gt;100,"Orta","Düşük"))</f>
        <v>Yüksek</v>
      </c>
    </row>
    <row r="1316" customFormat="false" ht="12.8" hidden="false" customHeight="false" outlineLevel="0" collapsed="false">
      <c r="A1316" s="4" t="s">
        <v>16</v>
      </c>
      <c r="B1316" s="4" t="s">
        <v>17</v>
      </c>
      <c r="C1316" s="4" t="n">
        <v>42</v>
      </c>
      <c r="D1316" s="5" t="n">
        <v>5</v>
      </c>
      <c r="E1316" s="6" t="n">
        <f aca="false">DATE(2024,6,26)</f>
        <v>45469</v>
      </c>
      <c r="F1316" s="7" t="n">
        <f aca="false">C1316*D1316</f>
        <v>210</v>
      </c>
      <c r="G1316" s="7" t="n">
        <f aca="false">ROUND(F1316*0.2,2)</f>
        <v>42</v>
      </c>
      <c r="H1316" s="4" t="str">
        <f aca="false">IF(F1316&gt;500,"Yüksek",IF(F1316&gt;100,"Orta","Düşük"))</f>
        <v>Orta</v>
      </c>
    </row>
    <row r="1317" customFormat="false" ht="12.8" hidden="false" customHeight="false" outlineLevel="0" collapsed="false">
      <c r="A1317" s="4" t="s">
        <v>18</v>
      </c>
      <c r="B1317" s="4" t="s">
        <v>19</v>
      </c>
      <c r="C1317" s="4" t="n">
        <v>49</v>
      </c>
      <c r="D1317" s="5" t="n">
        <v>7.75</v>
      </c>
      <c r="E1317" s="6" t="n">
        <f aca="false">DATE(2024,7,27)</f>
        <v>45500</v>
      </c>
      <c r="F1317" s="7" t="n">
        <f aca="false">C1317*D1317</f>
        <v>379.75</v>
      </c>
      <c r="G1317" s="7" t="n">
        <f aca="false">ROUND(F1317*0.2,2)</f>
        <v>75.95</v>
      </c>
      <c r="H1317" s="4" t="str">
        <f aca="false">IF(F1317&gt;500,"Yüksek",IF(F1317&gt;100,"Orta","Düşük"))</f>
        <v>Orta</v>
      </c>
    </row>
    <row r="1318" customFormat="false" ht="12.8" hidden="false" customHeight="false" outlineLevel="0" collapsed="false">
      <c r="A1318" s="4" t="s">
        <v>20</v>
      </c>
      <c r="B1318" s="4" t="s">
        <v>11</v>
      </c>
      <c r="C1318" s="4" t="n">
        <v>6</v>
      </c>
      <c r="D1318" s="5" t="n">
        <v>10.5</v>
      </c>
      <c r="E1318" s="6" t="n">
        <f aca="false">DATE(2024,8,28)</f>
        <v>45532</v>
      </c>
      <c r="F1318" s="7" t="n">
        <f aca="false">C1318*D1318</f>
        <v>63</v>
      </c>
      <c r="G1318" s="7" t="n">
        <f aca="false">ROUND(F1318*0.2,2)</f>
        <v>12.6</v>
      </c>
      <c r="H1318" s="4" t="str">
        <f aca="false">IF(F1318&gt;500,"Yüksek",IF(F1318&gt;100,"Orta","Düşük"))</f>
        <v>Düşük</v>
      </c>
    </row>
    <row r="1319" customFormat="false" ht="12.8" hidden="false" customHeight="false" outlineLevel="0" collapsed="false">
      <c r="A1319" s="4" t="s">
        <v>21</v>
      </c>
      <c r="B1319" s="4" t="s">
        <v>13</v>
      </c>
      <c r="C1319" s="4" t="n">
        <v>13</v>
      </c>
      <c r="D1319" s="5" t="n">
        <v>13.25</v>
      </c>
      <c r="E1319" s="6" t="n">
        <f aca="false">DATE(2024,9,1)</f>
        <v>45536</v>
      </c>
      <c r="F1319" s="7" t="n">
        <f aca="false">C1319*D1319</f>
        <v>172.25</v>
      </c>
      <c r="G1319" s="7" t="n">
        <f aca="false">ROUND(F1319*0.2,2)</f>
        <v>34.45</v>
      </c>
      <c r="H1319" s="4" t="str">
        <f aca="false">IF(F1319&gt;500,"Yüksek",IF(F1319&gt;100,"Orta","Düşük"))</f>
        <v>Orta</v>
      </c>
    </row>
    <row r="1320" customFormat="false" ht="12.8" hidden="false" customHeight="false" outlineLevel="0" collapsed="false">
      <c r="A1320" s="4" t="s">
        <v>22</v>
      </c>
      <c r="B1320" s="4" t="s">
        <v>15</v>
      </c>
      <c r="C1320" s="4" t="n">
        <v>20</v>
      </c>
      <c r="D1320" s="5" t="n">
        <v>16</v>
      </c>
      <c r="E1320" s="6" t="n">
        <f aca="false">DATE(2024,10,2)</f>
        <v>45567</v>
      </c>
      <c r="F1320" s="7" t="n">
        <f aca="false">C1320*D1320</f>
        <v>320</v>
      </c>
      <c r="G1320" s="7" t="n">
        <f aca="false">ROUND(F1320*0.2,2)</f>
        <v>64</v>
      </c>
      <c r="H1320" s="4" t="str">
        <f aca="false">IF(F1320&gt;500,"Yüksek",IF(F1320&gt;100,"Orta","Düşük"))</f>
        <v>Orta</v>
      </c>
    </row>
    <row r="1321" customFormat="false" ht="12.8" hidden="false" customHeight="false" outlineLevel="0" collapsed="false">
      <c r="A1321" s="4" t="s">
        <v>23</v>
      </c>
      <c r="B1321" s="4" t="s">
        <v>17</v>
      </c>
      <c r="C1321" s="4" t="n">
        <v>27</v>
      </c>
      <c r="D1321" s="5" t="n">
        <v>18.75</v>
      </c>
      <c r="E1321" s="6" t="n">
        <f aca="false">DATE(2024,11,3)</f>
        <v>45599</v>
      </c>
      <c r="F1321" s="7" t="n">
        <f aca="false">C1321*D1321</f>
        <v>506.25</v>
      </c>
      <c r="G1321" s="7" t="n">
        <f aca="false">ROUND(F1321*0.2,2)</f>
        <v>101.25</v>
      </c>
      <c r="H1321" s="4" t="str">
        <f aca="false">IF(F1321&gt;500,"Yüksek",IF(F1321&gt;100,"Orta","Düşük"))</f>
        <v>Yüksek</v>
      </c>
    </row>
    <row r="1322" customFormat="false" ht="12.8" hidden="false" customHeight="false" outlineLevel="0" collapsed="false">
      <c r="A1322" s="4" t="s">
        <v>24</v>
      </c>
      <c r="B1322" s="4" t="s">
        <v>19</v>
      </c>
      <c r="C1322" s="4" t="n">
        <v>34</v>
      </c>
      <c r="D1322" s="5" t="n">
        <v>21.5</v>
      </c>
      <c r="E1322" s="6" t="n">
        <f aca="false">DATE(2024,12,4)</f>
        <v>45630</v>
      </c>
      <c r="F1322" s="7" t="n">
        <f aca="false">C1322*D1322</f>
        <v>731</v>
      </c>
      <c r="G1322" s="7" t="n">
        <f aca="false">ROUND(F1322*0.2,2)</f>
        <v>146.2</v>
      </c>
      <c r="H1322" s="4" t="str">
        <f aca="false">IF(F1322&gt;500,"Yüksek",IF(F1322&gt;100,"Orta","Düşük"))</f>
        <v>Yüksek</v>
      </c>
    </row>
    <row r="1323" customFormat="false" ht="12.8" hidden="false" customHeight="false" outlineLevel="0" collapsed="false">
      <c r="A1323" s="4" t="s">
        <v>10</v>
      </c>
      <c r="B1323" s="4" t="s">
        <v>11</v>
      </c>
      <c r="C1323" s="4" t="n">
        <v>41</v>
      </c>
      <c r="D1323" s="5" t="n">
        <v>24.25</v>
      </c>
      <c r="E1323" s="6" t="n">
        <f aca="false">DATE(2024,1,5)</f>
        <v>45296</v>
      </c>
      <c r="F1323" s="7" t="n">
        <f aca="false">C1323*D1323</f>
        <v>994.25</v>
      </c>
      <c r="G1323" s="7" t="n">
        <f aca="false">ROUND(F1323*0.2,2)</f>
        <v>198.85</v>
      </c>
      <c r="H1323" s="4" t="str">
        <f aca="false">IF(F1323&gt;500,"Yüksek",IF(F1323&gt;100,"Orta","Düşük"))</f>
        <v>Yüksek</v>
      </c>
    </row>
    <row r="1324" customFormat="false" ht="12.8" hidden="false" customHeight="false" outlineLevel="0" collapsed="false">
      <c r="A1324" s="4" t="s">
        <v>12</v>
      </c>
      <c r="B1324" s="4" t="s">
        <v>13</v>
      </c>
      <c r="C1324" s="4" t="n">
        <v>48</v>
      </c>
      <c r="D1324" s="5" t="n">
        <v>27</v>
      </c>
      <c r="E1324" s="6" t="n">
        <f aca="false">DATE(2024,2,6)</f>
        <v>45328</v>
      </c>
      <c r="F1324" s="7" t="n">
        <f aca="false">C1324*D1324</f>
        <v>1296</v>
      </c>
      <c r="G1324" s="7" t="n">
        <f aca="false">ROUND(F1324*0.2,2)</f>
        <v>259.2</v>
      </c>
      <c r="H1324" s="4" t="str">
        <f aca="false">IF(F1324&gt;500,"Yüksek",IF(F1324&gt;100,"Orta","Düşük"))</f>
        <v>Yüksek</v>
      </c>
    </row>
    <row r="1325" customFormat="false" ht="12.8" hidden="false" customHeight="false" outlineLevel="0" collapsed="false">
      <c r="A1325" s="4" t="s">
        <v>14</v>
      </c>
      <c r="B1325" s="4" t="s">
        <v>15</v>
      </c>
      <c r="C1325" s="4" t="n">
        <v>5</v>
      </c>
      <c r="D1325" s="5" t="n">
        <v>29.75</v>
      </c>
      <c r="E1325" s="6" t="n">
        <f aca="false">DATE(2024,3,7)</f>
        <v>45358</v>
      </c>
      <c r="F1325" s="7" t="n">
        <f aca="false">C1325*D1325</f>
        <v>148.75</v>
      </c>
      <c r="G1325" s="7" t="n">
        <f aca="false">ROUND(F1325*0.2,2)</f>
        <v>29.75</v>
      </c>
      <c r="H1325" s="4" t="str">
        <f aca="false">IF(F1325&gt;500,"Yüksek",IF(F1325&gt;100,"Orta","Düşük"))</f>
        <v>Orta</v>
      </c>
    </row>
    <row r="1326" customFormat="false" ht="12.8" hidden="false" customHeight="false" outlineLevel="0" collapsed="false">
      <c r="A1326" s="4" t="s">
        <v>16</v>
      </c>
      <c r="B1326" s="4" t="s">
        <v>17</v>
      </c>
      <c r="C1326" s="4" t="n">
        <v>12</v>
      </c>
      <c r="D1326" s="5" t="n">
        <v>32.5</v>
      </c>
      <c r="E1326" s="6" t="n">
        <f aca="false">DATE(2024,4,8)</f>
        <v>45390</v>
      </c>
      <c r="F1326" s="7" t="n">
        <f aca="false">C1326*D1326</f>
        <v>390</v>
      </c>
      <c r="G1326" s="7" t="n">
        <f aca="false">ROUND(F1326*0.2,2)</f>
        <v>78</v>
      </c>
      <c r="H1326" s="4" t="str">
        <f aca="false">IF(F1326&gt;500,"Yüksek",IF(F1326&gt;100,"Orta","Düşük"))</f>
        <v>Orta</v>
      </c>
    </row>
    <row r="1327" customFormat="false" ht="12.8" hidden="false" customHeight="false" outlineLevel="0" collapsed="false">
      <c r="A1327" s="4" t="s">
        <v>18</v>
      </c>
      <c r="B1327" s="4" t="s">
        <v>19</v>
      </c>
      <c r="C1327" s="4" t="n">
        <v>19</v>
      </c>
      <c r="D1327" s="5" t="n">
        <v>35.25</v>
      </c>
      <c r="E1327" s="6" t="n">
        <f aca="false">DATE(2024,5,9)</f>
        <v>45421</v>
      </c>
      <c r="F1327" s="7" t="n">
        <f aca="false">C1327*D1327</f>
        <v>669.75</v>
      </c>
      <c r="G1327" s="7" t="n">
        <f aca="false">ROUND(F1327*0.2,2)</f>
        <v>133.95</v>
      </c>
      <c r="H1327" s="4" t="str">
        <f aca="false">IF(F1327&gt;500,"Yüksek",IF(F1327&gt;100,"Orta","Düşük"))</f>
        <v>Yüksek</v>
      </c>
    </row>
    <row r="1328" customFormat="false" ht="12.8" hidden="false" customHeight="false" outlineLevel="0" collapsed="false">
      <c r="A1328" s="4" t="s">
        <v>20</v>
      </c>
      <c r="B1328" s="4" t="s">
        <v>11</v>
      </c>
      <c r="C1328" s="4" t="n">
        <v>26</v>
      </c>
      <c r="D1328" s="5" t="n">
        <v>38</v>
      </c>
      <c r="E1328" s="6" t="n">
        <f aca="false">DATE(2024,6,10)</f>
        <v>45453</v>
      </c>
      <c r="F1328" s="7" t="n">
        <f aca="false">C1328*D1328</f>
        <v>988</v>
      </c>
      <c r="G1328" s="7" t="n">
        <f aca="false">ROUND(F1328*0.2,2)</f>
        <v>197.6</v>
      </c>
      <c r="H1328" s="4" t="str">
        <f aca="false">IF(F1328&gt;500,"Yüksek",IF(F1328&gt;100,"Orta","Düşük"))</f>
        <v>Yüksek</v>
      </c>
    </row>
    <row r="1329" customFormat="false" ht="12.8" hidden="false" customHeight="false" outlineLevel="0" collapsed="false">
      <c r="A1329" s="4" t="s">
        <v>21</v>
      </c>
      <c r="B1329" s="4" t="s">
        <v>13</v>
      </c>
      <c r="C1329" s="4" t="n">
        <v>33</v>
      </c>
      <c r="D1329" s="5" t="n">
        <v>5</v>
      </c>
      <c r="E1329" s="6" t="n">
        <f aca="false">DATE(2024,7,11)</f>
        <v>45484</v>
      </c>
      <c r="F1329" s="7" t="n">
        <f aca="false">C1329*D1329</f>
        <v>165</v>
      </c>
      <c r="G1329" s="7" t="n">
        <f aca="false">ROUND(F1329*0.2,2)</f>
        <v>33</v>
      </c>
      <c r="H1329" s="4" t="str">
        <f aca="false">IF(F1329&gt;500,"Yüksek",IF(F1329&gt;100,"Orta","Düşük"))</f>
        <v>Orta</v>
      </c>
    </row>
    <row r="1330" customFormat="false" ht="12.8" hidden="false" customHeight="false" outlineLevel="0" collapsed="false">
      <c r="A1330" s="4" t="s">
        <v>22</v>
      </c>
      <c r="B1330" s="4" t="s">
        <v>15</v>
      </c>
      <c r="C1330" s="4" t="n">
        <v>40</v>
      </c>
      <c r="D1330" s="5" t="n">
        <v>7.75</v>
      </c>
      <c r="E1330" s="6" t="n">
        <f aca="false">DATE(2024,8,12)</f>
        <v>45516</v>
      </c>
      <c r="F1330" s="7" t="n">
        <f aca="false">C1330*D1330</f>
        <v>310</v>
      </c>
      <c r="G1330" s="7" t="n">
        <f aca="false">ROUND(F1330*0.2,2)</f>
        <v>62</v>
      </c>
      <c r="H1330" s="4" t="str">
        <f aca="false">IF(F1330&gt;500,"Yüksek",IF(F1330&gt;100,"Orta","Düşük"))</f>
        <v>Orta</v>
      </c>
    </row>
    <row r="1331" customFormat="false" ht="12.8" hidden="false" customHeight="false" outlineLevel="0" collapsed="false">
      <c r="A1331" s="4" t="s">
        <v>23</v>
      </c>
      <c r="B1331" s="4" t="s">
        <v>17</v>
      </c>
      <c r="C1331" s="4" t="n">
        <v>47</v>
      </c>
      <c r="D1331" s="5" t="n">
        <v>10.5</v>
      </c>
      <c r="E1331" s="6" t="n">
        <f aca="false">DATE(2024,9,13)</f>
        <v>45548</v>
      </c>
      <c r="F1331" s="7" t="n">
        <f aca="false">C1331*D1331</f>
        <v>493.5</v>
      </c>
      <c r="G1331" s="7" t="n">
        <f aca="false">ROUND(F1331*0.2,2)</f>
        <v>98.7</v>
      </c>
      <c r="H1331" s="4" t="str">
        <f aca="false">IF(F1331&gt;500,"Yüksek",IF(F1331&gt;100,"Orta","Düşük"))</f>
        <v>Orta</v>
      </c>
    </row>
    <row r="1332" customFormat="false" ht="12.8" hidden="false" customHeight="false" outlineLevel="0" collapsed="false">
      <c r="A1332" s="4" t="s">
        <v>24</v>
      </c>
      <c r="B1332" s="4" t="s">
        <v>19</v>
      </c>
      <c r="C1332" s="4" t="n">
        <v>4</v>
      </c>
      <c r="D1332" s="5" t="n">
        <v>13.25</v>
      </c>
      <c r="E1332" s="6" t="n">
        <f aca="false">DATE(2024,10,14)</f>
        <v>45579</v>
      </c>
      <c r="F1332" s="7" t="n">
        <f aca="false">C1332*D1332</f>
        <v>53</v>
      </c>
      <c r="G1332" s="7" t="n">
        <f aca="false">ROUND(F1332*0.2,2)</f>
        <v>10.6</v>
      </c>
      <c r="H1332" s="4" t="str">
        <f aca="false">IF(F1332&gt;500,"Yüksek",IF(F1332&gt;100,"Orta","Düşük"))</f>
        <v>Düşük</v>
      </c>
    </row>
    <row r="1333" customFormat="false" ht="12.8" hidden="false" customHeight="false" outlineLevel="0" collapsed="false">
      <c r="A1333" s="4" t="s">
        <v>10</v>
      </c>
      <c r="B1333" s="4" t="s">
        <v>11</v>
      </c>
      <c r="C1333" s="4" t="n">
        <v>11</v>
      </c>
      <c r="D1333" s="5" t="n">
        <v>16</v>
      </c>
      <c r="E1333" s="6" t="n">
        <f aca="false">DATE(2024,11,15)</f>
        <v>45611</v>
      </c>
      <c r="F1333" s="7" t="n">
        <f aca="false">C1333*D1333</f>
        <v>176</v>
      </c>
      <c r="G1333" s="7" t="n">
        <f aca="false">ROUND(F1333*0.2,2)</f>
        <v>35.2</v>
      </c>
      <c r="H1333" s="4" t="str">
        <f aca="false">IF(F1333&gt;500,"Yüksek",IF(F1333&gt;100,"Orta","Düşük"))</f>
        <v>Orta</v>
      </c>
    </row>
    <row r="1334" customFormat="false" ht="12.8" hidden="false" customHeight="false" outlineLevel="0" collapsed="false">
      <c r="A1334" s="4" t="s">
        <v>12</v>
      </c>
      <c r="B1334" s="4" t="s">
        <v>13</v>
      </c>
      <c r="C1334" s="4" t="n">
        <v>18</v>
      </c>
      <c r="D1334" s="5" t="n">
        <v>18.75</v>
      </c>
      <c r="E1334" s="6" t="n">
        <f aca="false">DATE(2024,12,16)</f>
        <v>45642</v>
      </c>
      <c r="F1334" s="7" t="n">
        <f aca="false">C1334*D1334</f>
        <v>337.5</v>
      </c>
      <c r="G1334" s="7" t="n">
        <f aca="false">ROUND(F1334*0.2,2)</f>
        <v>67.5</v>
      </c>
      <c r="H1334" s="4" t="str">
        <f aca="false">IF(F1334&gt;500,"Yüksek",IF(F1334&gt;100,"Orta","Düşük"))</f>
        <v>Orta</v>
      </c>
    </row>
    <row r="1335" customFormat="false" ht="12.8" hidden="false" customHeight="false" outlineLevel="0" collapsed="false">
      <c r="A1335" s="4" t="s">
        <v>14</v>
      </c>
      <c r="B1335" s="4" t="s">
        <v>15</v>
      </c>
      <c r="C1335" s="4" t="n">
        <v>25</v>
      </c>
      <c r="D1335" s="5" t="n">
        <v>21.5</v>
      </c>
      <c r="E1335" s="6" t="n">
        <f aca="false">DATE(2024,1,17)</f>
        <v>45308</v>
      </c>
      <c r="F1335" s="7" t="n">
        <f aca="false">C1335*D1335</f>
        <v>537.5</v>
      </c>
      <c r="G1335" s="7" t="n">
        <f aca="false">ROUND(F1335*0.2,2)</f>
        <v>107.5</v>
      </c>
      <c r="H1335" s="4" t="str">
        <f aca="false">IF(F1335&gt;500,"Yüksek",IF(F1335&gt;100,"Orta","Düşük"))</f>
        <v>Yüksek</v>
      </c>
    </row>
    <row r="1336" customFormat="false" ht="12.8" hidden="false" customHeight="false" outlineLevel="0" collapsed="false">
      <c r="A1336" s="4" t="s">
        <v>16</v>
      </c>
      <c r="B1336" s="4" t="s">
        <v>17</v>
      </c>
      <c r="C1336" s="4" t="n">
        <v>32</v>
      </c>
      <c r="D1336" s="5" t="n">
        <v>24.25</v>
      </c>
      <c r="E1336" s="6" t="n">
        <f aca="false">DATE(2024,2,18)</f>
        <v>45340</v>
      </c>
      <c r="F1336" s="7" t="n">
        <f aca="false">C1336*D1336</f>
        <v>776</v>
      </c>
      <c r="G1336" s="7" t="n">
        <f aca="false">ROUND(F1336*0.2,2)</f>
        <v>155.2</v>
      </c>
      <c r="H1336" s="4" t="str">
        <f aca="false">IF(F1336&gt;500,"Yüksek",IF(F1336&gt;100,"Orta","Düşük"))</f>
        <v>Yüksek</v>
      </c>
    </row>
    <row r="1337" customFormat="false" ht="12.8" hidden="false" customHeight="false" outlineLevel="0" collapsed="false">
      <c r="A1337" s="4" t="s">
        <v>18</v>
      </c>
      <c r="B1337" s="4" t="s">
        <v>19</v>
      </c>
      <c r="C1337" s="4" t="n">
        <v>39</v>
      </c>
      <c r="D1337" s="5" t="n">
        <v>27</v>
      </c>
      <c r="E1337" s="6" t="n">
        <f aca="false">DATE(2024,3,19)</f>
        <v>45370</v>
      </c>
      <c r="F1337" s="7" t="n">
        <f aca="false">C1337*D1337</f>
        <v>1053</v>
      </c>
      <c r="G1337" s="7" t="n">
        <f aca="false">ROUND(F1337*0.2,2)</f>
        <v>210.6</v>
      </c>
      <c r="H1337" s="4" t="str">
        <f aca="false">IF(F1337&gt;500,"Yüksek",IF(F1337&gt;100,"Orta","Düşük"))</f>
        <v>Yüksek</v>
      </c>
    </row>
    <row r="1338" customFormat="false" ht="12.8" hidden="false" customHeight="false" outlineLevel="0" collapsed="false">
      <c r="A1338" s="4" t="s">
        <v>20</v>
      </c>
      <c r="B1338" s="4" t="s">
        <v>11</v>
      </c>
      <c r="C1338" s="4" t="n">
        <v>46</v>
      </c>
      <c r="D1338" s="5" t="n">
        <v>29.75</v>
      </c>
      <c r="E1338" s="6" t="n">
        <f aca="false">DATE(2024,4,20)</f>
        <v>45402</v>
      </c>
      <c r="F1338" s="7" t="n">
        <f aca="false">C1338*D1338</f>
        <v>1368.5</v>
      </c>
      <c r="G1338" s="7" t="n">
        <f aca="false">ROUND(F1338*0.2,2)</f>
        <v>273.7</v>
      </c>
      <c r="H1338" s="4" t="str">
        <f aca="false">IF(F1338&gt;500,"Yüksek",IF(F1338&gt;100,"Orta","Düşük"))</f>
        <v>Yüksek</v>
      </c>
    </row>
    <row r="1339" customFormat="false" ht="12.8" hidden="false" customHeight="false" outlineLevel="0" collapsed="false">
      <c r="A1339" s="4" t="s">
        <v>21</v>
      </c>
      <c r="B1339" s="4" t="s">
        <v>13</v>
      </c>
      <c r="C1339" s="4" t="n">
        <v>3</v>
      </c>
      <c r="D1339" s="5" t="n">
        <v>32.5</v>
      </c>
      <c r="E1339" s="6" t="n">
        <f aca="false">DATE(2024,5,21)</f>
        <v>45433</v>
      </c>
      <c r="F1339" s="7" t="n">
        <f aca="false">C1339*D1339</f>
        <v>97.5</v>
      </c>
      <c r="G1339" s="7" t="n">
        <f aca="false">ROUND(F1339*0.2,2)</f>
        <v>19.5</v>
      </c>
      <c r="H1339" s="4" t="str">
        <f aca="false">IF(F1339&gt;500,"Yüksek",IF(F1339&gt;100,"Orta","Düşük"))</f>
        <v>Düşük</v>
      </c>
    </row>
    <row r="1340" customFormat="false" ht="12.8" hidden="false" customHeight="false" outlineLevel="0" collapsed="false">
      <c r="A1340" s="4" t="s">
        <v>22</v>
      </c>
      <c r="B1340" s="4" t="s">
        <v>15</v>
      </c>
      <c r="C1340" s="4" t="n">
        <v>10</v>
      </c>
      <c r="D1340" s="5" t="n">
        <v>35.25</v>
      </c>
      <c r="E1340" s="6" t="n">
        <f aca="false">DATE(2024,6,22)</f>
        <v>45465</v>
      </c>
      <c r="F1340" s="7" t="n">
        <f aca="false">C1340*D1340</f>
        <v>352.5</v>
      </c>
      <c r="G1340" s="7" t="n">
        <f aca="false">ROUND(F1340*0.2,2)</f>
        <v>70.5</v>
      </c>
      <c r="H1340" s="4" t="str">
        <f aca="false">IF(F1340&gt;500,"Yüksek",IF(F1340&gt;100,"Orta","Düşük"))</f>
        <v>Orta</v>
      </c>
    </row>
    <row r="1341" customFormat="false" ht="12.8" hidden="false" customHeight="false" outlineLevel="0" collapsed="false">
      <c r="A1341" s="4" t="s">
        <v>23</v>
      </c>
      <c r="B1341" s="4" t="s">
        <v>17</v>
      </c>
      <c r="C1341" s="4" t="n">
        <v>17</v>
      </c>
      <c r="D1341" s="5" t="n">
        <v>38</v>
      </c>
      <c r="E1341" s="6" t="n">
        <f aca="false">DATE(2024,7,23)</f>
        <v>45496</v>
      </c>
      <c r="F1341" s="7" t="n">
        <f aca="false">C1341*D1341</f>
        <v>646</v>
      </c>
      <c r="G1341" s="7" t="n">
        <f aca="false">ROUND(F1341*0.2,2)</f>
        <v>129.2</v>
      </c>
      <c r="H1341" s="4" t="str">
        <f aca="false">IF(F1341&gt;500,"Yüksek",IF(F1341&gt;100,"Orta","Düşük"))</f>
        <v>Yüksek</v>
      </c>
    </row>
    <row r="1342" customFormat="false" ht="12.8" hidden="false" customHeight="false" outlineLevel="0" collapsed="false">
      <c r="A1342" s="4" t="s">
        <v>24</v>
      </c>
      <c r="B1342" s="4" t="s">
        <v>19</v>
      </c>
      <c r="C1342" s="4" t="n">
        <v>24</v>
      </c>
      <c r="D1342" s="5" t="n">
        <v>5</v>
      </c>
      <c r="E1342" s="6" t="n">
        <f aca="false">DATE(2024,8,24)</f>
        <v>45528</v>
      </c>
      <c r="F1342" s="7" t="n">
        <f aca="false">C1342*D1342</f>
        <v>120</v>
      </c>
      <c r="G1342" s="7" t="n">
        <f aca="false">ROUND(F1342*0.2,2)</f>
        <v>24</v>
      </c>
      <c r="H1342" s="4" t="str">
        <f aca="false">IF(F1342&gt;500,"Yüksek",IF(F1342&gt;100,"Orta","Düşük"))</f>
        <v>Orta</v>
      </c>
    </row>
    <row r="1343" customFormat="false" ht="12.8" hidden="false" customHeight="false" outlineLevel="0" collapsed="false">
      <c r="A1343" s="4" t="s">
        <v>10</v>
      </c>
      <c r="B1343" s="4" t="s">
        <v>11</v>
      </c>
      <c r="C1343" s="4" t="n">
        <v>31</v>
      </c>
      <c r="D1343" s="5" t="n">
        <v>7.75</v>
      </c>
      <c r="E1343" s="6" t="n">
        <f aca="false">DATE(2024,9,25)</f>
        <v>45560</v>
      </c>
      <c r="F1343" s="7" t="n">
        <f aca="false">C1343*D1343</f>
        <v>240.25</v>
      </c>
      <c r="G1343" s="7" t="n">
        <f aca="false">ROUND(F1343*0.2,2)</f>
        <v>48.05</v>
      </c>
      <c r="H1343" s="4" t="str">
        <f aca="false">IF(F1343&gt;500,"Yüksek",IF(F1343&gt;100,"Orta","Düşük"))</f>
        <v>Orta</v>
      </c>
    </row>
    <row r="1344" customFormat="false" ht="12.8" hidden="false" customHeight="false" outlineLevel="0" collapsed="false">
      <c r="A1344" s="4" t="s">
        <v>12</v>
      </c>
      <c r="B1344" s="4" t="s">
        <v>13</v>
      </c>
      <c r="C1344" s="4" t="n">
        <v>38</v>
      </c>
      <c r="D1344" s="5" t="n">
        <v>10.5</v>
      </c>
      <c r="E1344" s="6" t="n">
        <f aca="false">DATE(2024,10,26)</f>
        <v>45591</v>
      </c>
      <c r="F1344" s="7" t="n">
        <f aca="false">C1344*D1344</f>
        <v>399</v>
      </c>
      <c r="G1344" s="7" t="n">
        <f aca="false">ROUND(F1344*0.2,2)</f>
        <v>79.8</v>
      </c>
      <c r="H1344" s="4" t="str">
        <f aca="false">IF(F1344&gt;500,"Yüksek",IF(F1344&gt;100,"Orta","Düşük"))</f>
        <v>Orta</v>
      </c>
    </row>
    <row r="1345" customFormat="false" ht="12.8" hidden="false" customHeight="false" outlineLevel="0" collapsed="false">
      <c r="A1345" s="4" t="s">
        <v>14</v>
      </c>
      <c r="B1345" s="4" t="s">
        <v>15</v>
      </c>
      <c r="C1345" s="4" t="n">
        <v>45</v>
      </c>
      <c r="D1345" s="5" t="n">
        <v>13.25</v>
      </c>
      <c r="E1345" s="6" t="n">
        <f aca="false">DATE(2024,11,27)</f>
        <v>45623</v>
      </c>
      <c r="F1345" s="7" t="n">
        <f aca="false">C1345*D1345</f>
        <v>596.25</v>
      </c>
      <c r="G1345" s="7" t="n">
        <f aca="false">ROUND(F1345*0.2,2)</f>
        <v>119.25</v>
      </c>
      <c r="H1345" s="4" t="str">
        <f aca="false">IF(F1345&gt;500,"Yüksek",IF(F1345&gt;100,"Orta","Düşük"))</f>
        <v>Yüksek</v>
      </c>
    </row>
    <row r="1346" customFormat="false" ht="12.8" hidden="false" customHeight="false" outlineLevel="0" collapsed="false">
      <c r="A1346" s="4" t="s">
        <v>16</v>
      </c>
      <c r="B1346" s="4" t="s">
        <v>17</v>
      </c>
      <c r="C1346" s="4" t="n">
        <v>2</v>
      </c>
      <c r="D1346" s="5" t="n">
        <v>16</v>
      </c>
      <c r="E1346" s="6" t="n">
        <f aca="false">DATE(2024,12,28)</f>
        <v>45654</v>
      </c>
      <c r="F1346" s="7" t="n">
        <f aca="false">C1346*D1346</f>
        <v>32</v>
      </c>
      <c r="G1346" s="7" t="n">
        <f aca="false">ROUND(F1346*0.2,2)</f>
        <v>6.4</v>
      </c>
      <c r="H1346" s="4" t="str">
        <f aca="false">IF(F1346&gt;500,"Yüksek",IF(F1346&gt;100,"Orta","Düşük"))</f>
        <v>Düşük</v>
      </c>
    </row>
    <row r="1347" customFormat="false" ht="12.8" hidden="false" customHeight="false" outlineLevel="0" collapsed="false">
      <c r="A1347" s="4" t="s">
        <v>18</v>
      </c>
      <c r="B1347" s="4" t="s">
        <v>19</v>
      </c>
      <c r="C1347" s="4" t="n">
        <v>9</v>
      </c>
      <c r="D1347" s="5" t="n">
        <v>18.75</v>
      </c>
      <c r="E1347" s="6" t="n">
        <f aca="false">DATE(2024,1,1)</f>
        <v>45292</v>
      </c>
      <c r="F1347" s="7" t="n">
        <f aca="false">C1347*D1347</f>
        <v>168.75</v>
      </c>
      <c r="G1347" s="7" t="n">
        <f aca="false">ROUND(F1347*0.2,2)</f>
        <v>33.75</v>
      </c>
      <c r="H1347" s="4" t="str">
        <f aca="false">IF(F1347&gt;500,"Yüksek",IF(F1347&gt;100,"Orta","Düşük"))</f>
        <v>Orta</v>
      </c>
    </row>
    <row r="1348" customFormat="false" ht="12.8" hidden="false" customHeight="false" outlineLevel="0" collapsed="false">
      <c r="A1348" s="4" t="s">
        <v>20</v>
      </c>
      <c r="B1348" s="4" t="s">
        <v>11</v>
      </c>
      <c r="C1348" s="4" t="n">
        <v>16</v>
      </c>
      <c r="D1348" s="5" t="n">
        <v>21.5</v>
      </c>
      <c r="E1348" s="6" t="n">
        <f aca="false">DATE(2024,2,2)</f>
        <v>45324</v>
      </c>
      <c r="F1348" s="7" t="n">
        <f aca="false">C1348*D1348</f>
        <v>344</v>
      </c>
      <c r="G1348" s="7" t="n">
        <f aca="false">ROUND(F1348*0.2,2)</f>
        <v>68.8</v>
      </c>
      <c r="H1348" s="4" t="str">
        <f aca="false">IF(F1348&gt;500,"Yüksek",IF(F1348&gt;100,"Orta","Düşük"))</f>
        <v>Orta</v>
      </c>
    </row>
    <row r="1349" customFormat="false" ht="12.8" hidden="false" customHeight="false" outlineLevel="0" collapsed="false">
      <c r="A1349" s="4" t="s">
        <v>21</v>
      </c>
      <c r="B1349" s="4" t="s">
        <v>13</v>
      </c>
      <c r="C1349" s="4" t="n">
        <v>23</v>
      </c>
      <c r="D1349" s="5" t="n">
        <v>24.25</v>
      </c>
      <c r="E1349" s="6" t="n">
        <f aca="false">DATE(2024,3,3)</f>
        <v>45354</v>
      </c>
      <c r="F1349" s="7" t="n">
        <f aca="false">C1349*D1349</f>
        <v>557.75</v>
      </c>
      <c r="G1349" s="7" t="n">
        <f aca="false">ROUND(F1349*0.2,2)</f>
        <v>111.55</v>
      </c>
      <c r="H1349" s="4" t="str">
        <f aca="false">IF(F1349&gt;500,"Yüksek",IF(F1349&gt;100,"Orta","Düşük"))</f>
        <v>Yüksek</v>
      </c>
    </row>
    <row r="1350" customFormat="false" ht="12.8" hidden="false" customHeight="false" outlineLevel="0" collapsed="false">
      <c r="A1350" s="4" t="s">
        <v>22</v>
      </c>
      <c r="B1350" s="4" t="s">
        <v>15</v>
      </c>
      <c r="C1350" s="4" t="n">
        <v>30</v>
      </c>
      <c r="D1350" s="5" t="n">
        <v>27</v>
      </c>
      <c r="E1350" s="6" t="n">
        <f aca="false">DATE(2024,4,4)</f>
        <v>45386</v>
      </c>
      <c r="F1350" s="7" t="n">
        <f aca="false">C1350*D1350</f>
        <v>810</v>
      </c>
      <c r="G1350" s="7" t="n">
        <f aca="false">ROUND(F1350*0.2,2)</f>
        <v>162</v>
      </c>
      <c r="H1350" s="4" t="str">
        <f aca="false">IF(F1350&gt;500,"Yüksek",IF(F1350&gt;100,"Orta","Düşük"))</f>
        <v>Yüksek</v>
      </c>
    </row>
    <row r="1351" customFormat="false" ht="12.8" hidden="false" customHeight="false" outlineLevel="0" collapsed="false">
      <c r="A1351" s="4" t="s">
        <v>23</v>
      </c>
      <c r="B1351" s="4" t="s">
        <v>17</v>
      </c>
      <c r="C1351" s="4" t="n">
        <v>37</v>
      </c>
      <c r="D1351" s="5" t="n">
        <v>29.75</v>
      </c>
      <c r="E1351" s="6" t="n">
        <f aca="false">DATE(2024,5,5)</f>
        <v>45417</v>
      </c>
      <c r="F1351" s="7" t="n">
        <f aca="false">C1351*D1351</f>
        <v>1100.75</v>
      </c>
      <c r="G1351" s="7" t="n">
        <f aca="false">ROUND(F1351*0.2,2)</f>
        <v>220.15</v>
      </c>
      <c r="H1351" s="4" t="str">
        <f aca="false">IF(F1351&gt;500,"Yüksek",IF(F1351&gt;100,"Orta","Düşük"))</f>
        <v>Yüksek</v>
      </c>
    </row>
    <row r="1352" customFormat="false" ht="12.8" hidden="false" customHeight="false" outlineLevel="0" collapsed="false">
      <c r="A1352" s="4" t="s">
        <v>24</v>
      </c>
      <c r="B1352" s="4" t="s">
        <v>19</v>
      </c>
      <c r="C1352" s="4" t="n">
        <v>44</v>
      </c>
      <c r="D1352" s="5" t="n">
        <v>32.5</v>
      </c>
      <c r="E1352" s="6" t="n">
        <f aca="false">DATE(2024,6,6)</f>
        <v>45449</v>
      </c>
      <c r="F1352" s="7" t="n">
        <f aca="false">C1352*D1352</f>
        <v>1430</v>
      </c>
      <c r="G1352" s="7" t="n">
        <f aca="false">ROUND(F1352*0.2,2)</f>
        <v>286</v>
      </c>
      <c r="H1352" s="4" t="str">
        <f aca="false">IF(F1352&gt;500,"Yüksek",IF(F1352&gt;100,"Orta","Düşük"))</f>
        <v>Yüksek</v>
      </c>
    </row>
    <row r="1353" customFormat="false" ht="12.8" hidden="false" customHeight="false" outlineLevel="0" collapsed="false">
      <c r="A1353" s="4" t="s">
        <v>10</v>
      </c>
      <c r="B1353" s="4" t="s">
        <v>11</v>
      </c>
      <c r="C1353" s="4" t="n">
        <v>1</v>
      </c>
      <c r="D1353" s="5" t="n">
        <v>35.25</v>
      </c>
      <c r="E1353" s="6" t="n">
        <f aca="false">DATE(2024,7,7)</f>
        <v>45480</v>
      </c>
      <c r="F1353" s="7" t="n">
        <f aca="false">C1353*D1353</f>
        <v>35.25</v>
      </c>
      <c r="G1353" s="7" t="n">
        <f aca="false">ROUND(F1353*0.2,2)</f>
        <v>7.05</v>
      </c>
      <c r="H1353" s="4" t="str">
        <f aca="false">IF(F1353&gt;500,"Yüksek",IF(F1353&gt;100,"Orta","Düşük"))</f>
        <v>Düşük</v>
      </c>
    </row>
    <row r="1354" customFormat="false" ht="12.8" hidden="false" customHeight="false" outlineLevel="0" collapsed="false">
      <c r="A1354" s="4" t="s">
        <v>12</v>
      </c>
      <c r="B1354" s="4" t="s">
        <v>13</v>
      </c>
      <c r="C1354" s="4" t="n">
        <v>8</v>
      </c>
      <c r="D1354" s="5" t="n">
        <v>38</v>
      </c>
      <c r="E1354" s="6" t="n">
        <f aca="false">DATE(2024,8,8)</f>
        <v>45512</v>
      </c>
      <c r="F1354" s="7" t="n">
        <f aca="false">C1354*D1354</f>
        <v>304</v>
      </c>
      <c r="G1354" s="7" t="n">
        <f aca="false">ROUND(F1354*0.2,2)</f>
        <v>60.8</v>
      </c>
      <c r="H1354" s="4" t="str">
        <f aca="false">IF(F1354&gt;500,"Yüksek",IF(F1354&gt;100,"Orta","Düşük"))</f>
        <v>Orta</v>
      </c>
    </row>
    <row r="1355" customFormat="false" ht="12.8" hidden="false" customHeight="false" outlineLevel="0" collapsed="false">
      <c r="A1355" s="4" t="s">
        <v>14</v>
      </c>
      <c r="B1355" s="4" t="s">
        <v>15</v>
      </c>
      <c r="C1355" s="4" t="n">
        <v>15</v>
      </c>
      <c r="D1355" s="5" t="n">
        <v>5</v>
      </c>
      <c r="E1355" s="6" t="n">
        <f aca="false">DATE(2024,9,9)</f>
        <v>45544</v>
      </c>
      <c r="F1355" s="7" t="n">
        <f aca="false">C1355*D1355</f>
        <v>75</v>
      </c>
      <c r="G1355" s="7" t="n">
        <f aca="false">ROUND(F1355*0.2,2)</f>
        <v>15</v>
      </c>
      <c r="H1355" s="4" t="str">
        <f aca="false">IF(F1355&gt;500,"Yüksek",IF(F1355&gt;100,"Orta","Düşük"))</f>
        <v>Düşük</v>
      </c>
    </row>
    <row r="1356" customFormat="false" ht="12.8" hidden="false" customHeight="false" outlineLevel="0" collapsed="false">
      <c r="A1356" s="4" t="s">
        <v>16</v>
      </c>
      <c r="B1356" s="4" t="s">
        <v>17</v>
      </c>
      <c r="C1356" s="4" t="n">
        <v>22</v>
      </c>
      <c r="D1356" s="5" t="n">
        <v>7.75</v>
      </c>
      <c r="E1356" s="6" t="n">
        <f aca="false">DATE(2024,10,10)</f>
        <v>45575</v>
      </c>
      <c r="F1356" s="7" t="n">
        <f aca="false">C1356*D1356</f>
        <v>170.5</v>
      </c>
      <c r="G1356" s="7" t="n">
        <f aca="false">ROUND(F1356*0.2,2)</f>
        <v>34.1</v>
      </c>
      <c r="H1356" s="4" t="str">
        <f aca="false">IF(F1356&gt;500,"Yüksek",IF(F1356&gt;100,"Orta","Düşük"))</f>
        <v>Orta</v>
      </c>
    </row>
    <row r="1357" customFormat="false" ht="12.8" hidden="false" customHeight="false" outlineLevel="0" collapsed="false">
      <c r="A1357" s="4" t="s">
        <v>18</v>
      </c>
      <c r="B1357" s="4" t="s">
        <v>19</v>
      </c>
      <c r="C1357" s="4" t="n">
        <v>29</v>
      </c>
      <c r="D1357" s="5" t="n">
        <v>10.5</v>
      </c>
      <c r="E1357" s="6" t="n">
        <f aca="false">DATE(2024,11,11)</f>
        <v>45607</v>
      </c>
      <c r="F1357" s="7" t="n">
        <f aca="false">C1357*D1357</f>
        <v>304.5</v>
      </c>
      <c r="G1357" s="7" t="n">
        <f aca="false">ROUND(F1357*0.2,2)</f>
        <v>60.9</v>
      </c>
      <c r="H1357" s="4" t="str">
        <f aca="false">IF(F1357&gt;500,"Yüksek",IF(F1357&gt;100,"Orta","Düşük"))</f>
        <v>Orta</v>
      </c>
    </row>
    <row r="1358" customFormat="false" ht="12.8" hidden="false" customHeight="false" outlineLevel="0" collapsed="false">
      <c r="A1358" s="4" t="s">
        <v>20</v>
      </c>
      <c r="B1358" s="4" t="s">
        <v>11</v>
      </c>
      <c r="C1358" s="4" t="n">
        <v>36</v>
      </c>
      <c r="D1358" s="5" t="n">
        <v>13.25</v>
      </c>
      <c r="E1358" s="6" t="n">
        <f aca="false">DATE(2024,12,12)</f>
        <v>45638</v>
      </c>
      <c r="F1358" s="7" t="n">
        <f aca="false">C1358*D1358</f>
        <v>477</v>
      </c>
      <c r="G1358" s="7" t="n">
        <f aca="false">ROUND(F1358*0.2,2)</f>
        <v>95.4</v>
      </c>
      <c r="H1358" s="4" t="str">
        <f aca="false">IF(F1358&gt;500,"Yüksek",IF(F1358&gt;100,"Orta","Düşük"))</f>
        <v>Orta</v>
      </c>
    </row>
    <row r="1359" customFormat="false" ht="12.8" hidden="false" customHeight="false" outlineLevel="0" collapsed="false">
      <c r="A1359" s="4" t="s">
        <v>21</v>
      </c>
      <c r="B1359" s="4" t="s">
        <v>13</v>
      </c>
      <c r="C1359" s="4" t="n">
        <v>43</v>
      </c>
      <c r="D1359" s="5" t="n">
        <v>16</v>
      </c>
      <c r="E1359" s="6" t="n">
        <f aca="false">DATE(2024,1,13)</f>
        <v>45304</v>
      </c>
      <c r="F1359" s="7" t="n">
        <f aca="false">C1359*D1359</f>
        <v>688</v>
      </c>
      <c r="G1359" s="7" t="n">
        <f aca="false">ROUND(F1359*0.2,2)</f>
        <v>137.6</v>
      </c>
      <c r="H1359" s="4" t="str">
        <f aca="false">IF(F1359&gt;500,"Yüksek",IF(F1359&gt;100,"Orta","Düşük"))</f>
        <v>Yüksek</v>
      </c>
    </row>
    <row r="1360" customFormat="false" ht="12.8" hidden="false" customHeight="false" outlineLevel="0" collapsed="false">
      <c r="A1360" s="4" t="s">
        <v>22</v>
      </c>
      <c r="B1360" s="4" t="s">
        <v>15</v>
      </c>
      <c r="C1360" s="4" t="n">
        <v>50</v>
      </c>
      <c r="D1360" s="5" t="n">
        <v>18.75</v>
      </c>
      <c r="E1360" s="6" t="n">
        <f aca="false">DATE(2024,2,14)</f>
        <v>45336</v>
      </c>
      <c r="F1360" s="7" t="n">
        <f aca="false">C1360*D1360</f>
        <v>937.5</v>
      </c>
      <c r="G1360" s="7" t="n">
        <f aca="false">ROUND(F1360*0.2,2)</f>
        <v>187.5</v>
      </c>
      <c r="H1360" s="4" t="str">
        <f aca="false">IF(F1360&gt;500,"Yüksek",IF(F1360&gt;100,"Orta","Düşük"))</f>
        <v>Yüksek</v>
      </c>
    </row>
    <row r="1361" customFormat="false" ht="12.8" hidden="false" customHeight="false" outlineLevel="0" collapsed="false">
      <c r="A1361" s="4" t="s">
        <v>23</v>
      </c>
      <c r="B1361" s="4" t="s">
        <v>17</v>
      </c>
      <c r="C1361" s="4" t="n">
        <v>7</v>
      </c>
      <c r="D1361" s="5" t="n">
        <v>21.5</v>
      </c>
      <c r="E1361" s="6" t="n">
        <f aca="false">DATE(2024,3,15)</f>
        <v>45366</v>
      </c>
      <c r="F1361" s="7" t="n">
        <f aca="false">C1361*D1361</f>
        <v>150.5</v>
      </c>
      <c r="G1361" s="7" t="n">
        <f aca="false">ROUND(F1361*0.2,2)</f>
        <v>30.1</v>
      </c>
      <c r="H1361" s="4" t="str">
        <f aca="false">IF(F1361&gt;500,"Yüksek",IF(F1361&gt;100,"Orta","Düşük"))</f>
        <v>Orta</v>
      </c>
    </row>
    <row r="1362" customFormat="false" ht="12.8" hidden="false" customHeight="false" outlineLevel="0" collapsed="false">
      <c r="A1362" s="4" t="s">
        <v>24</v>
      </c>
      <c r="B1362" s="4" t="s">
        <v>19</v>
      </c>
      <c r="C1362" s="4" t="n">
        <v>14</v>
      </c>
      <c r="D1362" s="5" t="n">
        <v>24.25</v>
      </c>
      <c r="E1362" s="6" t="n">
        <f aca="false">DATE(2024,4,16)</f>
        <v>45398</v>
      </c>
      <c r="F1362" s="7" t="n">
        <f aca="false">C1362*D1362</f>
        <v>339.5</v>
      </c>
      <c r="G1362" s="7" t="n">
        <f aca="false">ROUND(F1362*0.2,2)</f>
        <v>67.9</v>
      </c>
      <c r="H1362" s="4" t="str">
        <f aca="false">IF(F1362&gt;500,"Yüksek",IF(F1362&gt;100,"Orta","Düşük"))</f>
        <v>Orta</v>
      </c>
    </row>
    <row r="1363" customFormat="false" ht="12.8" hidden="false" customHeight="false" outlineLevel="0" collapsed="false">
      <c r="A1363" s="4" t="s">
        <v>10</v>
      </c>
      <c r="B1363" s="4" t="s">
        <v>11</v>
      </c>
      <c r="C1363" s="4" t="n">
        <v>21</v>
      </c>
      <c r="D1363" s="5" t="n">
        <v>27</v>
      </c>
      <c r="E1363" s="6" t="n">
        <f aca="false">DATE(2024,5,17)</f>
        <v>45429</v>
      </c>
      <c r="F1363" s="7" t="n">
        <f aca="false">C1363*D1363</f>
        <v>567</v>
      </c>
      <c r="G1363" s="7" t="n">
        <f aca="false">ROUND(F1363*0.2,2)</f>
        <v>113.4</v>
      </c>
      <c r="H1363" s="4" t="str">
        <f aca="false">IF(F1363&gt;500,"Yüksek",IF(F1363&gt;100,"Orta","Düşük"))</f>
        <v>Yüksek</v>
      </c>
    </row>
    <row r="1364" customFormat="false" ht="12.8" hidden="false" customHeight="false" outlineLevel="0" collapsed="false">
      <c r="A1364" s="4" t="s">
        <v>12</v>
      </c>
      <c r="B1364" s="4" t="s">
        <v>13</v>
      </c>
      <c r="C1364" s="4" t="n">
        <v>28</v>
      </c>
      <c r="D1364" s="5" t="n">
        <v>29.75</v>
      </c>
      <c r="E1364" s="6" t="n">
        <f aca="false">DATE(2024,6,18)</f>
        <v>45461</v>
      </c>
      <c r="F1364" s="7" t="n">
        <f aca="false">C1364*D1364</f>
        <v>833</v>
      </c>
      <c r="G1364" s="7" t="n">
        <f aca="false">ROUND(F1364*0.2,2)</f>
        <v>166.6</v>
      </c>
      <c r="H1364" s="4" t="str">
        <f aca="false">IF(F1364&gt;500,"Yüksek",IF(F1364&gt;100,"Orta","Düşük"))</f>
        <v>Yüksek</v>
      </c>
    </row>
    <row r="1365" customFormat="false" ht="12.8" hidden="false" customHeight="false" outlineLevel="0" collapsed="false">
      <c r="A1365" s="4" t="s">
        <v>14</v>
      </c>
      <c r="B1365" s="4" t="s">
        <v>15</v>
      </c>
      <c r="C1365" s="4" t="n">
        <v>35</v>
      </c>
      <c r="D1365" s="5" t="n">
        <v>32.5</v>
      </c>
      <c r="E1365" s="6" t="n">
        <f aca="false">DATE(2024,7,19)</f>
        <v>45492</v>
      </c>
      <c r="F1365" s="7" t="n">
        <f aca="false">C1365*D1365</f>
        <v>1137.5</v>
      </c>
      <c r="G1365" s="7" t="n">
        <f aca="false">ROUND(F1365*0.2,2)</f>
        <v>227.5</v>
      </c>
      <c r="H1365" s="4" t="str">
        <f aca="false">IF(F1365&gt;500,"Yüksek",IF(F1365&gt;100,"Orta","Düşük"))</f>
        <v>Yüksek</v>
      </c>
    </row>
    <row r="1366" customFormat="false" ht="12.8" hidden="false" customHeight="false" outlineLevel="0" collapsed="false">
      <c r="A1366" s="4" t="s">
        <v>16</v>
      </c>
      <c r="B1366" s="4" t="s">
        <v>17</v>
      </c>
      <c r="C1366" s="4" t="n">
        <v>42</v>
      </c>
      <c r="D1366" s="5" t="n">
        <v>35.25</v>
      </c>
      <c r="E1366" s="6" t="n">
        <f aca="false">DATE(2024,8,20)</f>
        <v>45524</v>
      </c>
      <c r="F1366" s="7" t="n">
        <f aca="false">C1366*D1366</f>
        <v>1480.5</v>
      </c>
      <c r="G1366" s="7" t="n">
        <f aca="false">ROUND(F1366*0.2,2)</f>
        <v>296.1</v>
      </c>
      <c r="H1366" s="4" t="str">
        <f aca="false">IF(F1366&gt;500,"Yüksek",IF(F1366&gt;100,"Orta","Düşük"))</f>
        <v>Yüksek</v>
      </c>
    </row>
    <row r="1367" customFormat="false" ht="12.8" hidden="false" customHeight="false" outlineLevel="0" collapsed="false">
      <c r="A1367" s="4" t="s">
        <v>18</v>
      </c>
      <c r="B1367" s="4" t="s">
        <v>19</v>
      </c>
      <c r="C1367" s="4" t="n">
        <v>49</v>
      </c>
      <c r="D1367" s="5" t="n">
        <v>38</v>
      </c>
      <c r="E1367" s="6" t="n">
        <f aca="false">DATE(2024,9,21)</f>
        <v>45556</v>
      </c>
      <c r="F1367" s="7" t="n">
        <f aca="false">C1367*D1367</f>
        <v>1862</v>
      </c>
      <c r="G1367" s="7" t="n">
        <f aca="false">ROUND(F1367*0.2,2)</f>
        <v>372.4</v>
      </c>
      <c r="H1367" s="4" t="str">
        <f aca="false">IF(F1367&gt;500,"Yüksek",IF(F1367&gt;100,"Orta","Düşük"))</f>
        <v>Yüksek</v>
      </c>
    </row>
    <row r="1368" customFormat="false" ht="12.8" hidden="false" customHeight="false" outlineLevel="0" collapsed="false">
      <c r="A1368" s="4" t="s">
        <v>20</v>
      </c>
      <c r="B1368" s="4" t="s">
        <v>11</v>
      </c>
      <c r="C1368" s="4" t="n">
        <v>6</v>
      </c>
      <c r="D1368" s="5" t="n">
        <v>5</v>
      </c>
      <c r="E1368" s="6" t="n">
        <f aca="false">DATE(2024,10,22)</f>
        <v>45587</v>
      </c>
      <c r="F1368" s="7" t="n">
        <f aca="false">C1368*D1368</f>
        <v>30</v>
      </c>
      <c r="G1368" s="7" t="n">
        <f aca="false">ROUND(F1368*0.2,2)</f>
        <v>6</v>
      </c>
      <c r="H1368" s="4" t="str">
        <f aca="false">IF(F1368&gt;500,"Yüksek",IF(F1368&gt;100,"Orta","Düşük"))</f>
        <v>Düşük</v>
      </c>
    </row>
    <row r="1369" customFormat="false" ht="12.8" hidden="false" customHeight="false" outlineLevel="0" collapsed="false">
      <c r="A1369" s="4" t="s">
        <v>21</v>
      </c>
      <c r="B1369" s="4" t="s">
        <v>13</v>
      </c>
      <c r="C1369" s="4" t="n">
        <v>13</v>
      </c>
      <c r="D1369" s="5" t="n">
        <v>7.75</v>
      </c>
      <c r="E1369" s="6" t="n">
        <f aca="false">DATE(2024,11,23)</f>
        <v>45619</v>
      </c>
      <c r="F1369" s="7" t="n">
        <f aca="false">C1369*D1369</f>
        <v>100.75</v>
      </c>
      <c r="G1369" s="7" t="n">
        <f aca="false">ROUND(F1369*0.2,2)</f>
        <v>20.15</v>
      </c>
      <c r="H1369" s="4" t="str">
        <f aca="false">IF(F1369&gt;500,"Yüksek",IF(F1369&gt;100,"Orta","Düşük"))</f>
        <v>Orta</v>
      </c>
    </row>
    <row r="1370" customFormat="false" ht="12.8" hidden="false" customHeight="false" outlineLevel="0" collapsed="false">
      <c r="A1370" s="4" t="s">
        <v>22</v>
      </c>
      <c r="B1370" s="4" t="s">
        <v>15</v>
      </c>
      <c r="C1370" s="4" t="n">
        <v>20</v>
      </c>
      <c r="D1370" s="5" t="n">
        <v>10.5</v>
      </c>
      <c r="E1370" s="6" t="n">
        <f aca="false">DATE(2024,12,24)</f>
        <v>45650</v>
      </c>
      <c r="F1370" s="7" t="n">
        <f aca="false">C1370*D1370</f>
        <v>210</v>
      </c>
      <c r="G1370" s="7" t="n">
        <f aca="false">ROUND(F1370*0.2,2)</f>
        <v>42</v>
      </c>
      <c r="H1370" s="4" t="str">
        <f aca="false">IF(F1370&gt;500,"Yüksek",IF(F1370&gt;100,"Orta","Düşük"))</f>
        <v>Orta</v>
      </c>
    </row>
    <row r="1371" customFormat="false" ht="12.8" hidden="false" customHeight="false" outlineLevel="0" collapsed="false">
      <c r="A1371" s="4" t="s">
        <v>23</v>
      </c>
      <c r="B1371" s="4" t="s">
        <v>17</v>
      </c>
      <c r="C1371" s="4" t="n">
        <v>27</v>
      </c>
      <c r="D1371" s="5" t="n">
        <v>13.25</v>
      </c>
      <c r="E1371" s="6" t="n">
        <f aca="false">DATE(2024,1,25)</f>
        <v>45316</v>
      </c>
      <c r="F1371" s="7" t="n">
        <f aca="false">C1371*D1371</f>
        <v>357.75</v>
      </c>
      <c r="G1371" s="7" t="n">
        <f aca="false">ROUND(F1371*0.2,2)</f>
        <v>71.55</v>
      </c>
      <c r="H1371" s="4" t="str">
        <f aca="false">IF(F1371&gt;500,"Yüksek",IF(F1371&gt;100,"Orta","Düşük"))</f>
        <v>Orta</v>
      </c>
    </row>
    <row r="1372" customFormat="false" ht="12.8" hidden="false" customHeight="false" outlineLevel="0" collapsed="false">
      <c r="A1372" s="4" t="s">
        <v>24</v>
      </c>
      <c r="B1372" s="4" t="s">
        <v>19</v>
      </c>
      <c r="C1372" s="4" t="n">
        <v>34</v>
      </c>
      <c r="D1372" s="5" t="n">
        <v>16</v>
      </c>
      <c r="E1372" s="6" t="n">
        <f aca="false">DATE(2024,2,26)</f>
        <v>45348</v>
      </c>
      <c r="F1372" s="7" t="n">
        <f aca="false">C1372*D1372</f>
        <v>544</v>
      </c>
      <c r="G1372" s="7" t="n">
        <f aca="false">ROUND(F1372*0.2,2)</f>
        <v>108.8</v>
      </c>
      <c r="H1372" s="4" t="str">
        <f aca="false">IF(F1372&gt;500,"Yüksek",IF(F1372&gt;100,"Orta","Düşük"))</f>
        <v>Yüksek</v>
      </c>
    </row>
    <row r="1373" customFormat="false" ht="12.8" hidden="false" customHeight="false" outlineLevel="0" collapsed="false">
      <c r="A1373" s="4" t="s">
        <v>10</v>
      </c>
      <c r="B1373" s="4" t="s">
        <v>11</v>
      </c>
      <c r="C1373" s="4" t="n">
        <v>41</v>
      </c>
      <c r="D1373" s="5" t="n">
        <v>18.75</v>
      </c>
      <c r="E1373" s="6" t="n">
        <f aca="false">DATE(2024,3,27)</f>
        <v>45378</v>
      </c>
      <c r="F1373" s="7" t="n">
        <f aca="false">C1373*D1373</f>
        <v>768.75</v>
      </c>
      <c r="G1373" s="7" t="n">
        <f aca="false">ROUND(F1373*0.2,2)</f>
        <v>153.75</v>
      </c>
      <c r="H1373" s="4" t="str">
        <f aca="false">IF(F1373&gt;500,"Yüksek",IF(F1373&gt;100,"Orta","Düşük"))</f>
        <v>Yüksek</v>
      </c>
    </row>
    <row r="1374" customFormat="false" ht="12.8" hidden="false" customHeight="false" outlineLevel="0" collapsed="false">
      <c r="A1374" s="4" t="s">
        <v>12</v>
      </c>
      <c r="B1374" s="4" t="s">
        <v>13</v>
      </c>
      <c r="C1374" s="4" t="n">
        <v>48</v>
      </c>
      <c r="D1374" s="5" t="n">
        <v>21.5</v>
      </c>
      <c r="E1374" s="6" t="n">
        <f aca="false">DATE(2024,4,28)</f>
        <v>45410</v>
      </c>
      <c r="F1374" s="7" t="n">
        <f aca="false">C1374*D1374</f>
        <v>1032</v>
      </c>
      <c r="G1374" s="7" t="n">
        <f aca="false">ROUND(F1374*0.2,2)</f>
        <v>206.4</v>
      </c>
      <c r="H1374" s="4" t="str">
        <f aca="false">IF(F1374&gt;500,"Yüksek",IF(F1374&gt;100,"Orta","Düşük"))</f>
        <v>Yüksek</v>
      </c>
    </row>
    <row r="1375" customFormat="false" ht="12.8" hidden="false" customHeight="false" outlineLevel="0" collapsed="false">
      <c r="A1375" s="4" t="s">
        <v>14</v>
      </c>
      <c r="B1375" s="4" t="s">
        <v>15</v>
      </c>
      <c r="C1375" s="4" t="n">
        <v>5</v>
      </c>
      <c r="D1375" s="5" t="n">
        <v>24.25</v>
      </c>
      <c r="E1375" s="6" t="n">
        <f aca="false">DATE(2024,5,1)</f>
        <v>45413</v>
      </c>
      <c r="F1375" s="7" t="n">
        <f aca="false">C1375*D1375</f>
        <v>121.25</v>
      </c>
      <c r="G1375" s="7" t="n">
        <f aca="false">ROUND(F1375*0.2,2)</f>
        <v>24.25</v>
      </c>
      <c r="H1375" s="4" t="str">
        <f aca="false">IF(F1375&gt;500,"Yüksek",IF(F1375&gt;100,"Orta","Düşük"))</f>
        <v>Orta</v>
      </c>
    </row>
    <row r="1376" customFormat="false" ht="12.8" hidden="false" customHeight="false" outlineLevel="0" collapsed="false">
      <c r="A1376" s="4" t="s">
        <v>16</v>
      </c>
      <c r="B1376" s="4" t="s">
        <v>17</v>
      </c>
      <c r="C1376" s="4" t="n">
        <v>12</v>
      </c>
      <c r="D1376" s="5" t="n">
        <v>27</v>
      </c>
      <c r="E1376" s="6" t="n">
        <f aca="false">DATE(2024,6,2)</f>
        <v>45445</v>
      </c>
      <c r="F1376" s="7" t="n">
        <f aca="false">C1376*D1376</f>
        <v>324</v>
      </c>
      <c r="G1376" s="7" t="n">
        <f aca="false">ROUND(F1376*0.2,2)</f>
        <v>64.8</v>
      </c>
      <c r="H1376" s="4" t="str">
        <f aca="false">IF(F1376&gt;500,"Yüksek",IF(F1376&gt;100,"Orta","Düşük"))</f>
        <v>Orta</v>
      </c>
    </row>
    <row r="1377" customFormat="false" ht="12.8" hidden="false" customHeight="false" outlineLevel="0" collapsed="false">
      <c r="A1377" s="4" t="s">
        <v>18</v>
      </c>
      <c r="B1377" s="4" t="s">
        <v>19</v>
      </c>
      <c r="C1377" s="4" t="n">
        <v>19</v>
      </c>
      <c r="D1377" s="5" t="n">
        <v>29.75</v>
      </c>
      <c r="E1377" s="6" t="n">
        <f aca="false">DATE(2024,7,3)</f>
        <v>45476</v>
      </c>
      <c r="F1377" s="7" t="n">
        <f aca="false">C1377*D1377</f>
        <v>565.25</v>
      </c>
      <c r="G1377" s="7" t="n">
        <f aca="false">ROUND(F1377*0.2,2)</f>
        <v>113.05</v>
      </c>
      <c r="H1377" s="4" t="str">
        <f aca="false">IF(F1377&gt;500,"Yüksek",IF(F1377&gt;100,"Orta","Düşük"))</f>
        <v>Yüksek</v>
      </c>
    </row>
    <row r="1378" customFormat="false" ht="12.8" hidden="false" customHeight="false" outlineLevel="0" collapsed="false">
      <c r="A1378" s="4" t="s">
        <v>20</v>
      </c>
      <c r="B1378" s="4" t="s">
        <v>11</v>
      </c>
      <c r="C1378" s="4" t="n">
        <v>26</v>
      </c>
      <c r="D1378" s="5" t="n">
        <v>32.5</v>
      </c>
      <c r="E1378" s="6" t="n">
        <f aca="false">DATE(2024,8,4)</f>
        <v>45508</v>
      </c>
      <c r="F1378" s="7" t="n">
        <f aca="false">C1378*D1378</f>
        <v>845</v>
      </c>
      <c r="G1378" s="7" t="n">
        <f aca="false">ROUND(F1378*0.2,2)</f>
        <v>169</v>
      </c>
      <c r="H1378" s="4" t="str">
        <f aca="false">IF(F1378&gt;500,"Yüksek",IF(F1378&gt;100,"Orta","Düşük"))</f>
        <v>Yüksek</v>
      </c>
    </row>
    <row r="1379" customFormat="false" ht="12.8" hidden="false" customHeight="false" outlineLevel="0" collapsed="false">
      <c r="A1379" s="4" t="s">
        <v>21</v>
      </c>
      <c r="B1379" s="4" t="s">
        <v>13</v>
      </c>
      <c r="C1379" s="4" t="n">
        <v>33</v>
      </c>
      <c r="D1379" s="5" t="n">
        <v>35.25</v>
      </c>
      <c r="E1379" s="6" t="n">
        <f aca="false">DATE(2024,9,5)</f>
        <v>45540</v>
      </c>
      <c r="F1379" s="7" t="n">
        <f aca="false">C1379*D1379</f>
        <v>1163.25</v>
      </c>
      <c r="G1379" s="7" t="n">
        <f aca="false">ROUND(F1379*0.2,2)</f>
        <v>232.65</v>
      </c>
      <c r="H1379" s="4" t="str">
        <f aca="false">IF(F1379&gt;500,"Yüksek",IF(F1379&gt;100,"Orta","Düşük"))</f>
        <v>Yüksek</v>
      </c>
    </row>
    <row r="1380" customFormat="false" ht="12.8" hidden="false" customHeight="false" outlineLevel="0" collapsed="false">
      <c r="A1380" s="4" t="s">
        <v>22</v>
      </c>
      <c r="B1380" s="4" t="s">
        <v>15</v>
      </c>
      <c r="C1380" s="4" t="n">
        <v>40</v>
      </c>
      <c r="D1380" s="5" t="n">
        <v>38</v>
      </c>
      <c r="E1380" s="6" t="n">
        <f aca="false">DATE(2024,10,6)</f>
        <v>45571</v>
      </c>
      <c r="F1380" s="7" t="n">
        <f aca="false">C1380*D1380</f>
        <v>1520</v>
      </c>
      <c r="G1380" s="7" t="n">
        <f aca="false">ROUND(F1380*0.2,2)</f>
        <v>304</v>
      </c>
      <c r="H1380" s="4" t="str">
        <f aca="false">IF(F1380&gt;500,"Yüksek",IF(F1380&gt;100,"Orta","Düşük"))</f>
        <v>Yüksek</v>
      </c>
    </row>
    <row r="1381" customFormat="false" ht="12.8" hidden="false" customHeight="false" outlineLevel="0" collapsed="false">
      <c r="A1381" s="4" t="s">
        <v>23</v>
      </c>
      <c r="B1381" s="4" t="s">
        <v>17</v>
      </c>
      <c r="C1381" s="4" t="n">
        <v>47</v>
      </c>
      <c r="D1381" s="5" t="n">
        <v>5</v>
      </c>
      <c r="E1381" s="6" t="n">
        <f aca="false">DATE(2024,11,7)</f>
        <v>45603</v>
      </c>
      <c r="F1381" s="7" t="n">
        <f aca="false">C1381*D1381</f>
        <v>235</v>
      </c>
      <c r="G1381" s="7" t="n">
        <f aca="false">ROUND(F1381*0.2,2)</f>
        <v>47</v>
      </c>
      <c r="H1381" s="4" t="str">
        <f aca="false">IF(F1381&gt;500,"Yüksek",IF(F1381&gt;100,"Orta","Düşük"))</f>
        <v>Orta</v>
      </c>
    </row>
    <row r="1382" customFormat="false" ht="12.8" hidden="false" customHeight="false" outlineLevel="0" collapsed="false">
      <c r="A1382" s="4" t="s">
        <v>24</v>
      </c>
      <c r="B1382" s="4" t="s">
        <v>19</v>
      </c>
      <c r="C1382" s="4" t="n">
        <v>4</v>
      </c>
      <c r="D1382" s="5" t="n">
        <v>7.75</v>
      </c>
      <c r="E1382" s="6" t="n">
        <f aca="false">DATE(2024,12,8)</f>
        <v>45634</v>
      </c>
      <c r="F1382" s="7" t="n">
        <f aca="false">C1382*D1382</f>
        <v>31</v>
      </c>
      <c r="G1382" s="7" t="n">
        <f aca="false">ROUND(F1382*0.2,2)</f>
        <v>6.2</v>
      </c>
      <c r="H1382" s="4" t="str">
        <f aca="false">IF(F1382&gt;500,"Yüksek",IF(F1382&gt;100,"Orta","Düşük"))</f>
        <v>Düşük</v>
      </c>
    </row>
    <row r="1383" customFormat="false" ht="12.8" hidden="false" customHeight="false" outlineLevel="0" collapsed="false">
      <c r="A1383" s="4" t="s">
        <v>10</v>
      </c>
      <c r="B1383" s="4" t="s">
        <v>11</v>
      </c>
      <c r="C1383" s="4" t="n">
        <v>11</v>
      </c>
      <c r="D1383" s="5" t="n">
        <v>10.5</v>
      </c>
      <c r="E1383" s="6" t="n">
        <f aca="false">DATE(2024,1,9)</f>
        <v>45300</v>
      </c>
      <c r="F1383" s="7" t="n">
        <f aca="false">C1383*D1383</f>
        <v>115.5</v>
      </c>
      <c r="G1383" s="7" t="n">
        <f aca="false">ROUND(F1383*0.2,2)</f>
        <v>23.1</v>
      </c>
      <c r="H1383" s="4" t="str">
        <f aca="false">IF(F1383&gt;500,"Yüksek",IF(F1383&gt;100,"Orta","Düşük"))</f>
        <v>Orta</v>
      </c>
    </row>
    <row r="1384" customFormat="false" ht="12.8" hidden="false" customHeight="false" outlineLevel="0" collapsed="false">
      <c r="A1384" s="4" t="s">
        <v>12</v>
      </c>
      <c r="B1384" s="4" t="s">
        <v>13</v>
      </c>
      <c r="C1384" s="4" t="n">
        <v>18</v>
      </c>
      <c r="D1384" s="5" t="n">
        <v>13.25</v>
      </c>
      <c r="E1384" s="6" t="n">
        <f aca="false">DATE(2024,2,10)</f>
        <v>45332</v>
      </c>
      <c r="F1384" s="7" t="n">
        <f aca="false">C1384*D1384</f>
        <v>238.5</v>
      </c>
      <c r="G1384" s="7" t="n">
        <f aca="false">ROUND(F1384*0.2,2)</f>
        <v>47.7</v>
      </c>
      <c r="H1384" s="4" t="str">
        <f aca="false">IF(F1384&gt;500,"Yüksek",IF(F1384&gt;100,"Orta","Düşük"))</f>
        <v>Orta</v>
      </c>
    </row>
    <row r="1385" customFormat="false" ht="12.8" hidden="false" customHeight="false" outlineLevel="0" collapsed="false">
      <c r="A1385" s="4" t="s">
        <v>14</v>
      </c>
      <c r="B1385" s="4" t="s">
        <v>15</v>
      </c>
      <c r="C1385" s="4" t="n">
        <v>25</v>
      </c>
      <c r="D1385" s="5" t="n">
        <v>16</v>
      </c>
      <c r="E1385" s="6" t="n">
        <f aca="false">DATE(2024,3,11)</f>
        <v>45362</v>
      </c>
      <c r="F1385" s="7" t="n">
        <f aca="false">C1385*D1385</f>
        <v>400</v>
      </c>
      <c r="G1385" s="7" t="n">
        <f aca="false">ROUND(F1385*0.2,2)</f>
        <v>80</v>
      </c>
      <c r="H1385" s="4" t="str">
        <f aca="false">IF(F1385&gt;500,"Yüksek",IF(F1385&gt;100,"Orta","Düşük"))</f>
        <v>Orta</v>
      </c>
    </row>
    <row r="1386" customFormat="false" ht="12.8" hidden="false" customHeight="false" outlineLevel="0" collapsed="false">
      <c r="A1386" s="4" t="s">
        <v>16</v>
      </c>
      <c r="B1386" s="4" t="s">
        <v>17</v>
      </c>
      <c r="C1386" s="4" t="n">
        <v>32</v>
      </c>
      <c r="D1386" s="5" t="n">
        <v>18.75</v>
      </c>
      <c r="E1386" s="6" t="n">
        <f aca="false">DATE(2024,4,12)</f>
        <v>45394</v>
      </c>
      <c r="F1386" s="7" t="n">
        <f aca="false">C1386*D1386</f>
        <v>600</v>
      </c>
      <c r="G1386" s="7" t="n">
        <f aca="false">ROUND(F1386*0.2,2)</f>
        <v>120</v>
      </c>
      <c r="H1386" s="4" t="str">
        <f aca="false">IF(F1386&gt;500,"Yüksek",IF(F1386&gt;100,"Orta","Düşük"))</f>
        <v>Yüksek</v>
      </c>
    </row>
    <row r="1387" customFormat="false" ht="12.8" hidden="false" customHeight="false" outlineLevel="0" collapsed="false">
      <c r="A1387" s="4" t="s">
        <v>18</v>
      </c>
      <c r="B1387" s="4" t="s">
        <v>19</v>
      </c>
      <c r="C1387" s="4" t="n">
        <v>39</v>
      </c>
      <c r="D1387" s="5" t="n">
        <v>21.5</v>
      </c>
      <c r="E1387" s="6" t="n">
        <f aca="false">DATE(2024,5,13)</f>
        <v>45425</v>
      </c>
      <c r="F1387" s="7" t="n">
        <f aca="false">C1387*D1387</f>
        <v>838.5</v>
      </c>
      <c r="G1387" s="7" t="n">
        <f aca="false">ROUND(F1387*0.2,2)</f>
        <v>167.7</v>
      </c>
      <c r="H1387" s="4" t="str">
        <f aca="false">IF(F1387&gt;500,"Yüksek",IF(F1387&gt;100,"Orta","Düşük"))</f>
        <v>Yüksek</v>
      </c>
    </row>
    <row r="1388" customFormat="false" ht="12.8" hidden="false" customHeight="false" outlineLevel="0" collapsed="false">
      <c r="A1388" s="4" t="s">
        <v>20</v>
      </c>
      <c r="B1388" s="4" t="s">
        <v>11</v>
      </c>
      <c r="C1388" s="4" t="n">
        <v>46</v>
      </c>
      <c r="D1388" s="5" t="n">
        <v>24.25</v>
      </c>
      <c r="E1388" s="6" t="n">
        <f aca="false">DATE(2024,6,14)</f>
        <v>45457</v>
      </c>
      <c r="F1388" s="7" t="n">
        <f aca="false">C1388*D1388</f>
        <v>1115.5</v>
      </c>
      <c r="G1388" s="7" t="n">
        <f aca="false">ROUND(F1388*0.2,2)</f>
        <v>223.1</v>
      </c>
      <c r="H1388" s="4" t="str">
        <f aca="false">IF(F1388&gt;500,"Yüksek",IF(F1388&gt;100,"Orta","Düşük"))</f>
        <v>Yüksek</v>
      </c>
    </row>
    <row r="1389" customFormat="false" ht="12.8" hidden="false" customHeight="false" outlineLevel="0" collapsed="false">
      <c r="A1389" s="4" t="s">
        <v>21</v>
      </c>
      <c r="B1389" s="4" t="s">
        <v>13</v>
      </c>
      <c r="C1389" s="4" t="n">
        <v>3</v>
      </c>
      <c r="D1389" s="5" t="n">
        <v>27</v>
      </c>
      <c r="E1389" s="6" t="n">
        <f aca="false">DATE(2024,7,15)</f>
        <v>45488</v>
      </c>
      <c r="F1389" s="7" t="n">
        <f aca="false">C1389*D1389</f>
        <v>81</v>
      </c>
      <c r="G1389" s="7" t="n">
        <f aca="false">ROUND(F1389*0.2,2)</f>
        <v>16.2</v>
      </c>
      <c r="H1389" s="4" t="str">
        <f aca="false">IF(F1389&gt;500,"Yüksek",IF(F1389&gt;100,"Orta","Düşük"))</f>
        <v>Düşük</v>
      </c>
    </row>
    <row r="1390" customFormat="false" ht="12.8" hidden="false" customHeight="false" outlineLevel="0" collapsed="false">
      <c r="A1390" s="4" t="s">
        <v>22</v>
      </c>
      <c r="B1390" s="4" t="s">
        <v>15</v>
      </c>
      <c r="C1390" s="4" t="n">
        <v>10</v>
      </c>
      <c r="D1390" s="5" t="n">
        <v>29.75</v>
      </c>
      <c r="E1390" s="6" t="n">
        <f aca="false">DATE(2024,8,16)</f>
        <v>45520</v>
      </c>
      <c r="F1390" s="7" t="n">
        <f aca="false">C1390*D1390</f>
        <v>297.5</v>
      </c>
      <c r="G1390" s="7" t="n">
        <f aca="false">ROUND(F1390*0.2,2)</f>
        <v>59.5</v>
      </c>
      <c r="H1390" s="4" t="str">
        <f aca="false">IF(F1390&gt;500,"Yüksek",IF(F1390&gt;100,"Orta","Düşük"))</f>
        <v>Orta</v>
      </c>
    </row>
    <row r="1391" customFormat="false" ht="12.8" hidden="false" customHeight="false" outlineLevel="0" collapsed="false">
      <c r="A1391" s="4" t="s">
        <v>23</v>
      </c>
      <c r="B1391" s="4" t="s">
        <v>17</v>
      </c>
      <c r="C1391" s="4" t="n">
        <v>17</v>
      </c>
      <c r="D1391" s="5" t="n">
        <v>32.5</v>
      </c>
      <c r="E1391" s="6" t="n">
        <f aca="false">DATE(2024,9,17)</f>
        <v>45552</v>
      </c>
      <c r="F1391" s="7" t="n">
        <f aca="false">C1391*D1391</f>
        <v>552.5</v>
      </c>
      <c r="G1391" s="7" t="n">
        <f aca="false">ROUND(F1391*0.2,2)</f>
        <v>110.5</v>
      </c>
      <c r="H1391" s="4" t="str">
        <f aca="false">IF(F1391&gt;500,"Yüksek",IF(F1391&gt;100,"Orta","Düşük"))</f>
        <v>Yüksek</v>
      </c>
    </row>
    <row r="1392" customFormat="false" ht="12.8" hidden="false" customHeight="false" outlineLevel="0" collapsed="false">
      <c r="A1392" s="4" t="s">
        <v>24</v>
      </c>
      <c r="B1392" s="4" t="s">
        <v>19</v>
      </c>
      <c r="C1392" s="4" t="n">
        <v>24</v>
      </c>
      <c r="D1392" s="5" t="n">
        <v>35.25</v>
      </c>
      <c r="E1392" s="6" t="n">
        <f aca="false">DATE(2024,10,18)</f>
        <v>45583</v>
      </c>
      <c r="F1392" s="7" t="n">
        <f aca="false">C1392*D1392</f>
        <v>846</v>
      </c>
      <c r="G1392" s="7" t="n">
        <f aca="false">ROUND(F1392*0.2,2)</f>
        <v>169.2</v>
      </c>
      <c r="H1392" s="4" t="str">
        <f aca="false">IF(F1392&gt;500,"Yüksek",IF(F1392&gt;100,"Orta","Düşük"))</f>
        <v>Yüksek</v>
      </c>
    </row>
    <row r="1393" customFormat="false" ht="12.8" hidden="false" customHeight="false" outlineLevel="0" collapsed="false">
      <c r="A1393" s="4" t="s">
        <v>10</v>
      </c>
      <c r="B1393" s="4" t="s">
        <v>11</v>
      </c>
      <c r="C1393" s="4" t="n">
        <v>31</v>
      </c>
      <c r="D1393" s="5" t="n">
        <v>38</v>
      </c>
      <c r="E1393" s="6" t="n">
        <f aca="false">DATE(2024,11,19)</f>
        <v>45615</v>
      </c>
      <c r="F1393" s="7" t="n">
        <f aca="false">C1393*D1393</f>
        <v>1178</v>
      </c>
      <c r="G1393" s="7" t="n">
        <f aca="false">ROUND(F1393*0.2,2)</f>
        <v>235.6</v>
      </c>
      <c r="H1393" s="4" t="str">
        <f aca="false">IF(F1393&gt;500,"Yüksek",IF(F1393&gt;100,"Orta","Düşük"))</f>
        <v>Yüksek</v>
      </c>
    </row>
    <row r="1394" customFormat="false" ht="12.8" hidden="false" customHeight="false" outlineLevel="0" collapsed="false">
      <c r="A1394" s="4" t="s">
        <v>12</v>
      </c>
      <c r="B1394" s="4" t="s">
        <v>13</v>
      </c>
      <c r="C1394" s="4" t="n">
        <v>38</v>
      </c>
      <c r="D1394" s="5" t="n">
        <v>5</v>
      </c>
      <c r="E1394" s="6" t="n">
        <f aca="false">DATE(2024,12,20)</f>
        <v>45646</v>
      </c>
      <c r="F1394" s="7" t="n">
        <f aca="false">C1394*D1394</f>
        <v>190</v>
      </c>
      <c r="G1394" s="7" t="n">
        <f aca="false">ROUND(F1394*0.2,2)</f>
        <v>38</v>
      </c>
      <c r="H1394" s="4" t="str">
        <f aca="false">IF(F1394&gt;500,"Yüksek",IF(F1394&gt;100,"Orta","Düşük"))</f>
        <v>Orta</v>
      </c>
    </row>
    <row r="1395" customFormat="false" ht="12.8" hidden="false" customHeight="false" outlineLevel="0" collapsed="false">
      <c r="A1395" s="4" t="s">
        <v>14</v>
      </c>
      <c r="B1395" s="4" t="s">
        <v>15</v>
      </c>
      <c r="C1395" s="4" t="n">
        <v>45</v>
      </c>
      <c r="D1395" s="5" t="n">
        <v>7.75</v>
      </c>
      <c r="E1395" s="6" t="n">
        <f aca="false">DATE(2024,1,21)</f>
        <v>45312</v>
      </c>
      <c r="F1395" s="7" t="n">
        <f aca="false">C1395*D1395</f>
        <v>348.75</v>
      </c>
      <c r="G1395" s="7" t="n">
        <f aca="false">ROUND(F1395*0.2,2)</f>
        <v>69.75</v>
      </c>
      <c r="H1395" s="4" t="str">
        <f aca="false">IF(F1395&gt;500,"Yüksek",IF(F1395&gt;100,"Orta","Düşük"))</f>
        <v>Orta</v>
      </c>
    </row>
    <row r="1396" customFormat="false" ht="12.8" hidden="false" customHeight="false" outlineLevel="0" collapsed="false">
      <c r="A1396" s="4" t="s">
        <v>16</v>
      </c>
      <c r="B1396" s="4" t="s">
        <v>17</v>
      </c>
      <c r="C1396" s="4" t="n">
        <v>2</v>
      </c>
      <c r="D1396" s="5" t="n">
        <v>10.5</v>
      </c>
      <c r="E1396" s="6" t="n">
        <f aca="false">DATE(2024,2,22)</f>
        <v>45344</v>
      </c>
      <c r="F1396" s="7" t="n">
        <f aca="false">C1396*D1396</f>
        <v>21</v>
      </c>
      <c r="G1396" s="7" t="n">
        <f aca="false">ROUND(F1396*0.2,2)</f>
        <v>4.2</v>
      </c>
      <c r="H1396" s="4" t="str">
        <f aca="false">IF(F1396&gt;500,"Yüksek",IF(F1396&gt;100,"Orta","Düşük"))</f>
        <v>Düşük</v>
      </c>
    </row>
    <row r="1397" customFormat="false" ht="12.8" hidden="false" customHeight="false" outlineLevel="0" collapsed="false">
      <c r="A1397" s="4" t="s">
        <v>18</v>
      </c>
      <c r="B1397" s="4" t="s">
        <v>19</v>
      </c>
      <c r="C1397" s="4" t="n">
        <v>9</v>
      </c>
      <c r="D1397" s="5" t="n">
        <v>13.25</v>
      </c>
      <c r="E1397" s="6" t="n">
        <f aca="false">DATE(2024,3,23)</f>
        <v>45374</v>
      </c>
      <c r="F1397" s="7" t="n">
        <f aca="false">C1397*D1397</f>
        <v>119.25</v>
      </c>
      <c r="G1397" s="7" t="n">
        <f aca="false">ROUND(F1397*0.2,2)</f>
        <v>23.85</v>
      </c>
      <c r="H1397" s="4" t="str">
        <f aca="false">IF(F1397&gt;500,"Yüksek",IF(F1397&gt;100,"Orta","Düşük"))</f>
        <v>Orta</v>
      </c>
    </row>
    <row r="1398" customFormat="false" ht="12.8" hidden="false" customHeight="false" outlineLevel="0" collapsed="false">
      <c r="A1398" s="4" t="s">
        <v>20</v>
      </c>
      <c r="B1398" s="4" t="s">
        <v>11</v>
      </c>
      <c r="C1398" s="4" t="n">
        <v>16</v>
      </c>
      <c r="D1398" s="5" t="n">
        <v>16</v>
      </c>
      <c r="E1398" s="6" t="n">
        <f aca="false">DATE(2024,4,24)</f>
        <v>45406</v>
      </c>
      <c r="F1398" s="7" t="n">
        <f aca="false">C1398*D1398</f>
        <v>256</v>
      </c>
      <c r="G1398" s="7" t="n">
        <f aca="false">ROUND(F1398*0.2,2)</f>
        <v>51.2</v>
      </c>
      <c r="H1398" s="4" t="str">
        <f aca="false">IF(F1398&gt;500,"Yüksek",IF(F1398&gt;100,"Orta","Düşük"))</f>
        <v>Orta</v>
      </c>
    </row>
    <row r="1399" customFormat="false" ht="12.8" hidden="false" customHeight="false" outlineLevel="0" collapsed="false">
      <c r="A1399" s="4" t="s">
        <v>21</v>
      </c>
      <c r="B1399" s="4" t="s">
        <v>13</v>
      </c>
      <c r="C1399" s="4" t="n">
        <v>23</v>
      </c>
      <c r="D1399" s="5" t="n">
        <v>18.75</v>
      </c>
      <c r="E1399" s="6" t="n">
        <f aca="false">DATE(2024,5,25)</f>
        <v>45437</v>
      </c>
      <c r="F1399" s="7" t="n">
        <f aca="false">C1399*D1399</f>
        <v>431.25</v>
      </c>
      <c r="G1399" s="7" t="n">
        <f aca="false">ROUND(F1399*0.2,2)</f>
        <v>86.25</v>
      </c>
      <c r="H1399" s="4" t="str">
        <f aca="false">IF(F1399&gt;500,"Yüksek",IF(F1399&gt;100,"Orta","Düşük"))</f>
        <v>Orta</v>
      </c>
    </row>
    <row r="1400" customFormat="false" ht="12.8" hidden="false" customHeight="false" outlineLevel="0" collapsed="false">
      <c r="A1400" s="4" t="s">
        <v>22</v>
      </c>
      <c r="B1400" s="4" t="s">
        <v>15</v>
      </c>
      <c r="C1400" s="4" t="n">
        <v>30</v>
      </c>
      <c r="D1400" s="5" t="n">
        <v>21.5</v>
      </c>
      <c r="E1400" s="6" t="n">
        <f aca="false">DATE(2024,6,26)</f>
        <v>45469</v>
      </c>
      <c r="F1400" s="7" t="n">
        <f aca="false">C1400*D1400</f>
        <v>645</v>
      </c>
      <c r="G1400" s="7" t="n">
        <f aca="false">ROUND(F1400*0.2,2)</f>
        <v>129</v>
      </c>
      <c r="H1400" s="4" t="str">
        <f aca="false">IF(F1400&gt;500,"Yüksek",IF(F1400&gt;100,"Orta","Düşük"))</f>
        <v>Yüksek</v>
      </c>
    </row>
    <row r="1401" customFormat="false" ht="12.8" hidden="false" customHeight="false" outlineLevel="0" collapsed="false">
      <c r="A1401" s="4" t="s">
        <v>23</v>
      </c>
      <c r="B1401" s="4" t="s">
        <v>17</v>
      </c>
      <c r="C1401" s="4" t="n">
        <v>37</v>
      </c>
      <c r="D1401" s="5" t="n">
        <v>24.25</v>
      </c>
      <c r="E1401" s="6" t="n">
        <f aca="false">DATE(2024,7,27)</f>
        <v>45500</v>
      </c>
      <c r="F1401" s="7" t="n">
        <f aca="false">C1401*D1401</f>
        <v>897.25</v>
      </c>
      <c r="G1401" s="7" t="n">
        <f aca="false">ROUND(F1401*0.2,2)</f>
        <v>179.45</v>
      </c>
      <c r="H1401" s="4" t="str">
        <f aca="false">IF(F1401&gt;500,"Yüksek",IF(F1401&gt;100,"Orta","Düşük"))</f>
        <v>Yüksek</v>
      </c>
    </row>
    <row r="1402" customFormat="false" ht="12.8" hidden="false" customHeight="false" outlineLevel="0" collapsed="false">
      <c r="A1402" s="4" t="s">
        <v>24</v>
      </c>
      <c r="B1402" s="4" t="s">
        <v>19</v>
      </c>
      <c r="C1402" s="4" t="n">
        <v>44</v>
      </c>
      <c r="D1402" s="5" t="n">
        <v>27</v>
      </c>
      <c r="E1402" s="6" t="n">
        <f aca="false">DATE(2024,8,28)</f>
        <v>45532</v>
      </c>
      <c r="F1402" s="7" t="n">
        <f aca="false">C1402*D1402</f>
        <v>1188</v>
      </c>
      <c r="G1402" s="7" t="n">
        <f aca="false">ROUND(F1402*0.2,2)</f>
        <v>237.6</v>
      </c>
      <c r="H1402" s="4" t="str">
        <f aca="false">IF(F1402&gt;500,"Yüksek",IF(F1402&gt;100,"Orta","Düşük"))</f>
        <v>Yüksek</v>
      </c>
    </row>
    <row r="1403" customFormat="false" ht="12.8" hidden="false" customHeight="false" outlineLevel="0" collapsed="false">
      <c r="A1403" s="4" t="s">
        <v>10</v>
      </c>
      <c r="B1403" s="4" t="s">
        <v>11</v>
      </c>
      <c r="C1403" s="4" t="n">
        <v>1</v>
      </c>
      <c r="D1403" s="5" t="n">
        <v>29.75</v>
      </c>
      <c r="E1403" s="6" t="n">
        <f aca="false">DATE(2024,9,1)</f>
        <v>45536</v>
      </c>
      <c r="F1403" s="7" t="n">
        <f aca="false">C1403*D1403</f>
        <v>29.75</v>
      </c>
      <c r="G1403" s="7" t="n">
        <f aca="false">ROUND(F1403*0.2,2)</f>
        <v>5.95</v>
      </c>
      <c r="H1403" s="4" t="str">
        <f aca="false">IF(F1403&gt;500,"Yüksek",IF(F1403&gt;100,"Orta","Düşük"))</f>
        <v>Düşük</v>
      </c>
    </row>
    <row r="1404" customFormat="false" ht="12.8" hidden="false" customHeight="false" outlineLevel="0" collapsed="false">
      <c r="A1404" s="4" t="s">
        <v>12</v>
      </c>
      <c r="B1404" s="4" t="s">
        <v>13</v>
      </c>
      <c r="C1404" s="4" t="n">
        <v>8</v>
      </c>
      <c r="D1404" s="5" t="n">
        <v>32.5</v>
      </c>
      <c r="E1404" s="6" t="n">
        <f aca="false">DATE(2024,10,2)</f>
        <v>45567</v>
      </c>
      <c r="F1404" s="7" t="n">
        <f aca="false">C1404*D1404</f>
        <v>260</v>
      </c>
      <c r="G1404" s="7" t="n">
        <f aca="false">ROUND(F1404*0.2,2)</f>
        <v>52</v>
      </c>
      <c r="H1404" s="4" t="str">
        <f aca="false">IF(F1404&gt;500,"Yüksek",IF(F1404&gt;100,"Orta","Düşük"))</f>
        <v>Orta</v>
      </c>
    </row>
    <row r="1405" customFormat="false" ht="12.8" hidden="false" customHeight="false" outlineLevel="0" collapsed="false">
      <c r="A1405" s="4" t="s">
        <v>14</v>
      </c>
      <c r="B1405" s="4" t="s">
        <v>15</v>
      </c>
      <c r="C1405" s="4" t="n">
        <v>15</v>
      </c>
      <c r="D1405" s="5" t="n">
        <v>35.25</v>
      </c>
      <c r="E1405" s="6" t="n">
        <f aca="false">DATE(2024,11,3)</f>
        <v>45599</v>
      </c>
      <c r="F1405" s="7" t="n">
        <f aca="false">C1405*D1405</f>
        <v>528.75</v>
      </c>
      <c r="G1405" s="7" t="n">
        <f aca="false">ROUND(F1405*0.2,2)</f>
        <v>105.75</v>
      </c>
      <c r="H1405" s="4" t="str">
        <f aca="false">IF(F1405&gt;500,"Yüksek",IF(F1405&gt;100,"Orta","Düşük"))</f>
        <v>Yüksek</v>
      </c>
    </row>
    <row r="1406" customFormat="false" ht="12.8" hidden="false" customHeight="false" outlineLevel="0" collapsed="false">
      <c r="A1406" s="4" t="s">
        <v>16</v>
      </c>
      <c r="B1406" s="4" t="s">
        <v>17</v>
      </c>
      <c r="C1406" s="4" t="n">
        <v>22</v>
      </c>
      <c r="D1406" s="5" t="n">
        <v>38</v>
      </c>
      <c r="E1406" s="6" t="n">
        <f aca="false">DATE(2024,12,4)</f>
        <v>45630</v>
      </c>
      <c r="F1406" s="7" t="n">
        <f aca="false">C1406*D1406</f>
        <v>836</v>
      </c>
      <c r="G1406" s="7" t="n">
        <f aca="false">ROUND(F1406*0.2,2)</f>
        <v>167.2</v>
      </c>
      <c r="H1406" s="4" t="str">
        <f aca="false">IF(F1406&gt;500,"Yüksek",IF(F1406&gt;100,"Orta","Düşük"))</f>
        <v>Yüksek</v>
      </c>
    </row>
    <row r="1407" customFormat="false" ht="12.8" hidden="false" customHeight="false" outlineLevel="0" collapsed="false">
      <c r="A1407" s="4" t="s">
        <v>18</v>
      </c>
      <c r="B1407" s="4" t="s">
        <v>19</v>
      </c>
      <c r="C1407" s="4" t="n">
        <v>29</v>
      </c>
      <c r="D1407" s="5" t="n">
        <v>5</v>
      </c>
      <c r="E1407" s="6" t="n">
        <f aca="false">DATE(2024,1,5)</f>
        <v>45296</v>
      </c>
      <c r="F1407" s="7" t="n">
        <f aca="false">C1407*D1407</f>
        <v>145</v>
      </c>
      <c r="G1407" s="7" t="n">
        <f aca="false">ROUND(F1407*0.2,2)</f>
        <v>29</v>
      </c>
      <c r="H1407" s="4" t="str">
        <f aca="false">IF(F1407&gt;500,"Yüksek",IF(F1407&gt;100,"Orta","Düşük"))</f>
        <v>Orta</v>
      </c>
    </row>
    <row r="1408" customFormat="false" ht="12.8" hidden="false" customHeight="false" outlineLevel="0" collapsed="false">
      <c r="A1408" s="4" t="s">
        <v>20</v>
      </c>
      <c r="B1408" s="4" t="s">
        <v>11</v>
      </c>
      <c r="C1408" s="4" t="n">
        <v>36</v>
      </c>
      <c r="D1408" s="5" t="n">
        <v>7.75</v>
      </c>
      <c r="E1408" s="6" t="n">
        <f aca="false">DATE(2024,2,6)</f>
        <v>45328</v>
      </c>
      <c r="F1408" s="7" t="n">
        <f aca="false">C1408*D1408</f>
        <v>279</v>
      </c>
      <c r="G1408" s="7" t="n">
        <f aca="false">ROUND(F1408*0.2,2)</f>
        <v>55.8</v>
      </c>
      <c r="H1408" s="4" t="str">
        <f aca="false">IF(F1408&gt;500,"Yüksek",IF(F1408&gt;100,"Orta","Düşük"))</f>
        <v>Orta</v>
      </c>
    </row>
    <row r="1409" customFormat="false" ht="12.8" hidden="false" customHeight="false" outlineLevel="0" collapsed="false">
      <c r="A1409" s="4" t="s">
        <v>21</v>
      </c>
      <c r="B1409" s="4" t="s">
        <v>13</v>
      </c>
      <c r="C1409" s="4" t="n">
        <v>43</v>
      </c>
      <c r="D1409" s="5" t="n">
        <v>10.5</v>
      </c>
      <c r="E1409" s="6" t="n">
        <f aca="false">DATE(2024,3,7)</f>
        <v>45358</v>
      </c>
      <c r="F1409" s="7" t="n">
        <f aca="false">C1409*D1409</f>
        <v>451.5</v>
      </c>
      <c r="G1409" s="7" t="n">
        <f aca="false">ROUND(F1409*0.2,2)</f>
        <v>90.3</v>
      </c>
      <c r="H1409" s="4" t="str">
        <f aca="false">IF(F1409&gt;500,"Yüksek",IF(F1409&gt;100,"Orta","Düşük"))</f>
        <v>Orta</v>
      </c>
    </row>
    <row r="1410" customFormat="false" ht="12.8" hidden="false" customHeight="false" outlineLevel="0" collapsed="false">
      <c r="A1410" s="4" t="s">
        <v>22</v>
      </c>
      <c r="B1410" s="4" t="s">
        <v>15</v>
      </c>
      <c r="C1410" s="4" t="n">
        <v>50</v>
      </c>
      <c r="D1410" s="5" t="n">
        <v>13.25</v>
      </c>
      <c r="E1410" s="6" t="n">
        <f aca="false">DATE(2024,4,8)</f>
        <v>45390</v>
      </c>
      <c r="F1410" s="7" t="n">
        <f aca="false">C1410*D1410</f>
        <v>662.5</v>
      </c>
      <c r="G1410" s="7" t="n">
        <f aca="false">ROUND(F1410*0.2,2)</f>
        <v>132.5</v>
      </c>
      <c r="H1410" s="4" t="str">
        <f aca="false">IF(F1410&gt;500,"Yüksek",IF(F1410&gt;100,"Orta","Düşük"))</f>
        <v>Yüksek</v>
      </c>
    </row>
    <row r="1411" customFormat="false" ht="12.8" hidden="false" customHeight="false" outlineLevel="0" collapsed="false">
      <c r="A1411" s="4" t="s">
        <v>23</v>
      </c>
      <c r="B1411" s="4" t="s">
        <v>17</v>
      </c>
      <c r="C1411" s="4" t="n">
        <v>7</v>
      </c>
      <c r="D1411" s="5" t="n">
        <v>16</v>
      </c>
      <c r="E1411" s="6" t="n">
        <f aca="false">DATE(2024,5,9)</f>
        <v>45421</v>
      </c>
      <c r="F1411" s="7" t="n">
        <f aca="false">C1411*D1411</f>
        <v>112</v>
      </c>
      <c r="G1411" s="7" t="n">
        <f aca="false">ROUND(F1411*0.2,2)</f>
        <v>22.4</v>
      </c>
      <c r="H1411" s="4" t="str">
        <f aca="false">IF(F1411&gt;500,"Yüksek",IF(F1411&gt;100,"Orta","Düşük"))</f>
        <v>Orta</v>
      </c>
    </row>
    <row r="1412" customFormat="false" ht="12.8" hidden="false" customHeight="false" outlineLevel="0" collapsed="false">
      <c r="A1412" s="4" t="s">
        <v>24</v>
      </c>
      <c r="B1412" s="4" t="s">
        <v>19</v>
      </c>
      <c r="C1412" s="4" t="n">
        <v>14</v>
      </c>
      <c r="D1412" s="5" t="n">
        <v>18.75</v>
      </c>
      <c r="E1412" s="6" t="n">
        <f aca="false">DATE(2024,6,10)</f>
        <v>45453</v>
      </c>
      <c r="F1412" s="7" t="n">
        <f aca="false">C1412*D1412</f>
        <v>262.5</v>
      </c>
      <c r="G1412" s="7" t="n">
        <f aca="false">ROUND(F1412*0.2,2)</f>
        <v>52.5</v>
      </c>
      <c r="H1412" s="4" t="str">
        <f aca="false">IF(F1412&gt;500,"Yüksek",IF(F1412&gt;100,"Orta","Düşük"))</f>
        <v>Orta</v>
      </c>
    </row>
    <row r="1413" customFormat="false" ht="12.8" hidden="false" customHeight="false" outlineLevel="0" collapsed="false">
      <c r="A1413" s="4" t="s">
        <v>10</v>
      </c>
      <c r="B1413" s="4" t="s">
        <v>11</v>
      </c>
      <c r="C1413" s="4" t="n">
        <v>21</v>
      </c>
      <c r="D1413" s="5" t="n">
        <v>21.5</v>
      </c>
      <c r="E1413" s="6" t="n">
        <f aca="false">DATE(2024,7,11)</f>
        <v>45484</v>
      </c>
      <c r="F1413" s="7" t="n">
        <f aca="false">C1413*D1413</f>
        <v>451.5</v>
      </c>
      <c r="G1413" s="7" t="n">
        <f aca="false">ROUND(F1413*0.2,2)</f>
        <v>90.3</v>
      </c>
      <c r="H1413" s="4" t="str">
        <f aca="false">IF(F1413&gt;500,"Yüksek",IF(F1413&gt;100,"Orta","Düşük"))</f>
        <v>Orta</v>
      </c>
    </row>
    <row r="1414" customFormat="false" ht="12.8" hidden="false" customHeight="false" outlineLevel="0" collapsed="false">
      <c r="A1414" s="4" t="s">
        <v>12</v>
      </c>
      <c r="B1414" s="4" t="s">
        <v>13</v>
      </c>
      <c r="C1414" s="4" t="n">
        <v>28</v>
      </c>
      <c r="D1414" s="5" t="n">
        <v>24.25</v>
      </c>
      <c r="E1414" s="6" t="n">
        <f aca="false">DATE(2024,8,12)</f>
        <v>45516</v>
      </c>
      <c r="F1414" s="7" t="n">
        <f aca="false">C1414*D1414</f>
        <v>679</v>
      </c>
      <c r="G1414" s="7" t="n">
        <f aca="false">ROUND(F1414*0.2,2)</f>
        <v>135.8</v>
      </c>
      <c r="H1414" s="4" t="str">
        <f aca="false">IF(F1414&gt;500,"Yüksek",IF(F1414&gt;100,"Orta","Düşük"))</f>
        <v>Yüksek</v>
      </c>
    </row>
    <row r="1415" customFormat="false" ht="12.8" hidden="false" customHeight="false" outlineLevel="0" collapsed="false">
      <c r="A1415" s="4" t="s">
        <v>14</v>
      </c>
      <c r="B1415" s="4" t="s">
        <v>15</v>
      </c>
      <c r="C1415" s="4" t="n">
        <v>35</v>
      </c>
      <c r="D1415" s="5" t="n">
        <v>27</v>
      </c>
      <c r="E1415" s="6" t="n">
        <f aca="false">DATE(2024,9,13)</f>
        <v>45548</v>
      </c>
      <c r="F1415" s="7" t="n">
        <f aca="false">C1415*D1415</f>
        <v>945</v>
      </c>
      <c r="G1415" s="7" t="n">
        <f aca="false">ROUND(F1415*0.2,2)</f>
        <v>189</v>
      </c>
      <c r="H1415" s="4" t="str">
        <f aca="false">IF(F1415&gt;500,"Yüksek",IF(F1415&gt;100,"Orta","Düşük"))</f>
        <v>Yüksek</v>
      </c>
    </row>
    <row r="1416" customFormat="false" ht="12.8" hidden="false" customHeight="false" outlineLevel="0" collapsed="false">
      <c r="A1416" s="4" t="s">
        <v>16</v>
      </c>
      <c r="B1416" s="4" t="s">
        <v>17</v>
      </c>
      <c r="C1416" s="4" t="n">
        <v>42</v>
      </c>
      <c r="D1416" s="5" t="n">
        <v>29.75</v>
      </c>
      <c r="E1416" s="6" t="n">
        <f aca="false">DATE(2024,10,14)</f>
        <v>45579</v>
      </c>
      <c r="F1416" s="7" t="n">
        <f aca="false">C1416*D1416</f>
        <v>1249.5</v>
      </c>
      <c r="G1416" s="7" t="n">
        <f aca="false">ROUND(F1416*0.2,2)</f>
        <v>249.9</v>
      </c>
      <c r="H1416" s="4" t="str">
        <f aca="false">IF(F1416&gt;500,"Yüksek",IF(F1416&gt;100,"Orta","Düşük"))</f>
        <v>Yüksek</v>
      </c>
    </row>
    <row r="1417" customFormat="false" ht="12.8" hidden="false" customHeight="false" outlineLevel="0" collapsed="false">
      <c r="A1417" s="4" t="s">
        <v>18</v>
      </c>
      <c r="B1417" s="4" t="s">
        <v>19</v>
      </c>
      <c r="C1417" s="4" t="n">
        <v>49</v>
      </c>
      <c r="D1417" s="5" t="n">
        <v>32.5</v>
      </c>
      <c r="E1417" s="6" t="n">
        <f aca="false">DATE(2024,11,15)</f>
        <v>45611</v>
      </c>
      <c r="F1417" s="7" t="n">
        <f aca="false">C1417*D1417</f>
        <v>1592.5</v>
      </c>
      <c r="G1417" s="7" t="n">
        <f aca="false">ROUND(F1417*0.2,2)</f>
        <v>318.5</v>
      </c>
      <c r="H1417" s="4" t="str">
        <f aca="false">IF(F1417&gt;500,"Yüksek",IF(F1417&gt;100,"Orta","Düşük"))</f>
        <v>Yüksek</v>
      </c>
    </row>
    <row r="1418" customFormat="false" ht="12.8" hidden="false" customHeight="false" outlineLevel="0" collapsed="false">
      <c r="A1418" s="4" t="s">
        <v>20</v>
      </c>
      <c r="B1418" s="4" t="s">
        <v>11</v>
      </c>
      <c r="C1418" s="4" t="n">
        <v>6</v>
      </c>
      <c r="D1418" s="5" t="n">
        <v>35.25</v>
      </c>
      <c r="E1418" s="6" t="n">
        <f aca="false">DATE(2024,12,16)</f>
        <v>45642</v>
      </c>
      <c r="F1418" s="7" t="n">
        <f aca="false">C1418*D1418</f>
        <v>211.5</v>
      </c>
      <c r="G1418" s="7" t="n">
        <f aca="false">ROUND(F1418*0.2,2)</f>
        <v>42.3</v>
      </c>
      <c r="H1418" s="4" t="str">
        <f aca="false">IF(F1418&gt;500,"Yüksek",IF(F1418&gt;100,"Orta","Düşük"))</f>
        <v>Orta</v>
      </c>
    </row>
    <row r="1419" customFormat="false" ht="12.8" hidden="false" customHeight="false" outlineLevel="0" collapsed="false">
      <c r="A1419" s="4" t="s">
        <v>21</v>
      </c>
      <c r="B1419" s="4" t="s">
        <v>13</v>
      </c>
      <c r="C1419" s="4" t="n">
        <v>13</v>
      </c>
      <c r="D1419" s="5" t="n">
        <v>38</v>
      </c>
      <c r="E1419" s="6" t="n">
        <f aca="false">DATE(2024,1,17)</f>
        <v>45308</v>
      </c>
      <c r="F1419" s="7" t="n">
        <f aca="false">C1419*D1419</f>
        <v>494</v>
      </c>
      <c r="G1419" s="7" t="n">
        <f aca="false">ROUND(F1419*0.2,2)</f>
        <v>98.8</v>
      </c>
      <c r="H1419" s="4" t="str">
        <f aca="false">IF(F1419&gt;500,"Yüksek",IF(F1419&gt;100,"Orta","Düşük"))</f>
        <v>Orta</v>
      </c>
    </row>
    <row r="1420" customFormat="false" ht="12.8" hidden="false" customHeight="false" outlineLevel="0" collapsed="false">
      <c r="A1420" s="4" t="s">
        <v>22</v>
      </c>
      <c r="B1420" s="4" t="s">
        <v>15</v>
      </c>
      <c r="C1420" s="4" t="n">
        <v>20</v>
      </c>
      <c r="D1420" s="5" t="n">
        <v>5</v>
      </c>
      <c r="E1420" s="6" t="n">
        <f aca="false">DATE(2024,2,18)</f>
        <v>45340</v>
      </c>
      <c r="F1420" s="7" t="n">
        <f aca="false">C1420*D1420</f>
        <v>100</v>
      </c>
      <c r="G1420" s="7" t="n">
        <f aca="false">ROUND(F1420*0.2,2)</f>
        <v>20</v>
      </c>
      <c r="H1420" s="4" t="str">
        <f aca="false">IF(F1420&gt;500,"Yüksek",IF(F1420&gt;100,"Orta","Düşük"))</f>
        <v>Düşük</v>
      </c>
    </row>
    <row r="1421" customFormat="false" ht="12.8" hidden="false" customHeight="false" outlineLevel="0" collapsed="false">
      <c r="A1421" s="4" t="s">
        <v>23</v>
      </c>
      <c r="B1421" s="4" t="s">
        <v>17</v>
      </c>
      <c r="C1421" s="4" t="n">
        <v>27</v>
      </c>
      <c r="D1421" s="5" t="n">
        <v>7.75</v>
      </c>
      <c r="E1421" s="6" t="n">
        <f aca="false">DATE(2024,3,19)</f>
        <v>45370</v>
      </c>
      <c r="F1421" s="7" t="n">
        <f aca="false">C1421*D1421</f>
        <v>209.25</v>
      </c>
      <c r="G1421" s="7" t="n">
        <f aca="false">ROUND(F1421*0.2,2)</f>
        <v>41.85</v>
      </c>
      <c r="H1421" s="4" t="str">
        <f aca="false">IF(F1421&gt;500,"Yüksek",IF(F1421&gt;100,"Orta","Düşük"))</f>
        <v>Orta</v>
      </c>
    </row>
    <row r="1422" customFormat="false" ht="12.8" hidden="false" customHeight="false" outlineLevel="0" collapsed="false">
      <c r="A1422" s="4" t="s">
        <v>24</v>
      </c>
      <c r="B1422" s="4" t="s">
        <v>19</v>
      </c>
      <c r="C1422" s="4" t="n">
        <v>34</v>
      </c>
      <c r="D1422" s="5" t="n">
        <v>10.5</v>
      </c>
      <c r="E1422" s="6" t="n">
        <f aca="false">DATE(2024,4,20)</f>
        <v>45402</v>
      </c>
      <c r="F1422" s="7" t="n">
        <f aca="false">C1422*D1422</f>
        <v>357</v>
      </c>
      <c r="G1422" s="7" t="n">
        <f aca="false">ROUND(F1422*0.2,2)</f>
        <v>71.4</v>
      </c>
      <c r="H1422" s="4" t="str">
        <f aca="false">IF(F1422&gt;500,"Yüksek",IF(F1422&gt;100,"Orta","Düşük"))</f>
        <v>Orta</v>
      </c>
    </row>
    <row r="1423" customFormat="false" ht="12.8" hidden="false" customHeight="false" outlineLevel="0" collapsed="false">
      <c r="A1423" s="4" t="s">
        <v>10</v>
      </c>
      <c r="B1423" s="4" t="s">
        <v>11</v>
      </c>
      <c r="C1423" s="4" t="n">
        <v>41</v>
      </c>
      <c r="D1423" s="5" t="n">
        <v>13.25</v>
      </c>
      <c r="E1423" s="6" t="n">
        <f aca="false">DATE(2024,5,21)</f>
        <v>45433</v>
      </c>
      <c r="F1423" s="7" t="n">
        <f aca="false">C1423*D1423</f>
        <v>543.25</v>
      </c>
      <c r="G1423" s="7" t="n">
        <f aca="false">ROUND(F1423*0.2,2)</f>
        <v>108.65</v>
      </c>
      <c r="H1423" s="4" t="str">
        <f aca="false">IF(F1423&gt;500,"Yüksek",IF(F1423&gt;100,"Orta","Düşük"))</f>
        <v>Yüksek</v>
      </c>
    </row>
    <row r="1424" customFormat="false" ht="12.8" hidden="false" customHeight="false" outlineLevel="0" collapsed="false">
      <c r="A1424" s="4" t="s">
        <v>12</v>
      </c>
      <c r="B1424" s="4" t="s">
        <v>13</v>
      </c>
      <c r="C1424" s="4" t="n">
        <v>48</v>
      </c>
      <c r="D1424" s="5" t="n">
        <v>16</v>
      </c>
      <c r="E1424" s="6" t="n">
        <f aca="false">DATE(2024,6,22)</f>
        <v>45465</v>
      </c>
      <c r="F1424" s="7" t="n">
        <f aca="false">C1424*D1424</f>
        <v>768</v>
      </c>
      <c r="G1424" s="7" t="n">
        <f aca="false">ROUND(F1424*0.2,2)</f>
        <v>153.6</v>
      </c>
      <c r="H1424" s="4" t="str">
        <f aca="false">IF(F1424&gt;500,"Yüksek",IF(F1424&gt;100,"Orta","Düşük"))</f>
        <v>Yüksek</v>
      </c>
    </row>
    <row r="1425" customFormat="false" ht="12.8" hidden="false" customHeight="false" outlineLevel="0" collapsed="false">
      <c r="A1425" s="4" t="s">
        <v>14</v>
      </c>
      <c r="B1425" s="4" t="s">
        <v>15</v>
      </c>
      <c r="C1425" s="4" t="n">
        <v>5</v>
      </c>
      <c r="D1425" s="5" t="n">
        <v>18.75</v>
      </c>
      <c r="E1425" s="6" t="n">
        <f aca="false">DATE(2024,7,23)</f>
        <v>45496</v>
      </c>
      <c r="F1425" s="7" t="n">
        <f aca="false">C1425*D1425</f>
        <v>93.75</v>
      </c>
      <c r="G1425" s="7" t="n">
        <f aca="false">ROUND(F1425*0.2,2)</f>
        <v>18.75</v>
      </c>
      <c r="H1425" s="4" t="str">
        <f aca="false">IF(F1425&gt;500,"Yüksek",IF(F1425&gt;100,"Orta","Düşük"))</f>
        <v>Düşük</v>
      </c>
    </row>
    <row r="1426" customFormat="false" ht="12.8" hidden="false" customHeight="false" outlineLevel="0" collapsed="false">
      <c r="A1426" s="4" t="s">
        <v>16</v>
      </c>
      <c r="B1426" s="4" t="s">
        <v>17</v>
      </c>
      <c r="C1426" s="4" t="n">
        <v>12</v>
      </c>
      <c r="D1426" s="5" t="n">
        <v>21.5</v>
      </c>
      <c r="E1426" s="6" t="n">
        <f aca="false">DATE(2024,8,24)</f>
        <v>45528</v>
      </c>
      <c r="F1426" s="7" t="n">
        <f aca="false">C1426*D1426</f>
        <v>258</v>
      </c>
      <c r="G1426" s="7" t="n">
        <f aca="false">ROUND(F1426*0.2,2)</f>
        <v>51.6</v>
      </c>
      <c r="H1426" s="4" t="str">
        <f aca="false">IF(F1426&gt;500,"Yüksek",IF(F1426&gt;100,"Orta","Düşük"))</f>
        <v>Orta</v>
      </c>
    </row>
    <row r="1427" customFormat="false" ht="12.8" hidden="false" customHeight="false" outlineLevel="0" collapsed="false">
      <c r="A1427" s="4" t="s">
        <v>18</v>
      </c>
      <c r="B1427" s="4" t="s">
        <v>19</v>
      </c>
      <c r="C1427" s="4" t="n">
        <v>19</v>
      </c>
      <c r="D1427" s="5" t="n">
        <v>24.25</v>
      </c>
      <c r="E1427" s="6" t="n">
        <f aca="false">DATE(2024,9,25)</f>
        <v>45560</v>
      </c>
      <c r="F1427" s="7" t="n">
        <f aca="false">C1427*D1427</f>
        <v>460.75</v>
      </c>
      <c r="G1427" s="7" t="n">
        <f aca="false">ROUND(F1427*0.2,2)</f>
        <v>92.15</v>
      </c>
      <c r="H1427" s="4" t="str">
        <f aca="false">IF(F1427&gt;500,"Yüksek",IF(F1427&gt;100,"Orta","Düşük"))</f>
        <v>Orta</v>
      </c>
    </row>
    <row r="1428" customFormat="false" ht="12.8" hidden="false" customHeight="false" outlineLevel="0" collapsed="false">
      <c r="A1428" s="4" t="s">
        <v>20</v>
      </c>
      <c r="B1428" s="4" t="s">
        <v>11</v>
      </c>
      <c r="C1428" s="4" t="n">
        <v>26</v>
      </c>
      <c r="D1428" s="5" t="n">
        <v>27</v>
      </c>
      <c r="E1428" s="6" t="n">
        <f aca="false">DATE(2024,10,26)</f>
        <v>45591</v>
      </c>
      <c r="F1428" s="7" t="n">
        <f aca="false">C1428*D1428</f>
        <v>702</v>
      </c>
      <c r="G1428" s="7" t="n">
        <f aca="false">ROUND(F1428*0.2,2)</f>
        <v>140.4</v>
      </c>
      <c r="H1428" s="4" t="str">
        <f aca="false">IF(F1428&gt;500,"Yüksek",IF(F1428&gt;100,"Orta","Düşük"))</f>
        <v>Yüksek</v>
      </c>
    </row>
    <row r="1429" customFormat="false" ht="12.8" hidden="false" customHeight="false" outlineLevel="0" collapsed="false">
      <c r="A1429" s="4" t="s">
        <v>21</v>
      </c>
      <c r="B1429" s="4" t="s">
        <v>13</v>
      </c>
      <c r="C1429" s="4" t="n">
        <v>33</v>
      </c>
      <c r="D1429" s="5" t="n">
        <v>29.75</v>
      </c>
      <c r="E1429" s="6" t="n">
        <f aca="false">DATE(2024,11,27)</f>
        <v>45623</v>
      </c>
      <c r="F1429" s="7" t="n">
        <f aca="false">C1429*D1429</f>
        <v>981.75</v>
      </c>
      <c r="G1429" s="7" t="n">
        <f aca="false">ROUND(F1429*0.2,2)</f>
        <v>196.35</v>
      </c>
      <c r="H1429" s="4" t="str">
        <f aca="false">IF(F1429&gt;500,"Yüksek",IF(F1429&gt;100,"Orta","Düşük"))</f>
        <v>Yüksek</v>
      </c>
    </row>
    <row r="1430" customFormat="false" ht="12.8" hidden="false" customHeight="false" outlineLevel="0" collapsed="false">
      <c r="A1430" s="4" t="s">
        <v>22</v>
      </c>
      <c r="B1430" s="4" t="s">
        <v>15</v>
      </c>
      <c r="C1430" s="4" t="n">
        <v>40</v>
      </c>
      <c r="D1430" s="5" t="n">
        <v>32.5</v>
      </c>
      <c r="E1430" s="6" t="n">
        <f aca="false">DATE(2024,12,28)</f>
        <v>45654</v>
      </c>
      <c r="F1430" s="7" t="n">
        <f aca="false">C1430*D1430</f>
        <v>1300</v>
      </c>
      <c r="G1430" s="7" t="n">
        <f aca="false">ROUND(F1430*0.2,2)</f>
        <v>260</v>
      </c>
      <c r="H1430" s="4" t="str">
        <f aca="false">IF(F1430&gt;500,"Yüksek",IF(F1430&gt;100,"Orta","Düşük"))</f>
        <v>Yüksek</v>
      </c>
    </row>
    <row r="1431" customFormat="false" ht="12.8" hidden="false" customHeight="false" outlineLevel="0" collapsed="false">
      <c r="A1431" s="4" t="s">
        <v>23</v>
      </c>
      <c r="B1431" s="4" t="s">
        <v>17</v>
      </c>
      <c r="C1431" s="4" t="n">
        <v>47</v>
      </c>
      <c r="D1431" s="5" t="n">
        <v>35.25</v>
      </c>
      <c r="E1431" s="6" t="n">
        <f aca="false">DATE(2024,1,1)</f>
        <v>45292</v>
      </c>
      <c r="F1431" s="7" t="n">
        <f aca="false">C1431*D1431</f>
        <v>1656.75</v>
      </c>
      <c r="G1431" s="7" t="n">
        <f aca="false">ROUND(F1431*0.2,2)</f>
        <v>331.35</v>
      </c>
      <c r="H1431" s="4" t="str">
        <f aca="false">IF(F1431&gt;500,"Yüksek",IF(F1431&gt;100,"Orta","Düşük"))</f>
        <v>Yüksek</v>
      </c>
    </row>
    <row r="1432" customFormat="false" ht="12.8" hidden="false" customHeight="false" outlineLevel="0" collapsed="false">
      <c r="A1432" s="4" t="s">
        <v>24</v>
      </c>
      <c r="B1432" s="4" t="s">
        <v>19</v>
      </c>
      <c r="C1432" s="4" t="n">
        <v>4</v>
      </c>
      <c r="D1432" s="5" t="n">
        <v>38</v>
      </c>
      <c r="E1432" s="6" t="n">
        <f aca="false">DATE(2024,2,2)</f>
        <v>45324</v>
      </c>
      <c r="F1432" s="7" t="n">
        <f aca="false">C1432*D1432</f>
        <v>152</v>
      </c>
      <c r="G1432" s="7" t="n">
        <f aca="false">ROUND(F1432*0.2,2)</f>
        <v>30.4</v>
      </c>
      <c r="H1432" s="4" t="str">
        <f aca="false">IF(F1432&gt;500,"Yüksek",IF(F1432&gt;100,"Orta","Düşük"))</f>
        <v>Orta</v>
      </c>
    </row>
    <row r="1433" customFormat="false" ht="12.8" hidden="false" customHeight="false" outlineLevel="0" collapsed="false">
      <c r="A1433" s="4" t="s">
        <v>10</v>
      </c>
      <c r="B1433" s="4" t="s">
        <v>11</v>
      </c>
      <c r="C1433" s="4" t="n">
        <v>11</v>
      </c>
      <c r="D1433" s="5" t="n">
        <v>5</v>
      </c>
      <c r="E1433" s="6" t="n">
        <f aca="false">DATE(2024,3,3)</f>
        <v>45354</v>
      </c>
      <c r="F1433" s="7" t="n">
        <f aca="false">C1433*D1433</f>
        <v>55</v>
      </c>
      <c r="G1433" s="7" t="n">
        <f aca="false">ROUND(F1433*0.2,2)</f>
        <v>11</v>
      </c>
      <c r="H1433" s="4" t="str">
        <f aca="false">IF(F1433&gt;500,"Yüksek",IF(F1433&gt;100,"Orta","Düşük"))</f>
        <v>Düşük</v>
      </c>
    </row>
    <row r="1434" customFormat="false" ht="12.8" hidden="false" customHeight="false" outlineLevel="0" collapsed="false">
      <c r="A1434" s="4" t="s">
        <v>12</v>
      </c>
      <c r="B1434" s="4" t="s">
        <v>13</v>
      </c>
      <c r="C1434" s="4" t="n">
        <v>18</v>
      </c>
      <c r="D1434" s="5" t="n">
        <v>7.75</v>
      </c>
      <c r="E1434" s="6" t="n">
        <f aca="false">DATE(2024,4,4)</f>
        <v>45386</v>
      </c>
      <c r="F1434" s="7" t="n">
        <f aca="false">C1434*D1434</f>
        <v>139.5</v>
      </c>
      <c r="G1434" s="7" t="n">
        <f aca="false">ROUND(F1434*0.2,2)</f>
        <v>27.9</v>
      </c>
      <c r="H1434" s="4" t="str">
        <f aca="false">IF(F1434&gt;500,"Yüksek",IF(F1434&gt;100,"Orta","Düşük"))</f>
        <v>Orta</v>
      </c>
    </row>
    <row r="1435" customFormat="false" ht="12.8" hidden="false" customHeight="false" outlineLevel="0" collapsed="false">
      <c r="A1435" s="4" t="s">
        <v>14</v>
      </c>
      <c r="B1435" s="4" t="s">
        <v>15</v>
      </c>
      <c r="C1435" s="4" t="n">
        <v>25</v>
      </c>
      <c r="D1435" s="5" t="n">
        <v>10.5</v>
      </c>
      <c r="E1435" s="6" t="n">
        <f aca="false">DATE(2024,5,5)</f>
        <v>45417</v>
      </c>
      <c r="F1435" s="7" t="n">
        <f aca="false">C1435*D1435</f>
        <v>262.5</v>
      </c>
      <c r="G1435" s="7" t="n">
        <f aca="false">ROUND(F1435*0.2,2)</f>
        <v>52.5</v>
      </c>
      <c r="H1435" s="4" t="str">
        <f aca="false">IF(F1435&gt;500,"Yüksek",IF(F1435&gt;100,"Orta","Düşük"))</f>
        <v>Orta</v>
      </c>
    </row>
    <row r="1436" customFormat="false" ht="12.8" hidden="false" customHeight="false" outlineLevel="0" collapsed="false">
      <c r="A1436" s="4" t="s">
        <v>16</v>
      </c>
      <c r="B1436" s="4" t="s">
        <v>17</v>
      </c>
      <c r="C1436" s="4" t="n">
        <v>32</v>
      </c>
      <c r="D1436" s="5" t="n">
        <v>13.25</v>
      </c>
      <c r="E1436" s="6" t="n">
        <f aca="false">DATE(2024,6,6)</f>
        <v>45449</v>
      </c>
      <c r="F1436" s="7" t="n">
        <f aca="false">C1436*D1436</f>
        <v>424</v>
      </c>
      <c r="G1436" s="7" t="n">
        <f aca="false">ROUND(F1436*0.2,2)</f>
        <v>84.8</v>
      </c>
      <c r="H1436" s="4" t="str">
        <f aca="false">IF(F1436&gt;500,"Yüksek",IF(F1436&gt;100,"Orta","Düşük"))</f>
        <v>Orta</v>
      </c>
    </row>
    <row r="1437" customFormat="false" ht="12.8" hidden="false" customHeight="false" outlineLevel="0" collapsed="false">
      <c r="A1437" s="4" t="s">
        <v>18</v>
      </c>
      <c r="B1437" s="4" t="s">
        <v>19</v>
      </c>
      <c r="C1437" s="4" t="n">
        <v>39</v>
      </c>
      <c r="D1437" s="5" t="n">
        <v>16</v>
      </c>
      <c r="E1437" s="6" t="n">
        <f aca="false">DATE(2024,7,7)</f>
        <v>45480</v>
      </c>
      <c r="F1437" s="7" t="n">
        <f aca="false">C1437*D1437</f>
        <v>624</v>
      </c>
      <c r="G1437" s="7" t="n">
        <f aca="false">ROUND(F1437*0.2,2)</f>
        <v>124.8</v>
      </c>
      <c r="H1437" s="4" t="str">
        <f aca="false">IF(F1437&gt;500,"Yüksek",IF(F1437&gt;100,"Orta","Düşük"))</f>
        <v>Yüksek</v>
      </c>
    </row>
    <row r="1438" customFormat="false" ht="12.8" hidden="false" customHeight="false" outlineLevel="0" collapsed="false">
      <c r="A1438" s="4" t="s">
        <v>20</v>
      </c>
      <c r="B1438" s="4" t="s">
        <v>11</v>
      </c>
      <c r="C1438" s="4" t="n">
        <v>46</v>
      </c>
      <c r="D1438" s="5" t="n">
        <v>18.75</v>
      </c>
      <c r="E1438" s="6" t="n">
        <f aca="false">DATE(2024,8,8)</f>
        <v>45512</v>
      </c>
      <c r="F1438" s="7" t="n">
        <f aca="false">C1438*D1438</f>
        <v>862.5</v>
      </c>
      <c r="G1438" s="7" t="n">
        <f aca="false">ROUND(F1438*0.2,2)</f>
        <v>172.5</v>
      </c>
      <c r="H1438" s="4" t="str">
        <f aca="false">IF(F1438&gt;500,"Yüksek",IF(F1438&gt;100,"Orta","Düşük"))</f>
        <v>Yüksek</v>
      </c>
    </row>
    <row r="1439" customFormat="false" ht="12.8" hidden="false" customHeight="false" outlineLevel="0" collapsed="false">
      <c r="A1439" s="4" t="s">
        <v>21</v>
      </c>
      <c r="B1439" s="4" t="s">
        <v>13</v>
      </c>
      <c r="C1439" s="4" t="n">
        <v>3</v>
      </c>
      <c r="D1439" s="5" t="n">
        <v>21.5</v>
      </c>
      <c r="E1439" s="6" t="n">
        <f aca="false">DATE(2024,9,9)</f>
        <v>45544</v>
      </c>
      <c r="F1439" s="7" t="n">
        <f aca="false">C1439*D1439</f>
        <v>64.5</v>
      </c>
      <c r="G1439" s="7" t="n">
        <f aca="false">ROUND(F1439*0.2,2)</f>
        <v>12.9</v>
      </c>
      <c r="H1439" s="4" t="str">
        <f aca="false">IF(F1439&gt;500,"Yüksek",IF(F1439&gt;100,"Orta","Düşük"))</f>
        <v>Düşük</v>
      </c>
    </row>
    <row r="1440" customFormat="false" ht="12.8" hidden="false" customHeight="false" outlineLevel="0" collapsed="false">
      <c r="A1440" s="4" t="s">
        <v>22</v>
      </c>
      <c r="B1440" s="4" t="s">
        <v>15</v>
      </c>
      <c r="C1440" s="4" t="n">
        <v>10</v>
      </c>
      <c r="D1440" s="5" t="n">
        <v>24.25</v>
      </c>
      <c r="E1440" s="6" t="n">
        <f aca="false">DATE(2024,10,10)</f>
        <v>45575</v>
      </c>
      <c r="F1440" s="7" t="n">
        <f aca="false">C1440*D1440</f>
        <v>242.5</v>
      </c>
      <c r="G1440" s="7" t="n">
        <f aca="false">ROUND(F1440*0.2,2)</f>
        <v>48.5</v>
      </c>
      <c r="H1440" s="4" t="str">
        <f aca="false">IF(F1440&gt;500,"Yüksek",IF(F1440&gt;100,"Orta","Düşük"))</f>
        <v>Orta</v>
      </c>
    </row>
    <row r="1441" customFormat="false" ht="12.8" hidden="false" customHeight="false" outlineLevel="0" collapsed="false">
      <c r="A1441" s="4" t="s">
        <v>23</v>
      </c>
      <c r="B1441" s="4" t="s">
        <v>17</v>
      </c>
      <c r="C1441" s="4" t="n">
        <v>17</v>
      </c>
      <c r="D1441" s="5" t="n">
        <v>27</v>
      </c>
      <c r="E1441" s="6" t="n">
        <f aca="false">DATE(2024,11,11)</f>
        <v>45607</v>
      </c>
      <c r="F1441" s="7" t="n">
        <f aca="false">C1441*D1441</f>
        <v>459</v>
      </c>
      <c r="G1441" s="7" t="n">
        <f aca="false">ROUND(F1441*0.2,2)</f>
        <v>91.8</v>
      </c>
      <c r="H1441" s="4" t="str">
        <f aca="false">IF(F1441&gt;500,"Yüksek",IF(F1441&gt;100,"Orta","Düşük"))</f>
        <v>Orta</v>
      </c>
    </row>
    <row r="1442" customFormat="false" ht="12.8" hidden="false" customHeight="false" outlineLevel="0" collapsed="false">
      <c r="A1442" s="4" t="s">
        <v>24</v>
      </c>
      <c r="B1442" s="4" t="s">
        <v>19</v>
      </c>
      <c r="C1442" s="4" t="n">
        <v>24</v>
      </c>
      <c r="D1442" s="5" t="n">
        <v>29.75</v>
      </c>
      <c r="E1442" s="6" t="n">
        <f aca="false">DATE(2024,12,12)</f>
        <v>45638</v>
      </c>
      <c r="F1442" s="7" t="n">
        <f aca="false">C1442*D1442</f>
        <v>714</v>
      </c>
      <c r="G1442" s="7" t="n">
        <f aca="false">ROUND(F1442*0.2,2)</f>
        <v>142.8</v>
      </c>
      <c r="H1442" s="4" t="str">
        <f aca="false">IF(F1442&gt;500,"Yüksek",IF(F1442&gt;100,"Orta","Düşük"))</f>
        <v>Yüksek</v>
      </c>
    </row>
    <row r="1443" customFormat="false" ht="12.8" hidden="false" customHeight="false" outlineLevel="0" collapsed="false">
      <c r="A1443" s="4" t="s">
        <v>10</v>
      </c>
      <c r="B1443" s="4" t="s">
        <v>11</v>
      </c>
      <c r="C1443" s="4" t="n">
        <v>31</v>
      </c>
      <c r="D1443" s="5" t="n">
        <v>32.5</v>
      </c>
      <c r="E1443" s="6" t="n">
        <f aca="false">DATE(2024,1,13)</f>
        <v>45304</v>
      </c>
      <c r="F1443" s="7" t="n">
        <f aca="false">C1443*D1443</f>
        <v>1007.5</v>
      </c>
      <c r="G1443" s="7" t="n">
        <f aca="false">ROUND(F1443*0.2,2)</f>
        <v>201.5</v>
      </c>
      <c r="H1443" s="4" t="str">
        <f aca="false">IF(F1443&gt;500,"Yüksek",IF(F1443&gt;100,"Orta","Düşük"))</f>
        <v>Yüksek</v>
      </c>
    </row>
    <row r="1444" customFormat="false" ht="12.8" hidden="false" customHeight="false" outlineLevel="0" collapsed="false">
      <c r="A1444" s="4" t="s">
        <v>12</v>
      </c>
      <c r="B1444" s="4" t="s">
        <v>13</v>
      </c>
      <c r="C1444" s="4" t="n">
        <v>38</v>
      </c>
      <c r="D1444" s="5" t="n">
        <v>35.25</v>
      </c>
      <c r="E1444" s="6" t="n">
        <f aca="false">DATE(2024,2,14)</f>
        <v>45336</v>
      </c>
      <c r="F1444" s="7" t="n">
        <f aca="false">C1444*D1444</f>
        <v>1339.5</v>
      </c>
      <c r="G1444" s="7" t="n">
        <f aca="false">ROUND(F1444*0.2,2)</f>
        <v>267.9</v>
      </c>
      <c r="H1444" s="4" t="str">
        <f aca="false">IF(F1444&gt;500,"Yüksek",IF(F1444&gt;100,"Orta","Düşük"))</f>
        <v>Yüksek</v>
      </c>
    </row>
    <row r="1445" customFormat="false" ht="12.8" hidden="false" customHeight="false" outlineLevel="0" collapsed="false">
      <c r="A1445" s="4" t="s">
        <v>14</v>
      </c>
      <c r="B1445" s="4" t="s">
        <v>15</v>
      </c>
      <c r="C1445" s="4" t="n">
        <v>45</v>
      </c>
      <c r="D1445" s="5" t="n">
        <v>38</v>
      </c>
      <c r="E1445" s="6" t="n">
        <f aca="false">DATE(2024,3,15)</f>
        <v>45366</v>
      </c>
      <c r="F1445" s="7" t="n">
        <f aca="false">C1445*D1445</f>
        <v>1710</v>
      </c>
      <c r="G1445" s="7" t="n">
        <f aca="false">ROUND(F1445*0.2,2)</f>
        <v>342</v>
      </c>
      <c r="H1445" s="4" t="str">
        <f aca="false">IF(F1445&gt;500,"Yüksek",IF(F1445&gt;100,"Orta","Düşük"))</f>
        <v>Yüksek</v>
      </c>
    </row>
    <row r="1446" customFormat="false" ht="12.8" hidden="false" customHeight="false" outlineLevel="0" collapsed="false">
      <c r="A1446" s="4" t="s">
        <v>16</v>
      </c>
      <c r="B1446" s="4" t="s">
        <v>17</v>
      </c>
      <c r="C1446" s="4" t="n">
        <v>2</v>
      </c>
      <c r="D1446" s="5" t="n">
        <v>5</v>
      </c>
      <c r="E1446" s="6" t="n">
        <f aca="false">DATE(2024,4,16)</f>
        <v>45398</v>
      </c>
      <c r="F1446" s="7" t="n">
        <f aca="false">C1446*D1446</f>
        <v>10</v>
      </c>
      <c r="G1446" s="7" t="n">
        <f aca="false">ROUND(F1446*0.2,2)</f>
        <v>2</v>
      </c>
      <c r="H1446" s="4" t="str">
        <f aca="false">IF(F1446&gt;500,"Yüksek",IF(F1446&gt;100,"Orta","Düşük"))</f>
        <v>Düşük</v>
      </c>
    </row>
    <row r="1447" customFormat="false" ht="12.8" hidden="false" customHeight="false" outlineLevel="0" collapsed="false">
      <c r="A1447" s="4" t="s">
        <v>18</v>
      </c>
      <c r="B1447" s="4" t="s">
        <v>19</v>
      </c>
      <c r="C1447" s="4" t="n">
        <v>9</v>
      </c>
      <c r="D1447" s="5" t="n">
        <v>7.75</v>
      </c>
      <c r="E1447" s="6" t="n">
        <f aca="false">DATE(2024,5,17)</f>
        <v>45429</v>
      </c>
      <c r="F1447" s="7" t="n">
        <f aca="false">C1447*D1447</f>
        <v>69.75</v>
      </c>
      <c r="G1447" s="7" t="n">
        <f aca="false">ROUND(F1447*0.2,2)</f>
        <v>13.95</v>
      </c>
      <c r="H1447" s="4" t="str">
        <f aca="false">IF(F1447&gt;500,"Yüksek",IF(F1447&gt;100,"Orta","Düşük"))</f>
        <v>Düşük</v>
      </c>
    </row>
    <row r="1448" customFormat="false" ht="12.8" hidden="false" customHeight="false" outlineLevel="0" collapsed="false">
      <c r="A1448" s="4" t="s">
        <v>20</v>
      </c>
      <c r="B1448" s="4" t="s">
        <v>11</v>
      </c>
      <c r="C1448" s="4" t="n">
        <v>16</v>
      </c>
      <c r="D1448" s="5" t="n">
        <v>10.5</v>
      </c>
      <c r="E1448" s="6" t="n">
        <f aca="false">DATE(2024,6,18)</f>
        <v>45461</v>
      </c>
      <c r="F1448" s="7" t="n">
        <f aca="false">C1448*D1448</f>
        <v>168</v>
      </c>
      <c r="G1448" s="7" t="n">
        <f aca="false">ROUND(F1448*0.2,2)</f>
        <v>33.6</v>
      </c>
      <c r="H1448" s="4" t="str">
        <f aca="false">IF(F1448&gt;500,"Yüksek",IF(F1448&gt;100,"Orta","Düşük"))</f>
        <v>Orta</v>
      </c>
    </row>
    <row r="1449" customFormat="false" ht="12.8" hidden="false" customHeight="false" outlineLevel="0" collapsed="false">
      <c r="A1449" s="4" t="s">
        <v>21</v>
      </c>
      <c r="B1449" s="4" t="s">
        <v>13</v>
      </c>
      <c r="C1449" s="4" t="n">
        <v>23</v>
      </c>
      <c r="D1449" s="5" t="n">
        <v>13.25</v>
      </c>
      <c r="E1449" s="6" t="n">
        <f aca="false">DATE(2024,7,19)</f>
        <v>45492</v>
      </c>
      <c r="F1449" s="7" t="n">
        <f aca="false">C1449*D1449</f>
        <v>304.75</v>
      </c>
      <c r="G1449" s="7" t="n">
        <f aca="false">ROUND(F1449*0.2,2)</f>
        <v>60.95</v>
      </c>
      <c r="H1449" s="4" t="str">
        <f aca="false">IF(F1449&gt;500,"Yüksek",IF(F1449&gt;100,"Orta","Düşük"))</f>
        <v>Orta</v>
      </c>
    </row>
    <row r="1450" customFormat="false" ht="12.8" hidden="false" customHeight="false" outlineLevel="0" collapsed="false">
      <c r="A1450" s="4" t="s">
        <v>22</v>
      </c>
      <c r="B1450" s="4" t="s">
        <v>15</v>
      </c>
      <c r="C1450" s="4" t="n">
        <v>30</v>
      </c>
      <c r="D1450" s="5" t="n">
        <v>16</v>
      </c>
      <c r="E1450" s="6" t="n">
        <f aca="false">DATE(2024,8,20)</f>
        <v>45524</v>
      </c>
      <c r="F1450" s="7" t="n">
        <f aca="false">C1450*D1450</f>
        <v>480</v>
      </c>
      <c r="G1450" s="7" t="n">
        <f aca="false">ROUND(F1450*0.2,2)</f>
        <v>96</v>
      </c>
      <c r="H1450" s="4" t="str">
        <f aca="false">IF(F1450&gt;500,"Yüksek",IF(F1450&gt;100,"Orta","Düşük"))</f>
        <v>Orta</v>
      </c>
    </row>
    <row r="1451" customFormat="false" ht="12.8" hidden="false" customHeight="false" outlineLevel="0" collapsed="false">
      <c r="A1451" s="4" t="s">
        <v>23</v>
      </c>
      <c r="B1451" s="4" t="s">
        <v>17</v>
      </c>
      <c r="C1451" s="4" t="n">
        <v>37</v>
      </c>
      <c r="D1451" s="5" t="n">
        <v>18.75</v>
      </c>
      <c r="E1451" s="6" t="n">
        <f aca="false">DATE(2024,9,21)</f>
        <v>45556</v>
      </c>
      <c r="F1451" s="7" t="n">
        <f aca="false">C1451*D1451</f>
        <v>693.75</v>
      </c>
      <c r="G1451" s="7" t="n">
        <f aca="false">ROUND(F1451*0.2,2)</f>
        <v>138.75</v>
      </c>
      <c r="H1451" s="4" t="str">
        <f aca="false">IF(F1451&gt;500,"Yüksek",IF(F1451&gt;100,"Orta","Düşük"))</f>
        <v>Yüksek</v>
      </c>
    </row>
    <row r="1452" customFormat="false" ht="12.8" hidden="false" customHeight="false" outlineLevel="0" collapsed="false">
      <c r="A1452" s="4" t="s">
        <v>24</v>
      </c>
      <c r="B1452" s="4" t="s">
        <v>19</v>
      </c>
      <c r="C1452" s="4" t="n">
        <v>44</v>
      </c>
      <c r="D1452" s="5" t="n">
        <v>21.5</v>
      </c>
      <c r="E1452" s="6" t="n">
        <f aca="false">DATE(2024,10,22)</f>
        <v>45587</v>
      </c>
      <c r="F1452" s="7" t="n">
        <f aca="false">C1452*D1452</f>
        <v>946</v>
      </c>
      <c r="G1452" s="7" t="n">
        <f aca="false">ROUND(F1452*0.2,2)</f>
        <v>189.2</v>
      </c>
      <c r="H1452" s="4" t="str">
        <f aca="false">IF(F1452&gt;500,"Yüksek",IF(F1452&gt;100,"Orta","Düşük"))</f>
        <v>Yüksek</v>
      </c>
    </row>
    <row r="1453" customFormat="false" ht="12.8" hidden="false" customHeight="false" outlineLevel="0" collapsed="false">
      <c r="A1453" s="4" t="s">
        <v>10</v>
      </c>
      <c r="B1453" s="4" t="s">
        <v>11</v>
      </c>
      <c r="C1453" s="4" t="n">
        <v>1</v>
      </c>
      <c r="D1453" s="5" t="n">
        <v>24.25</v>
      </c>
      <c r="E1453" s="6" t="n">
        <f aca="false">DATE(2024,11,23)</f>
        <v>45619</v>
      </c>
      <c r="F1453" s="7" t="n">
        <f aca="false">C1453*D1453</f>
        <v>24.25</v>
      </c>
      <c r="G1453" s="7" t="n">
        <f aca="false">ROUND(F1453*0.2,2)</f>
        <v>4.85</v>
      </c>
      <c r="H1453" s="4" t="str">
        <f aca="false">IF(F1453&gt;500,"Yüksek",IF(F1453&gt;100,"Orta","Düşük"))</f>
        <v>Düşük</v>
      </c>
    </row>
    <row r="1454" customFormat="false" ht="12.8" hidden="false" customHeight="false" outlineLevel="0" collapsed="false">
      <c r="A1454" s="4" t="s">
        <v>12</v>
      </c>
      <c r="B1454" s="4" t="s">
        <v>13</v>
      </c>
      <c r="C1454" s="4" t="n">
        <v>8</v>
      </c>
      <c r="D1454" s="5" t="n">
        <v>27</v>
      </c>
      <c r="E1454" s="6" t="n">
        <f aca="false">DATE(2024,12,24)</f>
        <v>45650</v>
      </c>
      <c r="F1454" s="7" t="n">
        <f aca="false">C1454*D1454</f>
        <v>216</v>
      </c>
      <c r="G1454" s="7" t="n">
        <f aca="false">ROUND(F1454*0.2,2)</f>
        <v>43.2</v>
      </c>
      <c r="H1454" s="4" t="str">
        <f aca="false">IF(F1454&gt;500,"Yüksek",IF(F1454&gt;100,"Orta","Düşük"))</f>
        <v>Orta</v>
      </c>
    </row>
    <row r="1455" customFormat="false" ht="12.8" hidden="false" customHeight="false" outlineLevel="0" collapsed="false">
      <c r="A1455" s="4" t="s">
        <v>14</v>
      </c>
      <c r="B1455" s="4" t="s">
        <v>15</v>
      </c>
      <c r="C1455" s="4" t="n">
        <v>15</v>
      </c>
      <c r="D1455" s="5" t="n">
        <v>29.75</v>
      </c>
      <c r="E1455" s="6" t="n">
        <f aca="false">DATE(2024,1,25)</f>
        <v>45316</v>
      </c>
      <c r="F1455" s="7" t="n">
        <f aca="false">C1455*D1455</f>
        <v>446.25</v>
      </c>
      <c r="G1455" s="7" t="n">
        <f aca="false">ROUND(F1455*0.2,2)</f>
        <v>89.25</v>
      </c>
      <c r="H1455" s="4" t="str">
        <f aca="false">IF(F1455&gt;500,"Yüksek",IF(F1455&gt;100,"Orta","Düşük"))</f>
        <v>Orta</v>
      </c>
    </row>
    <row r="1456" customFormat="false" ht="12.8" hidden="false" customHeight="false" outlineLevel="0" collapsed="false">
      <c r="A1456" s="4" t="s">
        <v>16</v>
      </c>
      <c r="B1456" s="4" t="s">
        <v>17</v>
      </c>
      <c r="C1456" s="4" t="n">
        <v>22</v>
      </c>
      <c r="D1456" s="5" t="n">
        <v>32.5</v>
      </c>
      <c r="E1456" s="6" t="n">
        <f aca="false">DATE(2024,2,26)</f>
        <v>45348</v>
      </c>
      <c r="F1456" s="7" t="n">
        <f aca="false">C1456*D1456</f>
        <v>715</v>
      </c>
      <c r="G1456" s="7" t="n">
        <f aca="false">ROUND(F1456*0.2,2)</f>
        <v>143</v>
      </c>
      <c r="H1456" s="4" t="str">
        <f aca="false">IF(F1456&gt;500,"Yüksek",IF(F1456&gt;100,"Orta","Düşük"))</f>
        <v>Yüksek</v>
      </c>
    </row>
    <row r="1457" customFormat="false" ht="12.8" hidden="false" customHeight="false" outlineLevel="0" collapsed="false">
      <c r="A1457" s="4" t="s">
        <v>18</v>
      </c>
      <c r="B1457" s="4" t="s">
        <v>19</v>
      </c>
      <c r="C1457" s="4" t="n">
        <v>29</v>
      </c>
      <c r="D1457" s="5" t="n">
        <v>35.25</v>
      </c>
      <c r="E1457" s="6" t="n">
        <f aca="false">DATE(2024,3,27)</f>
        <v>45378</v>
      </c>
      <c r="F1457" s="7" t="n">
        <f aca="false">C1457*D1457</f>
        <v>1022.25</v>
      </c>
      <c r="G1457" s="7" t="n">
        <f aca="false">ROUND(F1457*0.2,2)</f>
        <v>204.45</v>
      </c>
      <c r="H1457" s="4" t="str">
        <f aca="false">IF(F1457&gt;500,"Yüksek",IF(F1457&gt;100,"Orta","Düşük"))</f>
        <v>Yüksek</v>
      </c>
    </row>
    <row r="1458" customFormat="false" ht="12.8" hidden="false" customHeight="false" outlineLevel="0" collapsed="false">
      <c r="A1458" s="4" t="s">
        <v>20</v>
      </c>
      <c r="B1458" s="4" t="s">
        <v>11</v>
      </c>
      <c r="C1458" s="4" t="n">
        <v>36</v>
      </c>
      <c r="D1458" s="5" t="n">
        <v>38</v>
      </c>
      <c r="E1458" s="6" t="n">
        <f aca="false">DATE(2024,4,28)</f>
        <v>45410</v>
      </c>
      <c r="F1458" s="7" t="n">
        <f aca="false">C1458*D1458</f>
        <v>1368</v>
      </c>
      <c r="G1458" s="7" t="n">
        <f aca="false">ROUND(F1458*0.2,2)</f>
        <v>273.6</v>
      </c>
      <c r="H1458" s="4" t="str">
        <f aca="false">IF(F1458&gt;500,"Yüksek",IF(F1458&gt;100,"Orta","Düşük"))</f>
        <v>Yüksek</v>
      </c>
    </row>
    <row r="1459" customFormat="false" ht="12.8" hidden="false" customHeight="false" outlineLevel="0" collapsed="false">
      <c r="A1459" s="4" t="s">
        <v>21</v>
      </c>
      <c r="B1459" s="4" t="s">
        <v>13</v>
      </c>
      <c r="C1459" s="4" t="n">
        <v>43</v>
      </c>
      <c r="D1459" s="5" t="n">
        <v>5</v>
      </c>
      <c r="E1459" s="6" t="n">
        <f aca="false">DATE(2024,5,1)</f>
        <v>45413</v>
      </c>
      <c r="F1459" s="7" t="n">
        <f aca="false">C1459*D1459</f>
        <v>215</v>
      </c>
      <c r="G1459" s="7" t="n">
        <f aca="false">ROUND(F1459*0.2,2)</f>
        <v>43</v>
      </c>
      <c r="H1459" s="4" t="str">
        <f aca="false">IF(F1459&gt;500,"Yüksek",IF(F1459&gt;100,"Orta","Düşük"))</f>
        <v>Orta</v>
      </c>
    </row>
    <row r="1460" customFormat="false" ht="12.8" hidden="false" customHeight="false" outlineLevel="0" collapsed="false">
      <c r="A1460" s="4" t="s">
        <v>22</v>
      </c>
      <c r="B1460" s="4" t="s">
        <v>15</v>
      </c>
      <c r="C1460" s="4" t="n">
        <v>50</v>
      </c>
      <c r="D1460" s="5" t="n">
        <v>7.75</v>
      </c>
      <c r="E1460" s="6" t="n">
        <f aca="false">DATE(2024,6,2)</f>
        <v>45445</v>
      </c>
      <c r="F1460" s="7" t="n">
        <f aca="false">C1460*D1460</f>
        <v>387.5</v>
      </c>
      <c r="G1460" s="7" t="n">
        <f aca="false">ROUND(F1460*0.2,2)</f>
        <v>77.5</v>
      </c>
      <c r="H1460" s="4" t="str">
        <f aca="false">IF(F1460&gt;500,"Yüksek",IF(F1460&gt;100,"Orta","Düşük"))</f>
        <v>Orta</v>
      </c>
    </row>
    <row r="1461" customFormat="false" ht="12.8" hidden="false" customHeight="false" outlineLevel="0" collapsed="false">
      <c r="A1461" s="4" t="s">
        <v>23</v>
      </c>
      <c r="B1461" s="4" t="s">
        <v>17</v>
      </c>
      <c r="C1461" s="4" t="n">
        <v>7</v>
      </c>
      <c r="D1461" s="5" t="n">
        <v>10.5</v>
      </c>
      <c r="E1461" s="6" t="n">
        <f aca="false">DATE(2024,7,3)</f>
        <v>45476</v>
      </c>
      <c r="F1461" s="7" t="n">
        <f aca="false">C1461*D1461</f>
        <v>73.5</v>
      </c>
      <c r="G1461" s="7" t="n">
        <f aca="false">ROUND(F1461*0.2,2)</f>
        <v>14.7</v>
      </c>
      <c r="H1461" s="4" t="str">
        <f aca="false">IF(F1461&gt;500,"Yüksek",IF(F1461&gt;100,"Orta","Düşük"))</f>
        <v>Düşük</v>
      </c>
    </row>
    <row r="1462" customFormat="false" ht="12.8" hidden="false" customHeight="false" outlineLevel="0" collapsed="false">
      <c r="A1462" s="4" t="s">
        <v>24</v>
      </c>
      <c r="B1462" s="4" t="s">
        <v>19</v>
      </c>
      <c r="C1462" s="4" t="n">
        <v>14</v>
      </c>
      <c r="D1462" s="5" t="n">
        <v>13.25</v>
      </c>
      <c r="E1462" s="6" t="n">
        <f aca="false">DATE(2024,8,4)</f>
        <v>45508</v>
      </c>
      <c r="F1462" s="7" t="n">
        <f aca="false">C1462*D1462</f>
        <v>185.5</v>
      </c>
      <c r="G1462" s="7" t="n">
        <f aca="false">ROUND(F1462*0.2,2)</f>
        <v>37.1</v>
      </c>
      <c r="H1462" s="4" t="str">
        <f aca="false">IF(F1462&gt;500,"Yüksek",IF(F1462&gt;100,"Orta","Düşük"))</f>
        <v>Orta</v>
      </c>
    </row>
    <row r="1463" customFormat="false" ht="12.8" hidden="false" customHeight="false" outlineLevel="0" collapsed="false">
      <c r="A1463" s="4" t="s">
        <v>10</v>
      </c>
      <c r="B1463" s="4" t="s">
        <v>11</v>
      </c>
      <c r="C1463" s="4" t="n">
        <v>21</v>
      </c>
      <c r="D1463" s="5" t="n">
        <v>16</v>
      </c>
      <c r="E1463" s="6" t="n">
        <f aca="false">DATE(2024,9,5)</f>
        <v>45540</v>
      </c>
      <c r="F1463" s="7" t="n">
        <f aca="false">C1463*D1463</f>
        <v>336</v>
      </c>
      <c r="G1463" s="7" t="n">
        <f aca="false">ROUND(F1463*0.2,2)</f>
        <v>67.2</v>
      </c>
      <c r="H1463" s="4" t="str">
        <f aca="false">IF(F1463&gt;500,"Yüksek",IF(F1463&gt;100,"Orta","Düşük"))</f>
        <v>Orta</v>
      </c>
    </row>
    <row r="1464" customFormat="false" ht="12.8" hidden="false" customHeight="false" outlineLevel="0" collapsed="false">
      <c r="A1464" s="4" t="s">
        <v>12</v>
      </c>
      <c r="B1464" s="4" t="s">
        <v>13</v>
      </c>
      <c r="C1464" s="4" t="n">
        <v>28</v>
      </c>
      <c r="D1464" s="5" t="n">
        <v>18.75</v>
      </c>
      <c r="E1464" s="6" t="n">
        <f aca="false">DATE(2024,10,6)</f>
        <v>45571</v>
      </c>
      <c r="F1464" s="7" t="n">
        <f aca="false">C1464*D1464</f>
        <v>525</v>
      </c>
      <c r="G1464" s="7" t="n">
        <f aca="false">ROUND(F1464*0.2,2)</f>
        <v>105</v>
      </c>
      <c r="H1464" s="4" t="str">
        <f aca="false">IF(F1464&gt;500,"Yüksek",IF(F1464&gt;100,"Orta","Düşük"))</f>
        <v>Yüksek</v>
      </c>
    </row>
    <row r="1465" customFormat="false" ht="12.8" hidden="false" customHeight="false" outlineLevel="0" collapsed="false">
      <c r="A1465" s="4" t="s">
        <v>14</v>
      </c>
      <c r="B1465" s="4" t="s">
        <v>15</v>
      </c>
      <c r="C1465" s="4" t="n">
        <v>35</v>
      </c>
      <c r="D1465" s="5" t="n">
        <v>21.5</v>
      </c>
      <c r="E1465" s="6" t="n">
        <f aca="false">DATE(2024,11,7)</f>
        <v>45603</v>
      </c>
      <c r="F1465" s="7" t="n">
        <f aca="false">C1465*D1465</f>
        <v>752.5</v>
      </c>
      <c r="G1465" s="7" t="n">
        <f aca="false">ROUND(F1465*0.2,2)</f>
        <v>150.5</v>
      </c>
      <c r="H1465" s="4" t="str">
        <f aca="false">IF(F1465&gt;500,"Yüksek",IF(F1465&gt;100,"Orta","Düşük"))</f>
        <v>Yüksek</v>
      </c>
    </row>
    <row r="1466" customFormat="false" ht="12.8" hidden="false" customHeight="false" outlineLevel="0" collapsed="false">
      <c r="A1466" s="4" t="s">
        <v>16</v>
      </c>
      <c r="B1466" s="4" t="s">
        <v>17</v>
      </c>
      <c r="C1466" s="4" t="n">
        <v>42</v>
      </c>
      <c r="D1466" s="5" t="n">
        <v>24.25</v>
      </c>
      <c r="E1466" s="6" t="n">
        <f aca="false">DATE(2024,12,8)</f>
        <v>45634</v>
      </c>
      <c r="F1466" s="7" t="n">
        <f aca="false">C1466*D1466</f>
        <v>1018.5</v>
      </c>
      <c r="G1466" s="7" t="n">
        <f aca="false">ROUND(F1466*0.2,2)</f>
        <v>203.7</v>
      </c>
      <c r="H1466" s="4" t="str">
        <f aca="false">IF(F1466&gt;500,"Yüksek",IF(F1466&gt;100,"Orta","Düşük"))</f>
        <v>Yüksek</v>
      </c>
    </row>
    <row r="1467" customFormat="false" ht="12.8" hidden="false" customHeight="false" outlineLevel="0" collapsed="false">
      <c r="A1467" s="4" t="s">
        <v>18</v>
      </c>
      <c r="B1467" s="4" t="s">
        <v>19</v>
      </c>
      <c r="C1467" s="4" t="n">
        <v>49</v>
      </c>
      <c r="D1467" s="5" t="n">
        <v>27</v>
      </c>
      <c r="E1467" s="6" t="n">
        <f aca="false">DATE(2024,1,9)</f>
        <v>45300</v>
      </c>
      <c r="F1467" s="7" t="n">
        <f aca="false">C1467*D1467</f>
        <v>1323</v>
      </c>
      <c r="G1467" s="7" t="n">
        <f aca="false">ROUND(F1467*0.2,2)</f>
        <v>264.6</v>
      </c>
      <c r="H1467" s="4" t="str">
        <f aca="false">IF(F1467&gt;500,"Yüksek",IF(F1467&gt;100,"Orta","Düşük"))</f>
        <v>Yüksek</v>
      </c>
    </row>
    <row r="1468" customFormat="false" ht="12.8" hidden="false" customHeight="false" outlineLevel="0" collapsed="false">
      <c r="A1468" s="4" t="s">
        <v>20</v>
      </c>
      <c r="B1468" s="4" t="s">
        <v>11</v>
      </c>
      <c r="C1468" s="4" t="n">
        <v>6</v>
      </c>
      <c r="D1468" s="5" t="n">
        <v>29.75</v>
      </c>
      <c r="E1468" s="6" t="n">
        <f aca="false">DATE(2024,2,10)</f>
        <v>45332</v>
      </c>
      <c r="F1468" s="7" t="n">
        <f aca="false">C1468*D1468</f>
        <v>178.5</v>
      </c>
      <c r="G1468" s="7" t="n">
        <f aca="false">ROUND(F1468*0.2,2)</f>
        <v>35.7</v>
      </c>
      <c r="H1468" s="4" t="str">
        <f aca="false">IF(F1468&gt;500,"Yüksek",IF(F1468&gt;100,"Orta","Düşük"))</f>
        <v>Orta</v>
      </c>
    </row>
    <row r="1469" customFormat="false" ht="12.8" hidden="false" customHeight="false" outlineLevel="0" collapsed="false">
      <c r="A1469" s="4" t="s">
        <v>21</v>
      </c>
      <c r="B1469" s="4" t="s">
        <v>13</v>
      </c>
      <c r="C1469" s="4" t="n">
        <v>13</v>
      </c>
      <c r="D1469" s="5" t="n">
        <v>32.5</v>
      </c>
      <c r="E1469" s="6" t="n">
        <f aca="false">DATE(2024,3,11)</f>
        <v>45362</v>
      </c>
      <c r="F1469" s="7" t="n">
        <f aca="false">C1469*D1469</f>
        <v>422.5</v>
      </c>
      <c r="G1469" s="7" t="n">
        <f aca="false">ROUND(F1469*0.2,2)</f>
        <v>84.5</v>
      </c>
      <c r="H1469" s="4" t="str">
        <f aca="false">IF(F1469&gt;500,"Yüksek",IF(F1469&gt;100,"Orta","Düşük"))</f>
        <v>Orta</v>
      </c>
    </row>
    <row r="1470" customFormat="false" ht="12.8" hidden="false" customHeight="false" outlineLevel="0" collapsed="false">
      <c r="A1470" s="4" t="s">
        <v>22</v>
      </c>
      <c r="B1470" s="4" t="s">
        <v>15</v>
      </c>
      <c r="C1470" s="4" t="n">
        <v>20</v>
      </c>
      <c r="D1470" s="5" t="n">
        <v>35.25</v>
      </c>
      <c r="E1470" s="6" t="n">
        <f aca="false">DATE(2024,4,12)</f>
        <v>45394</v>
      </c>
      <c r="F1470" s="7" t="n">
        <f aca="false">C1470*D1470</f>
        <v>705</v>
      </c>
      <c r="G1470" s="7" t="n">
        <f aca="false">ROUND(F1470*0.2,2)</f>
        <v>141</v>
      </c>
      <c r="H1470" s="4" t="str">
        <f aca="false">IF(F1470&gt;500,"Yüksek",IF(F1470&gt;100,"Orta","Düşük"))</f>
        <v>Yüksek</v>
      </c>
    </row>
    <row r="1471" customFormat="false" ht="12.8" hidden="false" customHeight="false" outlineLevel="0" collapsed="false">
      <c r="A1471" s="4" t="s">
        <v>23</v>
      </c>
      <c r="B1471" s="4" t="s">
        <v>17</v>
      </c>
      <c r="C1471" s="4" t="n">
        <v>27</v>
      </c>
      <c r="D1471" s="5" t="n">
        <v>38</v>
      </c>
      <c r="E1471" s="6" t="n">
        <f aca="false">DATE(2024,5,13)</f>
        <v>45425</v>
      </c>
      <c r="F1471" s="7" t="n">
        <f aca="false">C1471*D1471</f>
        <v>1026</v>
      </c>
      <c r="G1471" s="7" t="n">
        <f aca="false">ROUND(F1471*0.2,2)</f>
        <v>205.2</v>
      </c>
      <c r="H1471" s="4" t="str">
        <f aca="false">IF(F1471&gt;500,"Yüksek",IF(F1471&gt;100,"Orta","Düşük"))</f>
        <v>Yüksek</v>
      </c>
    </row>
    <row r="1472" customFormat="false" ht="12.8" hidden="false" customHeight="false" outlineLevel="0" collapsed="false">
      <c r="A1472" s="4" t="s">
        <v>24</v>
      </c>
      <c r="B1472" s="4" t="s">
        <v>19</v>
      </c>
      <c r="C1472" s="4" t="n">
        <v>34</v>
      </c>
      <c r="D1472" s="5" t="n">
        <v>5</v>
      </c>
      <c r="E1472" s="6" t="n">
        <f aca="false">DATE(2024,6,14)</f>
        <v>45457</v>
      </c>
      <c r="F1472" s="7" t="n">
        <f aca="false">C1472*D1472</f>
        <v>170</v>
      </c>
      <c r="G1472" s="7" t="n">
        <f aca="false">ROUND(F1472*0.2,2)</f>
        <v>34</v>
      </c>
      <c r="H1472" s="4" t="str">
        <f aca="false">IF(F1472&gt;500,"Yüksek",IF(F1472&gt;100,"Orta","Düşük"))</f>
        <v>Orta</v>
      </c>
    </row>
    <row r="1473" customFormat="false" ht="12.8" hidden="false" customHeight="false" outlineLevel="0" collapsed="false">
      <c r="A1473" s="4" t="s">
        <v>10</v>
      </c>
      <c r="B1473" s="4" t="s">
        <v>11</v>
      </c>
      <c r="C1473" s="4" t="n">
        <v>41</v>
      </c>
      <c r="D1473" s="5" t="n">
        <v>7.75</v>
      </c>
      <c r="E1473" s="6" t="n">
        <f aca="false">DATE(2024,7,15)</f>
        <v>45488</v>
      </c>
      <c r="F1473" s="7" t="n">
        <f aca="false">C1473*D1473</f>
        <v>317.75</v>
      </c>
      <c r="G1473" s="7" t="n">
        <f aca="false">ROUND(F1473*0.2,2)</f>
        <v>63.55</v>
      </c>
      <c r="H1473" s="4" t="str">
        <f aca="false">IF(F1473&gt;500,"Yüksek",IF(F1473&gt;100,"Orta","Düşük"))</f>
        <v>Orta</v>
      </c>
    </row>
    <row r="1474" customFormat="false" ht="12.8" hidden="false" customHeight="false" outlineLevel="0" collapsed="false">
      <c r="A1474" s="4" t="s">
        <v>12</v>
      </c>
      <c r="B1474" s="4" t="s">
        <v>13</v>
      </c>
      <c r="C1474" s="4" t="n">
        <v>48</v>
      </c>
      <c r="D1474" s="5" t="n">
        <v>10.5</v>
      </c>
      <c r="E1474" s="6" t="n">
        <f aca="false">DATE(2024,8,16)</f>
        <v>45520</v>
      </c>
      <c r="F1474" s="7" t="n">
        <f aca="false">C1474*D1474</f>
        <v>504</v>
      </c>
      <c r="G1474" s="7" t="n">
        <f aca="false">ROUND(F1474*0.2,2)</f>
        <v>100.8</v>
      </c>
      <c r="H1474" s="4" t="str">
        <f aca="false">IF(F1474&gt;500,"Yüksek",IF(F1474&gt;100,"Orta","Düşük"))</f>
        <v>Yüksek</v>
      </c>
    </row>
    <row r="1475" customFormat="false" ht="12.8" hidden="false" customHeight="false" outlineLevel="0" collapsed="false">
      <c r="A1475" s="4" t="s">
        <v>14</v>
      </c>
      <c r="B1475" s="4" t="s">
        <v>15</v>
      </c>
      <c r="C1475" s="4" t="n">
        <v>5</v>
      </c>
      <c r="D1475" s="5" t="n">
        <v>13.25</v>
      </c>
      <c r="E1475" s="6" t="n">
        <f aca="false">DATE(2024,9,17)</f>
        <v>45552</v>
      </c>
      <c r="F1475" s="7" t="n">
        <f aca="false">C1475*D1475</f>
        <v>66.25</v>
      </c>
      <c r="G1475" s="7" t="n">
        <f aca="false">ROUND(F1475*0.2,2)</f>
        <v>13.25</v>
      </c>
      <c r="H1475" s="4" t="str">
        <f aca="false">IF(F1475&gt;500,"Yüksek",IF(F1475&gt;100,"Orta","Düşük"))</f>
        <v>Düşük</v>
      </c>
    </row>
    <row r="1476" customFormat="false" ht="12.8" hidden="false" customHeight="false" outlineLevel="0" collapsed="false">
      <c r="A1476" s="4" t="s">
        <v>16</v>
      </c>
      <c r="B1476" s="4" t="s">
        <v>17</v>
      </c>
      <c r="C1476" s="4" t="n">
        <v>12</v>
      </c>
      <c r="D1476" s="5" t="n">
        <v>16</v>
      </c>
      <c r="E1476" s="6" t="n">
        <f aca="false">DATE(2024,10,18)</f>
        <v>45583</v>
      </c>
      <c r="F1476" s="7" t="n">
        <f aca="false">C1476*D1476</f>
        <v>192</v>
      </c>
      <c r="G1476" s="7" t="n">
        <f aca="false">ROUND(F1476*0.2,2)</f>
        <v>38.4</v>
      </c>
      <c r="H1476" s="4" t="str">
        <f aca="false">IF(F1476&gt;500,"Yüksek",IF(F1476&gt;100,"Orta","Düşük"))</f>
        <v>Orta</v>
      </c>
    </row>
    <row r="1477" customFormat="false" ht="12.8" hidden="false" customHeight="false" outlineLevel="0" collapsed="false">
      <c r="A1477" s="4" t="s">
        <v>18</v>
      </c>
      <c r="B1477" s="4" t="s">
        <v>19</v>
      </c>
      <c r="C1477" s="4" t="n">
        <v>19</v>
      </c>
      <c r="D1477" s="5" t="n">
        <v>18.75</v>
      </c>
      <c r="E1477" s="6" t="n">
        <f aca="false">DATE(2024,11,19)</f>
        <v>45615</v>
      </c>
      <c r="F1477" s="7" t="n">
        <f aca="false">C1477*D1477</f>
        <v>356.25</v>
      </c>
      <c r="G1477" s="7" t="n">
        <f aca="false">ROUND(F1477*0.2,2)</f>
        <v>71.25</v>
      </c>
      <c r="H1477" s="4" t="str">
        <f aca="false">IF(F1477&gt;500,"Yüksek",IF(F1477&gt;100,"Orta","Düşük"))</f>
        <v>Orta</v>
      </c>
    </row>
    <row r="1478" customFormat="false" ht="12.8" hidden="false" customHeight="false" outlineLevel="0" collapsed="false">
      <c r="A1478" s="4" t="s">
        <v>20</v>
      </c>
      <c r="B1478" s="4" t="s">
        <v>11</v>
      </c>
      <c r="C1478" s="4" t="n">
        <v>26</v>
      </c>
      <c r="D1478" s="5" t="n">
        <v>21.5</v>
      </c>
      <c r="E1478" s="6" t="n">
        <f aca="false">DATE(2024,12,20)</f>
        <v>45646</v>
      </c>
      <c r="F1478" s="7" t="n">
        <f aca="false">C1478*D1478</f>
        <v>559</v>
      </c>
      <c r="G1478" s="7" t="n">
        <f aca="false">ROUND(F1478*0.2,2)</f>
        <v>111.8</v>
      </c>
      <c r="H1478" s="4" t="str">
        <f aca="false">IF(F1478&gt;500,"Yüksek",IF(F1478&gt;100,"Orta","Düşük"))</f>
        <v>Yüksek</v>
      </c>
    </row>
    <row r="1479" customFormat="false" ht="12.8" hidden="false" customHeight="false" outlineLevel="0" collapsed="false">
      <c r="A1479" s="4" t="s">
        <v>21</v>
      </c>
      <c r="B1479" s="4" t="s">
        <v>13</v>
      </c>
      <c r="C1479" s="4" t="n">
        <v>33</v>
      </c>
      <c r="D1479" s="5" t="n">
        <v>24.25</v>
      </c>
      <c r="E1479" s="6" t="n">
        <f aca="false">DATE(2024,1,21)</f>
        <v>45312</v>
      </c>
      <c r="F1479" s="7" t="n">
        <f aca="false">C1479*D1479</f>
        <v>800.25</v>
      </c>
      <c r="G1479" s="7" t="n">
        <f aca="false">ROUND(F1479*0.2,2)</f>
        <v>160.05</v>
      </c>
      <c r="H1479" s="4" t="str">
        <f aca="false">IF(F1479&gt;500,"Yüksek",IF(F1479&gt;100,"Orta","Düşük"))</f>
        <v>Yüksek</v>
      </c>
    </row>
    <row r="1480" customFormat="false" ht="12.8" hidden="false" customHeight="false" outlineLevel="0" collapsed="false">
      <c r="A1480" s="4" t="s">
        <v>22</v>
      </c>
      <c r="B1480" s="4" t="s">
        <v>15</v>
      </c>
      <c r="C1480" s="4" t="n">
        <v>40</v>
      </c>
      <c r="D1480" s="5" t="n">
        <v>27</v>
      </c>
      <c r="E1480" s="6" t="n">
        <f aca="false">DATE(2024,2,22)</f>
        <v>45344</v>
      </c>
      <c r="F1480" s="7" t="n">
        <f aca="false">C1480*D1480</f>
        <v>1080</v>
      </c>
      <c r="G1480" s="7" t="n">
        <f aca="false">ROUND(F1480*0.2,2)</f>
        <v>216</v>
      </c>
      <c r="H1480" s="4" t="str">
        <f aca="false">IF(F1480&gt;500,"Yüksek",IF(F1480&gt;100,"Orta","Düşük"))</f>
        <v>Yüksek</v>
      </c>
    </row>
    <row r="1481" customFormat="false" ht="12.8" hidden="false" customHeight="false" outlineLevel="0" collapsed="false">
      <c r="A1481" s="4" t="s">
        <v>23</v>
      </c>
      <c r="B1481" s="4" t="s">
        <v>17</v>
      </c>
      <c r="C1481" s="4" t="n">
        <v>47</v>
      </c>
      <c r="D1481" s="5" t="n">
        <v>29.75</v>
      </c>
      <c r="E1481" s="6" t="n">
        <f aca="false">DATE(2024,3,23)</f>
        <v>45374</v>
      </c>
      <c r="F1481" s="7" t="n">
        <f aca="false">C1481*D1481</f>
        <v>1398.25</v>
      </c>
      <c r="G1481" s="7" t="n">
        <f aca="false">ROUND(F1481*0.2,2)</f>
        <v>279.65</v>
      </c>
      <c r="H1481" s="4" t="str">
        <f aca="false">IF(F1481&gt;500,"Yüksek",IF(F1481&gt;100,"Orta","Düşük"))</f>
        <v>Yüksek</v>
      </c>
    </row>
    <row r="1482" customFormat="false" ht="12.8" hidden="false" customHeight="false" outlineLevel="0" collapsed="false">
      <c r="A1482" s="4" t="s">
        <v>24</v>
      </c>
      <c r="B1482" s="4" t="s">
        <v>19</v>
      </c>
      <c r="C1482" s="4" t="n">
        <v>4</v>
      </c>
      <c r="D1482" s="5" t="n">
        <v>32.5</v>
      </c>
      <c r="E1482" s="6" t="n">
        <f aca="false">DATE(2024,4,24)</f>
        <v>45406</v>
      </c>
      <c r="F1482" s="7" t="n">
        <f aca="false">C1482*D1482</f>
        <v>130</v>
      </c>
      <c r="G1482" s="7" t="n">
        <f aca="false">ROUND(F1482*0.2,2)</f>
        <v>26</v>
      </c>
      <c r="H1482" s="4" t="str">
        <f aca="false">IF(F1482&gt;500,"Yüksek",IF(F1482&gt;100,"Orta","Düşük"))</f>
        <v>Orta</v>
      </c>
    </row>
    <row r="1483" customFormat="false" ht="12.8" hidden="false" customHeight="false" outlineLevel="0" collapsed="false">
      <c r="A1483" s="4" t="s">
        <v>10</v>
      </c>
      <c r="B1483" s="4" t="s">
        <v>11</v>
      </c>
      <c r="C1483" s="4" t="n">
        <v>11</v>
      </c>
      <c r="D1483" s="5" t="n">
        <v>35.25</v>
      </c>
      <c r="E1483" s="6" t="n">
        <f aca="false">DATE(2024,5,25)</f>
        <v>45437</v>
      </c>
      <c r="F1483" s="7" t="n">
        <f aca="false">C1483*D1483</f>
        <v>387.75</v>
      </c>
      <c r="G1483" s="7" t="n">
        <f aca="false">ROUND(F1483*0.2,2)</f>
        <v>77.55</v>
      </c>
      <c r="H1483" s="4" t="str">
        <f aca="false">IF(F1483&gt;500,"Yüksek",IF(F1483&gt;100,"Orta","Düşük"))</f>
        <v>Orta</v>
      </c>
    </row>
    <row r="1484" customFormat="false" ht="12.8" hidden="false" customHeight="false" outlineLevel="0" collapsed="false">
      <c r="A1484" s="4" t="s">
        <v>12</v>
      </c>
      <c r="B1484" s="4" t="s">
        <v>13</v>
      </c>
      <c r="C1484" s="4" t="n">
        <v>18</v>
      </c>
      <c r="D1484" s="5" t="n">
        <v>38</v>
      </c>
      <c r="E1484" s="6" t="n">
        <f aca="false">DATE(2024,6,26)</f>
        <v>45469</v>
      </c>
      <c r="F1484" s="7" t="n">
        <f aca="false">C1484*D1484</f>
        <v>684</v>
      </c>
      <c r="G1484" s="7" t="n">
        <f aca="false">ROUND(F1484*0.2,2)</f>
        <v>136.8</v>
      </c>
      <c r="H1484" s="4" t="str">
        <f aca="false">IF(F1484&gt;500,"Yüksek",IF(F1484&gt;100,"Orta","Düşük"))</f>
        <v>Yüksek</v>
      </c>
    </row>
    <row r="1485" customFormat="false" ht="12.8" hidden="false" customHeight="false" outlineLevel="0" collapsed="false">
      <c r="A1485" s="4" t="s">
        <v>14</v>
      </c>
      <c r="B1485" s="4" t="s">
        <v>15</v>
      </c>
      <c r="C1485" s="4" t="n">
        <v>25</v>
      </c>
      <c r="D1485" s="5" t="n">
        <v>5</v>
      </c>
      <c r="E1485" s="6" t="n">
        <f aca="false">DATE(2024,7,27)</f>
        <v>45500</v>
      </c>
      <c r="F1485" s="7" t="n">
        <f aca="false">C1485*D1485</f>
        <v>125</v>
      </c>
      <c r="G1485" s="7" t="n">
        <f aca="false">ROUND(F1485*0.2,2)</f>
        <v>25</v>
      </c>
      <c r="H1485" s="4" t="str">
        <f aca="false">IF(F1485&gt;500,"Yüksek",IF(F1485&gt;100,"Orta","Düşük"))</f>
        <v>Orta</v>
      </c>
    </row>
    <row r="1486" customFormat="false" ht="12.8" hidden="false" customHeight="false" outlineLevel="0" collapsed="false">
      <c r="A1486" s="4" t="s">
        <v>16</v>
      </c>
      <c r="B1486" s="4" t="s">
        <v>17</v>
      </c>
      <c r="C1486" s="4" t="n">
        <v>32</v>
      </c>
      <c r="D1486" s="5" t="n">
        <v>7.75</v>
      </c>
      <c r="E1486" s="6" t="n">
        <f aca="false">DATE(2024,8,28)</f>
        <v>45532</v>
      </c>
      <c r="F1486" s="7" t="n">
        <f aca="false">C1486*D1486</f>
        <v>248</v>
      </c>
      <c r="G1486" s="7" t="n">
        <f aca="false">ROUND(F1486*0.2,2)</f>
        <v>49.6</v>
      </c>
      <c r="H1486" s="4" t="str">
        <f aca="false">IF(F1486&gt;500,"Yüksek",IF(F1486&gt;100,"Orta","Düşük"))</f>
        <v>Orta</v>
      </c>
    </row>
    <row r="1487" customFormat="false" ht="12.8" hidden="false" customHeight="false" outlineLevel="0" collapsed="false">
      <c r="A1487" s="4" t="s">
        <v>18</v>
      </c>
      <c r="B1487" s="4" t="s">
        <v>19</v>
      </c>
      <c r="C1487" s="4" t="n">
        <v>39</v>
      </c>
      <c r="D1487" s="5" t="n">
        <v>10.5</v>
      </c>
      <c r="E1487" s="6" t="n">
        <f aca="false">DATE(2024,9,1)</f>
        <v>45536</v>
      </c>
      <c r="F1487" s="7" t="n">
        <f aca="false">C1487*D1487</f>
        <v>409.5</v>
      </c>
      <c r="G1487" s="7" t="n">
        <f aca="false">ROUND(F1487*0.2,2)</f>
        <v>81.9</v>
      </c>
      <c r="H1487" s="4" t="str">
        <f aca="false">IF(F1487&gt;500,"Yüksek",IF(F1487&gt;100,"Orta","Düşük"))</f>
        <v>Orta</v>
      </c>
    </row>
    <row r="1488" customFormat="false" ht="12.8" hidden="false" customHeight="false" outlineLevel="0" collapsed="false">
      <c r="A1488" s="4" t="s">
        <v>20</v>
      </c>
      <c r="B1488" s="4" t="s">
        <v>11</v>
      </c>
      <c r="C1488" s="4" t="n">
        <v>46</v>
      </c>
      <c r="D1488" s="5" t="n">
        <v>13.25</v>
      </c>
      <c r="E1488" s="6" t="n">
        <f aca="false">DATE(2024,10,2)</f>
        <v>45567</v>
      </c>
      <c r="F1488" s="7" t="n">
        <f aca="false">C1488*D1488</f>
        <v>609.5</v>
      </c>
      <c r="G1488" s="7" t="n">
        <f aca="false">ROUND(F1488*0.2,2)</f>
        <v>121.9</v>
      </c>
      <c r="H1488" s="4" t="str">
        <f aca="false">IF(F1488&gt;500,"Yüksek",IF(F1488&gt;100,"Orta","Düşük"))</f>
        <v>Yüksek</v>
      </c>
    </row>
    <row r="1489" customFormat="false" ht="12.8" hidden="false" customHeight="false" outlineLevel="0" collapsed="false">
      <c r="A1489" s="4" t="s">
        <v>21</v>
      </c>
      <c r="B1489" s="4" t="s">
        <v>13</v>
      </c>
      <c r="C1489" s="4" t="n">
        <v>3</v>
      </c>
      <c r="D1489" s="5" t="n">
        <v>16</v>
      </c>
      <c r="E1489" s="6" t="n">
        <f aca="false">DATE(2024,11,3)</f>
        <v>45599</v>
      </c>
      <c r="F1489" s="7" t="n">
        <f aca="false">C1489*D1489</f>
        <v>48</v>
      </c>
      <c r="G1489" s="7" t="n">
        <f aca="false">ROUND(F1489*0.2,2)</f>
        <v>9.6</v>
      </c>
      <c r="H1489" s="4" t="str">
        <f aca="false">IF(F1489&gt;500,"Yüksek",IF(F1489&gt;100,"Orta","Düşük"))</f>
        <v>Düşük</v>
      </c>
    </row>
    <row r="1490" customFormat="false" ht="12.8" hidden="false" customHeight="false" outlineLevel="0" collapsed="false">
      <c r="A1490" s="4" t="s">
        <v>22</v>
      </c>
      <c r="B1490" s="4" t="s">
        <v>15</v>
      </c>
      <c r="C1490" s="4" t="n">
        <v>10</v>
      </c>
      <c r="D1490" s="5" t="n">
        <v>18.75</v>
      </c>
      <c r="E1490" s="6" t="n">
        <f aca="false">DATE(2024,12,4)</f>
        <v>45630</v>
      </c>
      <c r="F1490" s="7" t="n">
        <f aca="false">C1490*D1490</f>
        <v>187.5</v>
      </c>
      <c r="G1490" s="7" t="n">
        <f aca="false">ROUND(F1490*0.2,2)</f>
        <v>37.5</v>
      </c>
      <c r="H1490" s="4" t="str">
        <f aca="false">IF(F1490&gt;500,"Yüksek",IF(F1490&gt;100,"Orta","Düşük"))</f>
        <v>Orta</v>
      </c>
    </row>
    <row r="1491" customFormat="false" ht="12.8" hidden="false" customHeight="false" outlineLevel="0" collapsed="false">
      <c r="A1491" s="4" t="s">
        <v>23</v>
      </c>
      <c r="B1491" s="4" t="s">
        <v>17</v>
      </c>
      <c r="C1491" s="4" t="n">
        <v>17</v>
      </c>
      <c r="D1491" s="5" t="n">
        <v>21.5</v>
      </c>
      <c r="E1491" s="6" t="n">
        <f aca="false">DATE(2024,1,5)</f>
        <v>45296</v>
      </c>
      <c r="F1491" s="7" t="n">
        <f aca="false">C1491*D1491</f>
        <v>365.5</v>
      </c>
      <c r="G1491" s="7" t="n">
        <f aca="false">ROUND(F1491*0.2,2)</f>
        <v>73.1</v>
      </c>
      <c r="H1491" s="4" t="str">
        <f aca="false">IF(F1491&gt;500,"Yüksek",IF(F1491&gt;100,"Orta","Düşük"))</f>
        <v>Orta</v>
      </c>
    </row>
    <row r="1492" customFormat="false" ht="12.8" hidden="false" customHeight="false" outlineLevel="0" collapsed="false">
      <c r="A1492" s="4" t="s">
        <v>24</v>
      </c>
      <c r="B1492" s="4" t="s">
        <v>19</v>
      </c>
      <c r="C1492" s="4" t="n">
        <v>24</v>
      </c>
      <c r="D1492" s="5" t="n">
        <v>24.25</v>
      </c>
      <c r="E1492" s="6" t="n">
        <f aca="false">DATE(2024,2,6)</f>
        <v>45328</v>
      </c>
      <c r="F1492" s="7" t="n">
        <f aca="false">C1492*D1492</f>
        <v>582</v>
      </c>
      <c r="G1492" s="7" t="n">
        <f aca="false">ROUND(F1492*0.2,2)</f>
        <v>116.4</v>
      </c>
      <c r="H1492" s="4" t="str">
        <f aca="false">IF(F1492&gt;500,"Yüksek",IF(F1492&gt;100,"Orta","Düşük"))</f>
        <v>Yüksek</v>
      </c>
    </row>
    <row r="1493" customFormat="false" ht="12.8" hidden="false" customHeight="false" outlineLevel="0" collapsed="false">
      <c r="A1493" s="4" t="s">
        <v>10</v>
      </c>
      <c r="B1493" s="4" t="s">
        <v>11</v>
      </c>
      <c r="C1493" s="4" t="n">
        <v>31</v>
      </c>
      <c r="D1493" s="5" t="n">
        <v>27</v>
      </c>
      <c r="E1493" s="6" t="n">
        <f aca="false">DATE(2024,3,7)</f>
        <v>45358</v>
      </c>
      <c r="F1493" s="7" t="n">
        <f aca="false">C1493*D1493</f>
        <v>837</v>
      </c>
      <c r="G1493" s="7" t="n">
        <f aca="false">ROUND(F1493*0.2,2)</f>
        <v>167.4</v>
      </c>
      <c r="H1493" s="4" t="str">
        <f aca="false">IF(F1493&gt;500,"Yüksek",IF(F1493&gt;100,"Orta","Düşük"))</f>
        <v>Yüksek</v>
      </c>
    </row>
    <row r="1494" customFormat="false" ht="12.8" hidden="false" customHeight="false" outlineLevel="0" collapsed="false">
      <c r="A1494" s="4" t="s">
        <v>12</v>
      </c>
      <c r="B1494" s="4" t="s">
        <v>13</v>
      </c>
      <c r="C1494" s="4" t="n">
        <v>38</v>
      </c>
      <c r="D1494" s="5" t="n">
        <v>29.75</v>
      </c>
      <c r="E1494" s="6" t="n">
        <f aca="false">DATE(2024,4,8)</f>
        <v>45390</v>
      </c>
      <c r="F1494" s="7" t="n">
        <f aca="false">C1494*D1494</f>
        <v>1130.5</v>
      </c>
      <c r="G1494" s="7" t="n">
        <f aca="false">ROUND(F1494*0.2,2)</f>
        <v>226.1</v>
      </c>
      <c r="H1494" s="4" t="str">
        <f aca="false">IF(F1494&gt;500,"Yüksek",IF(F1494&gt;100,"Orta","Düşük"))</f>
        <v>Yüksek</v>
      </c>
    </row>
    <row r="1495" customFormat="false" ht="12.8" hidden="false" customHeight="false" outlineLevel="0" collapsed="false">
      <c r="A1495" s="4" t="s">
        <v>14</v>
      </c>
      <c r="B1495" s="4" t="s">
        <v>15</v>
      </c>
      <c r="C1495" s="4" t="n">
        <v>45</v>
      </c>
      <c r="D1495" s="5" t="n">
        <v>32.5</v>
      </c>
      <c r="E1495" s="6" t="n">
        <f aca="false">DATE(2024,5,9)</f>
        <v>45421</v>
      </c>
      <c r="F1495" s="7" t="n">
        <f aca="false">C1495*D1495</f>
        <v>1462.5</v>
      </c>
      <c r="G1495" s="7" t="n">
        <f aca="false">ROUND(F1495*0.2,2)</f>
        <v>292.5</v>
      </c>
      <c r="H1495" s="4" t="str">
        <f aca="false">IF(F1495&gt;500,"Yüksek",IF(F1495&gt;100,"Orta","Düşük"))</f>
        <v>Yüksek</v>
      </c>
    </row>
    <row r="1496" customFormat="false" ht="12.8" hidden="false" customHeight="false" outlineLevel="0" collapsed="false">
      <c r="A1496" s="4" t="s">
        <v>16</v>
      </c>
      <c r="B1496" s="4" t="s">
        <v>17</v>
      </c>
      <c r="C1496" s="4" t="n">
        <v>2</v>
      </c>
      <c r="D1496" s="5" t="n">
        <v>35.25</v>
      </c>
      <c r="E1496" s="6" t="n">
        <f aca="false">DATE(2024,6,10)</f>
        <v>45453</v>
      </c>
      <c r="F1496" s="7" t="n">
        <f aca="false">C1496*D1496</f>
        <v>70.5</v>
      </c>
      <c r="G1496" s="7" t="n">
        <f aca="false">ROUND(F1496*0.2,2)</f>
        <v>14.1</v>
      </c>
      <c r="H1496" s="4" t="str">
        <f aca="false">IF(F1496&gt;500,"Yüksek",IF(F1496&gt;100,"Orta","Düşük"))</f>
        <v>Düşük</v>
      </c>
    </row>
    <row r="1497" customFormat="false" ht="12.8" hidden="false" customHeight="false" outlineLevel="0" collapsed="false">
      <c r="A1497" s="4" t="s">
        <v>18</v>
      </c>
      <c r="B1497" s="4" t="s">
        <v>19</v>
      </c>
      <c r="C1497" s="4" t="n">
        <v>9</v>
      </c>
      <c r="D1497" s="5" t="n">
        <v>38</v>
      </c>
      <c r="E1497" s="6" t="n">
        <f aca="false">DATE(2024,7,11)</f>
        <v>45484</v>
      </c>
      <c r="F1497" s="7" t="n">
        <f aca="false">C1497*D1497</f>
        <v>342</v>
      </c>
      <c r="G1497" s="7" t="n">
        <f aca="false">ROUND(F1497*0.2,2)</f>
        <v>68.4</v>
      </c>
      <c r="H1497" s="4" t="str">
        <f aca="false">IF(F1497&gt;500,"Yüksek",IF(F1497&gt;100,"Orta","Düşük"))</f>
        <v>Orta</v>
      </c>
    </row>
    <row r="1498" customFormat="false" ht="12.8" hidden="false" customHeight="false" outlineLevel="0" collapsed="false">
      <c r="A1498" s="4" t="s">
        <v>20</v>
      </c>
      <c r="B1498" s="4" t="s">
        <v>11</v>
      </c>
      <c r="C1498" s="4" t="n">
        <v>16</v>
      </c>
      <c r="D1498" s="5" t="n">
        <v>5</v>
      </c>
      <c r="E1498" s="6" t="n">
        <f aca="false">DATE(2024,8,12)</f>
        <v>45516</v>
      </c>
      <c r="F1498" s="7" t="n">
        <f aca="false">C1498*D1498</f>
        <v>80</v>
      </c>
      <c r="G1498" s="7" t="n">
        <f aca="false">ROUND(F1498*0.2,2)</f>
        <v>16</v>
      </c>
      <c r="H1498" s="4" t="str">
        <f aca="false">IF(F1498&gt;500,"Yüksek",IF(F1498&gt;100,"Orta","Düşük"))</f>
        <v>Düşük</v>
      </c>
    </row>
    <row r="1499" customFormat="false" ht="12.8" hidden="false" customHeight="false" outlineLevel="0" collapsed="false">
      <c r="A1499" s="4" t="s">
        <v>21</v>
      </c>
      <c r="B1499" s="4" t="s">
        <v>13</v>
      </c>
      <c r="C1499" s="4" t="n">
        <v>23</v>
      </c>
      <c r="D1499" s="5" t="n">
        <v>7.75</v>
      </c>
      <c r="E1499" s="6" t="n">
        <f aca="false">DATE(2024,9,13)</f>
        <v>45548</v>
      </c>
      <c r="F1499" s="7" t="n">
        <f aca="false">C1499*D1499</f>
        <v>178.25</v>
      </c>
      <c r="G1499" s="7" t="n">
        <f aca="false">ROUND(F1499*0.2,2)</f>
        <v>35.65</v>
      </c>
      <c r="H1499" s="4" t="str">
        <f aca="false">IF(F1499&gt;500,"Yüksek",IF(F1499&gt;100,"Orta","Düşük"))</f>
        <v>Orta</v>
      </c>
    </row>
    <row r="1500" customFormat="false" ht="12.8" hidden="false" customHeight="false" outlineLevel="0" collapsed="false">
      <c r="A1500" s="4" t="s">
        <v>22</v>
      </c>
      <c r="B1500" s="4" t="s">
        <v>15</v>
      </c>
      <c r="C1500" s="4" t="n">
        <v>30</v>
      </c>
      <c r="D1500" s="5" t="n">
        <v>10.5</v>
      </c>
      <c r="E1500" s="6" t="n">
        <f aca="false">DATE(2024,10,14)</f>
        <v>45579</v>
      </c>
      <c r="F1500" s="7" t="n">
        <f aca="false">C1500*D1500</f>
        <v>315</v>
      </c>
      <c r="G1500" s="7" t="n">
        <f aca="false">ROUND(F1500*0.2,2)</f>
        <v>63</v>
      </c>
      <c r="H1500" s="4" t="str">
        <f aca="false">IF(F1500&gt;500,"Yüksek",IF(F1500&gt;100,"Orta","Düşük"))</f>
        <v>Orta</v>
      </c>
    </row>
    <row r="1501" customFormat="false" ht="12.8" hidden="false" customHeight="false" outlineLevel="0" collapsed="false">
      <c r="A1501" s="4" t="s">
        <v>23</v>
      </c>
      <c r="B1501" s="4" t="s">
        <v>17</v>
      </c>
      <c r="C1501" s="4" t="n">
        <v>37</v>
      </c>
      <c r="D1501" s="5" t="n">
        <v>13.25</v>
      </c>
      <c r="E1501" s="6" t="n">
        <f aca="false">DATE(2024,11,15)</f>
        <v>45611</v>
      </c>
      <c r="F1501" s="7" t="n">
        <f aca="false">C1501*D1501</f>
        <v>490.25</v>
      </c>
      <c r="G1501" s="7" t="n">
        <f aca="false">ROUND(F1501*0.2,2)</f>
        <v>98.05</v>
      </c>
      <c r="H1501" s="4" t="str">
        <f aca="false">IF(F1501&gt;500,"Yüksek",IF(F1501&gt;100,"Orta","Düşük"))</f>
        <v>Orta</v>
      </c>
    </row>
    <row r="1502" customFormat="false" ht="12.8" hidden="false" customHeight="false" outlineLevel="0" collapsed="false">
      <c r="A1502" s="4" t="s">
        <v>24</v>
      </c>
      <c r="B1502" s="4" t="s">
        <v>19</v>
      </c>
      <c r="C1502" s="4" t="n">
        <v>44</v>
      </c>
      <c r="D1502" s="5" t="n">
        <v>16</v>
      </c>
      <c r="E1502" s="6" t="n">
        <f aca="false">DATE(2024,12,16)</f>
        <v>45642</v>
      </c>
      <c r="F1502" s="7" t="n">
        <f aca="false">C1502*D1502</f>
        <v>704</v>
      </c>
      <c r="G1502" s="7" t="n">
        <f aca="false">ROUND(F1502*0.2,2)</f>
        <v>140.8</v>
      </c>
      <c r="H1502" s="4" t="str">
        <f aca="false">IF(F1502&gt;500,"Yüksek",IF(F1502&gt;100,"Orta","Düşük"))</f>
        <v>Yüksek</v>
      </c>
    </row>
    <row r="1503" customFormat="false" ht="12.8" hidden="false" customHeight="false" outlineLevel="0" collapsed="false">
      <c r="A1503" s="4" t="s">
        <v>10</v>
      </c>
      <c r="B1503" s="4" t="s">
        <v>11</v>
      </c>
      <c r="C1503" s="4" t="n">
        <v>1</v>
      </c>
      <c r="D1503" s="5" t="n">
        <v>18.75</v>
      </c>
      <c r="E1503" s="6" t="n">
        <f aca="false">DATE(2024,1,17)</f>
        <v>45308</v>
      </c>
      <c r="F1503" s="7" t="n">
        <f aca="false">C1503*D1503</f>
        <v>18.75</v>
      </c>
      <c r="G1503" s="7" t="n">
        <f aca="false">ROUND(F1503*0.2,2)</f>
        <v>3.75</v>
      </c>
      <c r="H1503" s="4" t="str">
        <f aca="false">IF(F1503&gt;500,"Yüksek",IF(F1503&gt;100,"Orta","Düşük"))</f>
        <v>Düşük</v>
      </c>
    </row>
    <row r="1504" customFormat="false" ht="12.8" hidden="false" customHeight="false" outlineLevel="0" collapsed="false">
      <c r="A1504" s="4" t="s">
        <v>12</v>
      </c>
      <c r="B1504" s="4" t="s">
        <v>13</v>
      </c>
      <c r="C1504" s="4" t="n">
        <v>8</v>
      </c>
      <c r="D1504" s="5" t="n">
        <v>21.5</v>
      </c>
      <c r="E1504" s="6" t="n">
        <f aca="false">DATE(2024,2,18)</f>
        <v>45340</v>
      </c>
      <c r="F1504" s="7" t="n">
        <f aca="false">C1504*D1504</f>
        <v>172</v>
      </c>
      <c r="G1504" s="7" t="n">
        <f aca="false">ROUND(F1504*0.2,2)</f>
        <v>34.4</v>
      </c>
      <c r="H1504" s="4" t="str">
        <f aca="false">IF(F1504&gt;500,"Yüksek",IF(F1504&gt;100,"Orta","Düşük"))</f>
        <v>Orta</v>
      </c>
    </row>
    <row r="1505" customFormat="false" ht="12.8" hidden="false" customHeight="false" outlineLevel="0" collapsed="false">
      <c r="A1505" s="4" t="s">
        <v>14</v>
      </c>
      <c r="B1505" s="4" t="s">
        <v>15</v>
      </c>
      <c r="C1505" s="4" t="n">
        <v>15</v>
      </c>
      <c r="D1505" s="5" t="n">
        <v>24.25</v>
      </c>
      <c r="E1505" s="6" t="n">
        <f aca="false">DATE(2024,3,19)</f>
        <v>45370</v>
      </c>
      <c r="F1505" s="7" t="n">
        <f aca="false">C1505*D1505</f>
        <v>363.75</v>
      </c>
      <c r="G1505" s="7" t="n">
        <f aca="false">ROUND(F1505*0.2,2)</f>
        <v>72.75</v>
      </c>
      <c r="H1505" s="4" t="str">
        <f aca="false">IF(F1505&gt;500,"Yüksek",IF(F1505&gt;100,"Orta","Düşük"))</f>
        <v>Orta</v>
      </c>
    </row>
    <row r="1506" customFormat="false" ht="12.8" hidden="false" customHeight="false" outlineLevel="0" collapsed="false">
      <c r="A1506" s="4" t="s">
        <v>16</v>
      </c>
      <c r="B1506" s="4" t="s">
        <v>17</v>
      </c>
      <c r="C1506" s="4" t="n">
        <v>22</v>
      </c>
      <c r="D1506" s="5" t="n">
        <v>27</v>
      </c>
      <c r="E1506" s="6" t="n">
        <f aca="false">DATE(2024,4,20)</f>
        <v>45402</v>
      </c>
      <c r="F1506" s="7" t="n">
        <f aca="false">C1506*D1506</f>
        <v>594</v>
      </c>
      <c r="G1506" s="7" t="n">
        <f aca="false">ROUND(F1506*0.2,2)</f>
        <v>118.8</v>
      </c>
      <c r="H1506" s="4" t="str">
        <f aca="false">IF(F1506&gt;500,"Yüksek",IF(F1506&gt;100,"Orta","Düşük"))</f>
        <v>Yüksek</v>
      </c>
    </row>
    <row r="1507" customFormat="false" ht="12.8" hidden="false" customHeight="false" outlineLevel="0" collapsed="false">
      <c r="A1507" s="4" t="s">
        <v>18</v>
      </c>
      <c r="B1507" s="4" t="s">
        <v>19</v>
      </c>
      <c r="C1507" s="4" t="n">
        <v>29</v>
      </c>
      <c r="D1507" s="5" t="n">
        <v>29.75</v>
      </c>
      <c r="E1507" s="6" t="n">
        <f aca="false">DATE(2024,5,21)</f>
        <v>45433</v>
      </c>
      <c r="F1507" s="7" t="n">
        <f aca="false">C1507*D1507</f>
        <v>862.75</v>
      </c>
      <c r="G1507" s="7" t="n">
        <f aca="false">ROUND(F1507*0.2,2)</f>
        <v>172.55</v>
      </c>
      <c r="H1507" s="4" t="str">
        <f aca="false">IF(F1507&gt;500,"Yüksek",IF(F1507&gt;100,"Orta","Düşük"))</f>
        <v>Yüksek</v>
      </c>
    </row>
    <row r="1508" customFormat="false" ht="12.8" hidden="false" customHeight="false" outlineLevel="0" collapsed="false">
      <c r="A1508" s="4" t="s">
        <v>20</v>
      </c>
      <c r="B1508" s="4" t="s">
        <v>11</v>
      </c>
      <c r="C1508" s="4" t="n">
        <v>36</v>
      </c>
      <c r="D1508" s="5" t="n">
        <v>32.5</v>
      </c>
      <c r="E1508" s="6" t="n">
        <f aca="false">DATE(2024,6,22)</f>
        <v>45465</v>
      </c>
      <c r="F1508" s="7" t="n">
        <f aca="false">C1508*D1508</f>
        <v>1170</v>
      </c>
      <c r="G1508" s="7" t="n">
        <f aca="false">ROUND(F1508*0.2,2)</f>
        <v>234</v>
      </c>
      <c r="H1508" s="4" t="str">
        <f aca="false">IF(F1508&gt;500,"Yüksek",IF(F1508&gt;100,"Orta","Düşük"))</f>
        <v>Yüksek</v>
      </c>
    </row>
    <row r="1509" customFormat="false" ht="12.8" hidden="false" customHeight="false" outlineLevel="0" collapsed="false">
      <c r="A1509" s="4" t="s">
        <v>21</v>
      </c>
      <c r="B1509" s="4" t="s">
        <v>13</v>
      </c>
      <c r="C1509" s="4" t="n">
        <v>43</v>
      </c>
      <c r="D1509" s="5" t="n">
        <v>35.25</v>
      </c>
      <c r="E1509" s="6" t="n">
        <f aca="false">DATE(2024,7,23)</f>
        <v>45496</v>
      </c>
      <c r="F1509" s="7" t="n">
        <f aca="false">C1509*D1509</f>
        <v>1515.75</v>
      </c>
      <c r="G1509" s="7" t="n">
        <f aca="false">ROUND(F1509*0.2,2)</f>
        <v>303.15</v>
      </c>
      <c r="H1509" s="4" t="str">
        <f aca="false">IF(F1509&gt;500,"Yüksek",IF(F1509&gt;100,"Orta","Düşük"))</f>
        <v>Yüksek</v>
      </c>
    </row>
    <row r="1510" customFormat="false" ht="12.8" hidden="false" customHeight="false" outlineLevel="0" collapsed="false">
      <c r="A1510" s="4" t="s">
        <v>22</v>
      </c>
      <c r="B1510" s="4" t="s">
        <v>15</v>
      </c>
      <c r="C1510" s="4" t="n">
        <v>50</v>
      </c>
      <c r="D1510" s="5" t="n">
        <v>38</v>
      </c>
      <c r="E1510" s="6" t="n">
        <f aca="false">DATE(2024,8,24)</f>
        <v>45528</v>
      </c>
      <c r="F1510" s="7" t="n">
        <f aca="false">C1510*D1510</f>
        <v>1900</v>
      </c>
      <c r="G1510" s="7" t="n">
        <f aca="false">ROUND(F1510*0.2,2)</f>
        <v>380</v>
      </c>
      <c r="H1510" s="4" t="str">
        <f aca="false">IF(F1510&gt;500,"Yüksek",IF(F1510&gt;100,"Orta","Düşük"))</f>
        <v>Yüksek</v>
      </c>
    </row>
    <row r="1511" customFormat="false" ht="12.8" hidden="false" customHeight="false" outlineLevel="0" collapsed="false">
      <c r="A1511" s="4" t="s">
        <v>23</v>
      </c>
      <c r="B1511" s="4" t="s">
        <v>17</v>
      </c>
      <c r="C1511" s="4" t="n">
        <v>7</v>
      </c>
      <c r="D1511" s="5" t="n">
        <v>5</v>
      </c>
      <c r="E1511" s="6" t="n">
        <f aca="false">DATE(2024,9,25)</f>
        <v>45560</v>
      </c>
      <c r="F1511" s="7" t="n">
        <f aca="false">C1511*D1511</f>
        <v>35</v>
      </c>
      <c r="G1511" s="7" t="n">
        <f aca="false">ROUND(F1511*0.2,2)</f>
        <v>7</v>
      </c>
      <c r="H1511" s="4" t="str">
        <f aca="false">IF(F1511&gt;500,"Yüksek",IF(F1511&gt;100,"Orta","Düşük"))</f>
        <v>Düşük</v>
      </c>
    </row>
    <row r="1512" customFormat="false" ht="12.8" hidden="false" customHeight="false" outlineLevel="0" collapsed="false">
      <c r="A1512" s="4" t="s">
        <v>24</v>
      </c>
      <c r="B1512" s="4" t="s">
        <v>19</v>
      </c>
      <c r="C1512" s="4" t="n">
        <v>14</v>
      </c>
      <c r="D1512" s="5" t="n">
        <v>7.75</v>
      </c>
      <c r="E1512" s="6" t="n">
        <f aca="false">DATE(2024,10,26)</f>
        <v>45591</v>
      </c>
      <c r="F1512" s="7" t="n">
        <f aca="false">C1512*D1512</f>
        <v>108.5</v>
      </c>
      <c r="G1512" s="7" t="n">
        <f aca="false">ROUND(F1512*0.2,2)</f>
        <v>21.7</v>
      </c>
      <c r="H1512" s="4" t="str">
        <f aca="false">IF(F1512&gt;500,"Yüksek",IF(F1512&gt;100,"Orta","Düşük"))</f>
        <v>Orta</v>
      </c>
    </row>
    <row r="1513" customFormat="false" ht="12.8" hidden="false" customHeight="false" outlineLevel="0" collapsed="false">
      <c r="A1513" s="4" t="s">
        <v>10</v>
      </c>
      <c r="B1513" s="4" t="s">
        <v>11</v>
      </c>
      <c r="C1513" s="4" t="n">
        <v>21</v>
      </c>
      <c r="D1513" s="5" t="n">
        <v>10.5</v>
      </c>
      <c r="E1513" s="6" t="n">
        <f aca="false">DATE(2024,11,27)</f>
        <v>45623</v>
      </c>
      <c r="F1513" s="7" t="n">
        <f aca="false">C1513*D1513</f>
        <v>220.5</v>
      </c>
      <c r="G1513" s="7" t="n">
        <f aca="false">ROUND(F1513*0.2,2)</f>
        <v>44.1</v>
      </c>
      <c r="H1513" s="4" t="str">
        <f aca="false">IF(F1513&gt;500,"Yüksek",IF(F1513&gt;100,"Orta","Düşük"))</f>
        <v>Orta</v>
      </c>
    </row>
    <row r="1514" customFormat="false" ht="12.8" hidden="false" customHeight="false" outlineLevel="0" collapsed="false">
      <c r="A1514" s="4" t="s">
        <v>12</v>
      </c>
      <c r="B1514" s="4" t="s">
        <v>13</v>
      </c>
      <c r="C1514" s="4" t="n">
        <v>28</v>
      </c>
      <c r="D1514" s="5" t="n">
        <v>13.25</v>
      </c>
      <c r="E1514" s="6" t="n">
        <f aca="false">DATE(2024,12,28)</f>
        <v>45654</v>
      </c>
      <c r="F1514" s="7" t="n">
        <f aca="false">C1514*D1514</f>
        <v>371</v>
      </c>
      <c r="G1514" s="7" t="n">
        <f aca="false">ROUND(F1514*0.2,2)</f>
        <v>74.2</v>
      </c>
      <c r="H1514" s="4" t="str">
        <f aca="false">IF(F1514&gt;500,"Yüksek",IF(F1514&gt;100,"Orta","Düşük"))</f>
        <v>Orta</v>
      </c>
    </row>
    <row r="1515" customFormat="false" ht="12.8" hidden="false" customHeight="false" outlineLevel="0" collapsed="false">
      <c r="A1515" s="4" t="s">
        <v>14</v>
      </c>
      <c r="B1515" s="4" t="s">
        <v>15</v>
      </c>
      <c r="C1515" s="4" t="n">
        <v>35</v>
      </c>
      <c r="D1515" s="5" t="n">
        <v>16</v>
      </c>
      <c r="E1515" s="6" t="n">
        <f aca="false">DATE(2024,1,1)</f>
        <v>45292</v>
      </c>
      <c r="F1515" s="7" t="n">
        <f aca="false">C1515*D1515</f>
        <v>560</v>
      </c>
      <c r="G1515" s="7" t="n">
        <f aca="false">ROUND(F1515*0.2,2)</f>
        <v>112</v>
      </c>
      <c r="H1515" s="4" t="str">
        <f aca="false">IF(F1515&gt;500,"Yüksek",IF(F1515&gt;100,"Orta","Düşük"))</f>
        <v>Yüksek</v>
      </c>
    </row>
    <row r="1516" customFormat="false" ht="12.8" hidden="false" customHeight="false" outlineLevel="0" collapsed="false">
      <c r="A1516" s="4" t="s">
        <v>16</v>
      </c>
      <c r="B1516" s="4" t="s">
        <v>17</v>
      </c>
      <c r="C1516" s="4" t="n">
        <v>42</v>
      </c>
      <c r="D1516" s="5" t="n">
        <v>18.75</v>
      </c>
      <c r="E1516" s="6" t="n">
        <f aca="false">DATE(2024,2,2)</f>
        <v>45324</v>
      </c>
      <c r="F1516" s="7" t="n">
        <f aca="false">C1516*D1516</f>
        <v>787.5</v>
      </c>
      <c r="G1516" s="7" t="n">
        <f aca="false">ROUND(F1516*0.2,2)</f>
        <v>157.5</v>
      </c>
      <c r="H1516" s="4" t="str">
        <f aca="false">IF(F1516&gt;500,"Yüksek",IF(F1516&gt;100,"Orta","Düşük"))</f>
        <v>Yüksek</v>
      </c>
    </row>
    <row r="1517" customFormat="false" ht="12.8" hidden="false" customHeight="false" outlineLevel="0" collapsed="false">
      <c r="A1517" s="4" t="s">
        <v>18</v>
      </c>
      <c r="B1517" s="4" t="s">
        <v>19</v>
      </c>
      <c r="C1517" s="4" t="n">
        <v>49</v>
      </c>
      <c r="D1517" s="5" t="n">
        <v>21.5</v>
      </c>
      <c r="E1517" s="6" t="n">
        <f aca="false">DATE(2024,3,3)</f>
        <v>45354</v>
      </c>
      <c r="F1517" s="7" t="n">
        <f aca="false">C1517*D1517</f>
        <v>1053.5</v>
      </c>
      <c r="G1517" s="7" t="n">
        <f aca="false">ROUND(F1517*0.2,2)</f>
        <v>210.7</v>
      </c>
      <c r="H1517" s="4" t="str">
        <f aca="false">IF(F1517&gt;500,"Yüksek",IF(F1517&gt;100,"Orta","Düşük"))</f>
        <v>Yüksek</v>
      </c>
    </row>
    <row r="1518" customFormat="false" ht="12.8" hidden="false" customHeight="false" outlineLevel="0" collapsed="false">
      <c r="A1518" s="4" t="s">
        <v>20</v>
      </c>
      <c r="B1518" s="4" t="s">
        <v>11</v>
      </c>
      <c r="C1518" s="4" t="n">
        <v>6</v>
      </c>
      <c r="D1518" s="5" t="n">
        <v>24.25</v>
      </c>
      <c r="E1518" s="6" t="n">
        <f aca="false">DATE(2024,4,4)</f>
        <v>45386</v>
      </c>
      <c r="F1518" s="7" t="n">
        <f aca="false">C1518*D1518</f>
        <v>145.5</v>
      </c>
      <c r="G1518" s="7" t="n">
        <f aca="false">ROUND(F1518*0.2,2)</f>
        <v>29.1</v>
      </c>
      <c r="H1518" s="4" t="str">
        <f aca="false">IF(F1518&gt;500,"Yüksek",IF(F1518&gt;100,"Orta","Düşük"))</f>
        <v>Orta</v>
      </c>
    </row>
    <row r="1519" customFormat="false" ht="12.8" hidden="false" customHeight="false" outlineLevel="0" collapsed="false">
      <c r="A1519" s="4" t="s">
        <v>21</v>
      </c>
      <c r="B1519" s="4" t="s">
        <v>13</v>
      </c>
      <c r="C1519" s="4" t="n">
        <v>13</v>
      </c>
      <c r="D1519" s="5" t="n">
        <v>27</v>
      </c>
      <c r="E1519" s="6" t="n">
        <f aca="false">DATE(2024,5,5)</f>
        <v>45417</v>
      </c>
      <c r="F1519" s="7" t="n">
        <f aca="false">C1519*D1519</f>
        <v>351</v>
      </c>
      <c r="G1519" s="7" t="n">
        <f aca="false">ROUND(F1519*0.2,2)</f>
        <v>70.2</v>
      </c>
      <c r="H1519" s="4" t="str">
        <f aca="false">IF(F1519&gt;500,"Yüksek",IF(F1519&gt;100,"Orta","Düşük"))</f>
        <v>Orta</v>
      </c>
    </row>
    <row r="1520" customFormat="false" ht="12.8" hidden="false" customHeight="false" outlineLevel="0" collapsed="false">
      <c r="A1520" s="4" t="s">
        <v>22</v>
      </c>
      <c r="B1520" s="4" t="s">
        <v>15</v>
      </c>
      <c r="C1520" s="4" t="n">
        <v>20</v>
      </c>
      <c r="D1520" s="5" t="n">
        <v>29.75</v>
      </c>
      <c r="E1520" s="6" t="n">
        <f aca="false">DATE(2024,6,6)</f>
        <v>45449</v>
      </c>
      <c r="F1520" s="7" t="n">
        <f aca="false">C1520*D1520</f>
        <v>595</v>
      </c>
      <c r="G1520" s="7" t="n">
        <f aca="false">ROUND(F1520*0.2,2)</f>
        <v>119</v>
      </c>
      <c r="H1520" s="4" t="str">
        <f aca="false">IF(F1520&gt;500,"Yüksek",IF(F1520&gt;100,"Orta","Düşük"))</f>
        <v>Yüksek</v>
      </c>
    </row>
    <row r="1521" customFormat="false" ht="12.8" hidden="false" customHeight="false" outlineLevel="0" collapsed="false">
      <c r="A1521" s="4" t="s">
        <v>23</v>
      </c>
      <c r="B1521" s="4" t="s">
        <v>17</v>
      </c>
      <c r="C1521" s="4" t="n">
        <v>27</v>
      </c>
      <c r="D1521" s="5" t="n">
        <v>32.5</v>
      </c>
      <c r="E1521" s="6" t="n">
        <f aca="false">DATE(2024,7,7)</f>
        <v>45480</v>
      </c>
      <c r="F1521" s="7" t="n">
        <f aca="false">C1521*D1521</f>
        <v>877.5</v>
      </c>
      <c r="G1521" s="7" t="n">
        <f aca="false">ROUND(F1521*0.2,2)</f>
        <v>175.5</v>
      </c>
      <c r="H1521" s="4" t="str">
        <f aca="false">IF(F1521&gt;500,"Yüksek",IF(F1521&gt;100,"Orta","Düşük"))</f>
        <v>Yüksek</v>
      </c>
    </row>
    <row r="1522" customFormat="false" ht="12.8" hidden="false" customHeight="false" outlineLevel="0" collapsed="false">
      <c r="A1522" s="4" t="s">
        <v>24</v>
      </c>
      <c r="B1522" s="4" t="s">
        <v>19</v>
      </c>
      <c r="C1522" s="4" t="n">
        <v>34</v>
      </c>
      <c r="D1522" s="5" t="n">
        <v>35.25</v>
      </c>
      <c r="E1522" s="6" t="n">
        <f aca="false">DATE(2024,8,8)</f>
        <v>45512</v>
      </c>
      <c r="F1522" s="7" t="n">
        <f aca="false">C1522*D1522</f>
        <v>1198.5</v>
      </c>
      <c r="G1522" s="7" t="n">
        <f aca="false">ROUND(F1522*0.2,2)</f>
        <v>239.7</v>
      </c>
      <c r="H1522" s="4" t="str">
        <f aca="false">IF(F1522&gt;500,"Yüksek",IF(F1522&gt;100,"Orta","Düşük"))</f>
        <v>Yüksek</v>
      </c>
    </row>
    <row r="1523" customFormat="false" ht="12.8" hidden="false" customHeight="false" outlineLevel="0" collapsed="false">
      <c r="A1523" s="4" t="s">
        <v>10</v>
      </c>
      <c r="B1523" s="4" t="s">
        <v>11</v>
      </c>
      <c r="C1523" s="4" t="n">
        <v>41</v>
      </c>
      <c r="D1523" s="5" t="n">
        <v>38</v>
      </c>
      <c r="E1523" s="6" t="n">
        <f aca="false">DATE(2024,9,9)</f>
        <v>45544</v>
      </c>
      <c r="F1523" s="7" t="n">
        <f aca="false">C1523*D1523</f>
        <v>1558</v>
      </c>
      <c r="G1523" s="7" t="n">
        <f aca="false">ROUND(F1523*0.2,2)</f>
        <v>311.6</v>
      </c>
      <c r="H1523" s="4" t="str">
        <f aca="false">IF(F1523&gt;500,"Yüksek",IF(F1523&gt;100,"Orta","Düşük"))</f>
        <v>Yüksek</v>
      </c>
    </row>
    <row r="1524" customFormat="false" ht="12.8" hidden="false" customHeight="false" outlineLevel="0" collapsed="false">
      <c r="A1524" s="4" t="s">
        <v>12</v>
      </c>
      <c r="B1524" s="4" t="s">
        <v>13</v>
      </c>
      <c r="C1524" s="4" t="n">
        <v>48</v>
      </c>
      <c r="D1524" s="5" t="n">
        <v>5</v>
      </c>
      <c r="E1524" s="6" t="n">
        <f aca="false">DATE(2024,10,10)</f>
        <v>45575</v>
      </c>
      <c r="F1524" s="7" t="n">
        <f aca="false">C1524*D1524</f>
        <v>240</v>
      </c>
      <c r="G1524" s="7" t="n">
        <f aca="false">ROUND(F1524*0.2,2)</f>
        <v>48</v>
      </c>
      <c r="H1524" s="4" t="str">
        <f aca="false">IF(F1524&gt;500,"Yüksek",IF(F1524&gt;100,"Orta","Düşük"))</f>
        <v>Orta</v>
      </c>
    </row>
    <row r="1525" customFormat="false" ht="12.8" hidden="false" customHeight="false" outlineLevel="0" collapsed="false">
      <c r="A1525" s="4" t="s">
        <v>14</v>
      </c>
      <c r="B1525" s="4" t="s">
        <v>15</v>
      </c>
      <c r="C1525" s="4" t="n">
        <v>5</v>
      </c>
      <c r="D1525" s="5" t="n">
        <v>7.75</v>
      </c>
      <c r="E1525" s="6" t="n">
        <f aca="false">DATE(2024,11,11)</f>
        <v>45607</v>
      </c>
      <c r="F1525" s="7" t="n">
        <f aca="false">C1525*D1525</f>
        <v>38.75</v>
      </c>
      <c r="G1525" s="7" t="n">
        <f aca="false">ROUND(F1525*0.2,2)</f>
        <v>7.75</v>
      </c>
      <c r="H1525" s="4" t="str">
        <f aca="false">IF(F1525&gt;500,"Yüksek",IF(F1525&gt;100,"Orta","Düşük"))</f>
        <v>Düşük</v>
      </c>
    </row>
    <row r="1526" customFormat="false" ht="12.8" hidden="false" customHeight="false" outlineLevel="0" collapsed="false">
      <c r="A1526" s="4" t="s">
        <v>16</v>
      </c>
      <c r="B1526" s="4" t="s">
        <v>17</v>
      </c>
      <c r="C1526" s="4" t="n">
        <v>12</v>
      </c>
      <c r="D1526" s="5" t="n">
        <v>10.5</v>
      </c>
      <c r="E1526" s="6" t="n">
        <f aca="false">DATE(2024,12,12)</f>
        <v>45638</v>
      </c>
      <c r="F1526" s="7" t="n">
        <f aca="false">C1526*D1526</f>
        <v>126</v>
      </c>
      <c r="G1526" s="7" t="n">
        <f aca="false">ROUND(F1526*0.2,2)</f>
        <v>25.2</v>
      </c>
      <c r="H1526" s="4" t="str">
        <f aca="false">IF(F1526&gt;500,"Yüksek",IF(F1526&gt;100,"Orta","Düşük"))</f>
        <v>Orta</v>
      </c>
    </row>
    <row r="1527" customFormat="false" ht="12.8" hidden="false" customHeight="false" outlineLevel="0" collapsed="false">
      <c r="A1527" s="4" t="s">
        <v>18</v>
      </c>
      <c r="B1527" s="4" t="s">
        <v>19</v>
      </c>
      <c r="C1527" s="4" t="n">
        <v>19</v>
      </c>
      <c r="D1527" s="5" t="n">
        <v>13.25</v>
      </c>
      <c r="E1527" s="6" t="n">
        <f aca="false">DATE(2024,1,13)</f>
        <v>45304</v>
      </c>
      <c r="F1527" s="7" t="n">
        <f aca="false">C1527*D1527</f>
        <v>251.75</v>
      </c>
      <c r="G1527" s="7" t="n">
        <f aca="false">ROUND(F1527*0.2,2)</f>
        <v>50.35</v>
      </c>
      <c r="H1527" s="4" t="str">
        <f aca="false">IF(F1527&gt;500,"Yüksek",IF(F1527&gt;100,"Orta","Düşük"))</f>
        <v>Orta</v>
      </c>
    </row>
    <row r="1528" customFormat="false" ht="12.8" hidden="false" customHeight="false" outlineLevel="0" collapsed="false">
      <c r="A1528" s="4" t="s">
        <v>20</v>
      </c>
      <c r="B1528" s="4" t="s">
        <v>11</v>
      </c>
      <c r="C1528" s="4" t="n">
        <v>26</v>
      </c>
      <c r="D1528" s="5" t="n">
        <v>16</v>
      </c>
      <c r="E1528" s="6" t="n">
        <f aca="false">DATE(2024,2,14)</f>
        <v>45336</v>
      </c>
      <c r="F1528" s="7" t="n">
        <f aca="false">C1528*D1528</f>
        <v>416</v>
      </c>
      <c r="G1528" s="7" t="n">
        <f aca="false">ROUND(F1528*0.2,2)</f>
        <v>83.2</v>
      </c>
      <c r="H1528" s="4" t="str">
        <f aca="false">IF(F1528&gt;500,"Yüksek",IF(F1528&gt;100,"Orta","Düşük"))</f>
        <v>Orta</v>
      </c>
    </row>
    <row r="1529" customFormat="false" ht="12.8" hidden="false" customHeight="false" outlineLevel="0" collapsed="false">
      <c r="A1529" s="4" t="s">
        <v>21</v>
      </c>
      <c r="B1529" s="4" t="s">
        <v>13</v>
      </c>
      <c r="C1529" s="4" t="n">
        <v>33</v>
      </c>
      <c r="D1529" s="5" t="n">
        <v>18.75</v>
      </c>
      <c r="E1529" s="6" t="n">
        <f aca="false">DATE(2024,3,15)</f>
        <v>45366</v>
      </c>
      <c r="F1529" s="7" t="n">
        <f aca="false">C1529*D1529</f>
        <v>618.75</v>
      </c>
      <c r="G1529" s="7" t="n">
        <f aca="false">ROUND(F1529*0.2,2)</f>
        <v>123.75</v>
      </c>
      <c r="H1529" s="4" t="str">
        <f aca="false">IF(F1529&gt;500,"Yüksek",IF(F1529&gt;100,"Orta","Düşük"))</f>
        <v>Yüksek</v>
      </c>
    </row>
    <row r="1530" customFormat="false" ht="12.8" hidden="false" customHeight="false" outlineLevel="0" collapsed="false">
      <c r="A1530" s="4" t="s">
        <v>22</v>
      </c>
      <c r="B1530" s="4" t="s">
        <v>15</v>
      </c>
      <c r="C1530" s="4" t="n">
        <v>40</v>
      </c>
      <c r="D1530" s="5" t="n">
        <v>21.5</v>
      </c>
      <c r="E1530" s="6" t="n">
        <f aca="false">DATE(2024,4,16)</f>
        <v>45398</v>
      </c>
      <c r="F1530" s="7" t="n">
        <f aca="false">C1530*D1530</f>
        <v>860</v>
      </c>
      <c r="G1530" s="7" t="n">
        <f aca="false">ROUND(F1530*0.2,2)</f>
        <v>172</v>
      </c>
      <c r="H1530" s="4" t="str">
        <f aca="false">IF(F1530&gt;500,"Yüksek",IF(F1530&gt;100,"Orta","Düşük"))</f>
        <v>Yüksek</v>
      </c>
    </row>
    <row r="1531" customFormat="false" ht="12.8" hidden="false" customHeight="false" outlineLevel="0" collapsed="false">
      <c r="A1531" s="4" t="s">
        <v>23</v>
      </c>
      <c r="B1531" s="4" t="s">
        <v>17</v>
      </c>
      <c r="C1531" s="4" t="n">
        <v>47</v>
      </c>
      <c r="D1531" s="5" t="n">
        <v>24.25</v>
      </c>
      <c r="E1531" s="6" t="n">
        <f aca="false">DATE(2024,5,17)</f>
        <v>45429</v>
      </c>
      <c r="F1531" s="7" t="n">
        <f aca="false">C1531*D1531</f>
        <v>1139.75</v>
      </c>
      <c r="G1531" s="7" t="n">
        <f aca="false">ROUND(F1531*0.2,2)</f>
        <v>227.95</v>
      </c>
      <c r="H1531" s="4" t="str">
        <f aca="false">IF(F1531&gt;500,"Yüksek",IF(F1531&gt;100,"Orta","Düşük"))</f>
        <v>Yüksek</v>
      </c>
    </row>
    <row r="1532" customFormat="false" ht="12.8" hidden="false" customHeight="false" outlineLevel="0" collapsed="false">
      <c r="A1532" s="4" t="s">
        <v>24</v>
      </c>
      <c r="B1532" s="4" t="s">
        <v>19</v>
      </c>
      <c r="C1532" s="4" t="n">
        <v>4</v>
      </c>
      <c r="D1532" s="5" t="n">
        <v>27</v>
      </c>
      <c r="E1532" s="6" t="n">
        <f aca="false">DATE(2024,6,18)</f>
        <v>45461</v>
      </c>
      <c r="F1532" s="7" t="n">
        <f aca="false">C1532*D1532</f>
        <v>108</v>
      </c>
      <c r="G1532" s="7" t="n">
        <f aca="false">ROUND(F1532*0.2,2)</f>
        <v>21.6</v>
      </c>
      <c r="H1532" s="4" t="str">
        <f aca="false">IF(F1532&gt;500,"Yüksek",IF(F1532&gt;100,"Orta","Düşük"))</f>
        <v>Orta</v>
      </c>
    </row>
    <row r="1533" customFormat="false" ht="12.8" hidden="false" customHeight="false" outlineLevel="0" collapsed="false">
      <c r="A1533" s="4" t="s">
        <v>10</v>
      </c>
      <c r="B1533" s="4" t="s">
        <v>11</v>
      </c>
      <c r="C1533" s="4" t="n">
        <v>11</v>
      </c>
      <c r="D1533" s="5" t="n">
        <v>29.75</v>
      </c>
      <c r="E1533" s="6" t="n">
        <f aca="false">DATE(2024,7,19)</f>
        <v>45492</v>
      </c>
      <c r="F1533" s="7" t="n">
        <f aca="false">C1533*D1533</f>
        <v>327.25</v>
      </c>
      <c r="G1533" s="7" t="n">
        <f aca="false">ROUND(F1533*0.2,2)</f>
        <v>65.45</v>
      </c>
      <c r="H1533" s="4" t="str">
        <f aca="false">IF(F1533&gt;500,"Yüksek",IF(F1533&gt;100,"Orta","Düşük"))</f>
        <v>Orta</v>
      </c>
    </row>
    <row r="1534" customFormat="false" ht="12.8" hidden="false" customHeight="false" outlineLevel="0" collapsed="false">
      <c r="A1534" s="4" t="s">
        <v>12</v>
      </c>
      <c r="B1534" s="4" t="s">
        <v>13</v>
      </c>
      <c r="C1534" s="4" t="n">
        <v>18</v>
      </c>
      <c r="D1534" s="5" t="n">
        <v>32.5</v>
      </c>
      <c r="E1534" s="6" t="n">
        <f aca="false">DATE(2024,8,20)</f>
        <v>45524</v>
      </c>
      <c r="F1534" s="7" t="n">
        <f aca="false">C1534*D1534</f>
        <v>585</v>
      </c>
      <c r="G1534" s="7" t="n">
        <f aca="false">ROUND(F1534*0.2,2)</f>
        <v>117</v>
      </c>
      <c r="H1534" s="4" t="str">
        <f aca="false">IF(F1534&gt;500,"Yüksek",IF(F1534&gt;100,"Orta","Düşük"))</f>
        <v>Yüksek</v>
      </c>
    </row>
    <row r="1535" customFormat="false" ht="12.8" hidden="false" customHeight="false" outlineLevel="0" collapsed="false">
      <c r="A1535" s="4" t="s">
        <v>14</v>
      </c>
      <c r="B1535" s="4" t="s">
        <v>15</v>
      </c>
      <c r="C1535" s="4" t="n">
        <v>25</v>
      </c>
      <c r="D1535" s="5" t="n">
        <v>35.25</v>
      </c>
      <c r="E1535" s="6" t="n">
        <f aca="false">DATE(2024,9,21)</f>
        <v>45556</v>
      </c>
      <c r="F1535" s="7" t="n">
        <f aca="false">C1535*D1535</f>
        <v>881.25</v>
      </c>
      <c r="G1535" s="7" t="n">
        <f aca="false">ROUND(F1535*0.2,2)</f>
        <v>176.25</v>
      </c>
      <c r="H1535" s="4" t="str">
        <f aca="false">IF(F1535&gt;500,"Yüksek",IF(F1535&gt;100,"Orta","Düşük"))</f>
        <v>Yüksek</v>
      </c>
    </row>
    <row r="1536" customFormat="false" ht="12.8" hidden="false" customHeight="false" outlineLevel="0" collapsed="false">
      <c r="A1536" s="4" t="s">
        <v>16</v>
      </c>
      <c r="B1536" s="4" t="s">
        <v>17</v>
      </c>
      <c r="C1536" s="4" t="n">
        <v>32</v>
      </c>
      <c r="D1536" s="5" t="n">
        <v>38</v>
      </c>
      <c r="E1536" s="6" t="n">
        <f aca="false">DATE(2024,10,22)</f>
        <v>45587</v>
      </c>
      <c r="F1536" s="7" t="n">
        <f aca="false">C1536*D1536</f>
        <v>1216</v>
      </c>
      <c r="G1536" s="7" t="n">
        <f aca="false">ROUND(F1536*0.2,2)</f>
        <v>243.2</v>
      </c>
      <c r="H1536" s="4" t="str">
        <f aca="false">IF(F1536&gt;500,"Yüksek",IF(F1536&gt;100,"Orta","Düşük"))</f>
        <v>Yüksek</v>
      </c>
    </row>
    <row r="1537" customFormat="false" ht="12.8" hidden="false" customHeight="false" outlineLevel="0" collapsed="false">
      <c r="A1537" s="4" t="s">
        <v>18</v>
      </c>
      <c r="B1537" s="4" t="s">
        <v>19</v>
      </c>
      <c r="C1537" s="4" t="n">
        <v>39</v>
      </c>
      <c r="D1537" s="5" t="n">
        <v>5</v>
      </c>
      <c r="E1537" s="6" t="n">
        <f aca="false">DATE(2024,11,23)</f>
        <v>45619</v>
      </c>
      <c r="F1537" s="7" t="n">
        <f aca="false">C1537*D1537</f>
        <v>195</v>
      </c>
      <c r="G1537" s="7" t="n">
        <f aca="false">ROUND(F1537*0.2,2)</f>
        <v>39</v>
      </c>
      <c r="H1537" s="4" t="str">
        <f aca="false">IF(F1537&gt;500,"Yüksek",IF(F1537&gt;100,"Orta","Düşük"))</f>
        <v>Orta</v>
      </c>
    </row>
    <row r="1538" customFormat="false" ht="12.8" hidden="false" customHeight="false" outlineLevel="0" collapsed="false">
      <c r="A1538" s="4" t="s">
        <v>20</v>
      </c>
      <c r="B1538" s="4" t="s">
        <v>11</v>
      </c>
      <c r="C1538" s="4" t="n">
        <v>46</v>
      </c>
      <c r="D1538" s="5" t="n">
        <v>7.75</v>
      </c>
      <c r="E1538" s="6" t="n">
        <f aca="false">DATE(2024,12,24)</f>
        <v>45650</v>
      </c>
      <c r="F1538" s="7" t="n">
        <f aca="false">C1538*D1538</f>
        <v>356.5</v>
      </c>
      <c r="G1538" s="7" t="n">
        <f aca="false">ROUND(F1538*0.2,2)</f>
        <v>71.3</v>
      </c>
      <c r="H1538" s="4" t="str">
        <f aca="false">IF(F1538&gt;500,"Yüksek",IF(F1538&gt;100,"Orta","Düşük"))</f>
        <v>Orta</v>
      </c>
    </row>
    <row r="1539" customFormat="false" ht="12.8" hidden="false" customHeight="false" outlineLevel="0" collapsed="false">
      <c r="A1539" s="4" t="s">
        <v>21</v>
      </c>
      <c r="B1539" s="4" t="s">
        <v>13</v>
      </c>
      <c r="C1539" s="4" t="n">
        <v>3</v>
      </c>
      <c r="D1539" s="5" t="n">
        <v>10.5</v>
      </c>
      <c r="E1539" s="6" t="n">
        <f aca="false">DATE(2024,1,25)</f>
        <v>45316</v>
      </c>
      <c r="F1539" s="7" t="n">
        <f aca="false">C1539*D1539</f>
        <v>31.5</v>
      </c>
      <c r="G1539" s="7" t="n">
        <f aca="false">ROUND(F1539*0.2,2)</f>
        <v>6.3</v>
      </c>
      <c r="H1539" s="4" t="str">
        <f aca="false">IF(F1539&gt;500,"Yüksek",IF(F1539&gt;100,"Orta","Düşük"))</f>
        <v>Düşük</v>
      </c>
    </row>
    <row r="1540" customFormat="false" ht="12.8" hidden="false" customHeight="false" outlineLevel="0" collapsed="false">
      <c r="A1540" s="4" t="s">
        <v>22</v>
      </c>
      <c r="B1540" s="4" t="s">
        <v>15</v>
      </c>
      <c r="C1540" s="4" t="n">
        <v>10</v>
      </c>
      <c r="D1540" s="5" t="n">
        <v>13.25</v>
      </c>
      <c r="E1540" s="6" t="n">
        <f aca="false">DATE(2024,2,26)</f>
        <v>45348</v>
      </c>
      <c r="F1540" s="7" t="n">
        <f aca="false">C1540*D1540</f>
        <v>132.5</v>
      </c>
      <c r="G1540" s="7" t="n">
        <f aca="false">ROUND(F1540*0.2,2)</f>
        <v>26.5</v>
      </c>
      <c r="H1540" s="4" t="str">
        <f aca="false">IF(F1540&gt;500,"Yüksek",IF(F1540&gt;100,"Orta","Düşük"))</f>
        <v>Orta</v>
      </c>
    </row>
    <row r="1541" customFormat="false" ht="12.8" hidden="false" customHeight="false" outlineLevel="0" collapsed="false">
      <c r="A1541" s="4" t="s">
        <v>23</v>
      </c>
      <c r="B1541" s="4" t="s">
        <v>17</v>
      </c>
      <c r="C1541" s="4" t="n">
        <v>17</v>
      </c>
      <c r="D1541" s="5" t="n">
        <v>16</v>
      </c>
      <c r="E1541" s="6" t="n">
        <f aca="false">DATE(2024,3,27)</f>
        <v>45378</v>
      </c>
      <c r="F1541" s="7" t="n">
        <f aca="false">C1541*D1541</f>
        <v>272</v>
      </c>
      <c r="G1541" s="7" t="n">
        <f aca="false">ROUND(F1541*0.2,2)</f>
        <v>54.4</v>
      </c>
      <c r="H1541" s="4" t="str">
        <f aca="false">IF(F1541&gt;500,"Yüksek",IF(F1541&gt;100,"Orta","Düşük"))</f>
        <v>Orta</v>
      </c>
    </row>
    <row r="1542" customFormat="false" ht="12.8" hidden="false" customHeight="false" outlineLevel="0" collapsed="false">
      <c r="A1542" s="4" t="s">
        <v>24</v>
      </c>
      <c r="B1542" s="4" t="s">
        <v>19</v>
      </c>
      <c r="C1542" s="4" t="n">
        <v>24</v>
      </c>
      <c r="D1542" s="5" t="n">
        <v>18.75</v>
      </c>
      <c r="E1542" s="6" t="n">
        <f aca="false">DATE(2024,4,28)</f>
        <v>45410</v>
      </c>
      <c r="F1542" s="7" t="n">
        <f aca="false">C1542*D1542</f>
        <v>450</v>
      </c>
      <c r="G1542" s="7" t="n">
        <f aca="false">ROUND(F1542*0.2,2)</f>
        <v>90</v>
      </c>
      <c r="H1542" s="4" t="str">
        <f aca="false">IF(F1542&gt;500,"Yüksek",IF(F1542&gt;100,"Orta","Düşük"))</f>
        <v>Orta</v>
      </c>
    </row>
    <row r="1543" customFormat="false" ht="12.8" hidden="false" customHeight="false" outlineLevel="0" collapsed="false">
      <c r="A1543" s="4" t="s">
        <v>10</v>
      </c>
      <c r="B1543" s="4" t="s">
        <v>11</v>
      </c>
      <c r="C1543" s="4" t="n">
        <v>31</v>
      </c>
      <c r="D1543" s="5" t="n">
        <v>21.5</v>
      </c>
      <c r="E1543" s="6" t="n">
        <f aca="false">DATE(2024,5,1)</f>
        <v>45413</v>
      </c>
      <c r="F1543" s="7" t="n">
        <f aca="false">C1543*D1543</f>
        <v>666.5</v>
      </c>
      <c r="G1543" s="7" t="n">
        <f aca="false">ROUND(F1543*0.2,2)</f>
        <v>133.3</v>
      </c>
      <c r="H1543" s="4" t="str">
        <f aca="false">IF(F1543&gt;500,"Yüksek",IF(F1543&gt;100,"Orta","Düşük"))</f>
        <v>Yüksek</v>
      </c>
    </row>
    <row r="1544" customFormat="false" ht="12.8" hidden="false" customHeight="false" outlineLevel="0" collapsed="false">
      <c r="A1544" s="4" t="s">
        <v>12</v>
      </c>
      <c r="B1544" s="4" t="s">
        <v>13</v>
      </c>
      <c r="C1544" s="4" t="n">
        <v>38</v>
      </c>
      <c r="D1544" s="5" t="n">
        <v>24.25</v>
      </c>
      <c r="E1544" s="6" t="n">
        <f aca="false">DATE(2024,6,2)</f>
        <v>45445</v>
      </c>
      <c r="F1544" s="7" t="n">
        <f aca="false">C1544*D1544</f>
        <v>921.5</v>
      </c>
      <c r="G1544" s="7" t="n">
        <f aca="false">ROUND(F1544*0.2,2)</f>
        <v>184.3</v>
      </c>
      <c r="H1544" s="4" t="str">
        <f aca="false">IF(F1544&gt;500,"Yüksek",IF(F1544&gt;100,"Orta","Düşük"))</f>
        <v>Yüksek</v>
      </c>
    </row>
    <row r="1545" customFormat="false" ht="12.8" hidden="false" customHeight="false" outlineLevel="0" collapsed="false">
      <c r="A1545" s="4" t="s">
        <v>14</v>
      </c>
      <c r="B1545" s="4" t="s">
        <v>15</v>
      </c>
      <c r="C1545" s="4" t="n">
        <v>45</v>
      </c>
      <c r="D1545" s="5" t="n">
        <v>27</v>
      </c>
      <c r="E1545" s="6" t="n">
        <f aca="false">DATE(2024,7,3)</f>
        <v>45476</v>
      </c>
      <c r="F1545" s="7" t="n">
        <f aca="false">C1545*D1545</f>
        <v>1215</v>
      </c>
      <c r="G1545" s="7" t="n">
        <f aca="false">ROUND(F1545*0.2,2)</f>
        <v>243</v>
      </c>
      <c r="H1545" s="4" t="str">
        <f aca="false">IF(F1545&gt;500,"Yüksek",IF(F1545&gt;100,"Orta","Düşük"))</f>
        <v>Yüksek</v>
      </c>
    </row>
    <row r="1546" customFormat="false" ht="12.8" hidden="false" customHeight="false" outlineLevel="0" collapsed="false">
      <c r="A1546" s="4" t="s">
        <v>16</v>
      </c>
      <c r="B1546" s="4" t="s">
        <v>17</v>
      </c>
      <c r="C1546" s="4" t="n">
        <v>2</v>
      </c>
      <c r="D1546" s="5" t="n">
        <v>29.75</v>
      </c>
      <c r="E1546" s="6" t="n">
        <f aca="false">DATE(2024,8,4)</f>
        <v>45508</v>
      </c>
      <c r="F1546" s="7" t="n">
        <f aca="false">C1546*D1546</f>
        <v>59.5</v>
      </c>
      <c r="G1546" s="7" t="n">
        <f aca="false">ROUND(F1546*0.2,2)</f>
        <v>11.9</v>
      </c>
      <c r="H1546" s="4" t="str">
        <f aca="false">IF(F1546&gt;500,"Yüksek",IF(F1546&gt;100,"Orta","Düşük"))</f>
        <v>Düşük</v>
      </c>
    </row>
    <row r="1547" customFormat="false" ht="12.8" hidden="false" customHeight="false" outlineLevel="0" collapsed="false">
      <c r="A1547" s="4" t="s">
        <v>18</v>
      </c>
      <c r="B1547" s="4" t="s">
        <v>19</v>
      </c>
      <c r="C1547" s="4" t="n">
        <v>9</v>
      </c>
      <c r="D1547" s="5" t="n">
        <v>32.5</v>
      </c>
      <c r="E1547" s="6" t="n">
        <f aca="false">DATE(2024,9,5)</f>
        <v>45540</v>
      </c>
      <c r="F1547" s="7" t="n">
        <f aca="false">C1547*D1547</f>
        <v>292.5</v>
      </c>
      <c r="G1547" s="7" t="n">
        <f aca="false">ROUND(F1547*0.2,2)</f>
        <v>58.5</v>
      </c>
      <c r="H1547" s="4" t="str">
        <f aca="false">IF(F1547&gt;500,"Yüksek",IF(F1547&gt;100,"Orta","Düşük"))</f>
        <v>Orta</v>
      </c>
    </row>
    <row r="1548" customFormat="false" ht="12.8" hidden="false" customHeight="false" outlineLevel="0" collapsed="false">
      <c r="A1548" s="4" t="s">
        <v>20</v>
      </c>
      <c r="B1548" s="4" t="s">
        <v>11</v>
      </c>
      <c r="C1548" s="4" t="n">
        <v>16</v>
      </c>
      <c r="D1548" s="5" t="n">
        <v>35.25</v>
      </c>
      <c r="E1548" s="6" t="n">
        <f aca="false">DATE(2024,10,6)</f>
        <v>45571</v>
      </c>
      <c r="F1548" s="7" t="n">
        <f aca="false">C1548*D1548</f>
        <v>564</v>
      </c>
      <c r="G1548" s="7" t="n">
        <f aca="false">ROUND(F1548*0.2,2)</f>
        <v>112.8</v>
      </c>
      <c r="H1548" s="4" t="str">
        <f aca="false">IF(F1548&gt;500,"Yüksek",IF(F1548&gt;100,"Orta","Düşük"))</f>
        <v>Yüksek</v>
      </c>
    </row>
    <row r="1549" customFormat="false" ht="12.8" hidden="false" customHeight="false" outlineLevel="0" collapsed="false">
      <c r="A1549" s="4" t="s">
        <v>21</v>
      </c>
      <c r="B1549" s="4" t="s">
        <v>13</v>
      </c>
      <c r="C1549" s="4" t="n">
        <v>23</v>
      </c>
      <c r="D1549" s="5" t="n">
        <v>38</v>
      </c>
      <c r="E1549" s="6" t="n">
        <f aca="false">DATE(2024,11,7)</f>
        <v>45603</v>
      </c>
      <c r="F1549" s="7" t="n">
        <f aca="false">C1549*D1549</f>
        <v>874</v>
      </c>
      <c r="G1549" s="7" t="n">
        <f aca="false">ROUND(F1549*0.2,2)</f>
        <v>174.8</v>
      </c>
      <c r="H1549" s="4" t="str">
        <f aca="false">IF(F1549&gt;500,"Yüksek",IF(F1549&gt;100,"Orta","Düşük"))</f>
        <v>Yüksek</v>
      </c>
    </row>
    <row r="1550" customFormat="false" ht="12.8" hidden="false" customHeight="false" outlineLevel="0" collapsed="false">
      <c r="A1550" s="4" t="s">
        <v>22</v>
      </c>
      <c r="B1550" s="4" t="s">
        <v>15</v>
      </c>
      <c r="C1550" s="4" t="n">
        <v>30</v>
      </c>
      <c r="D1550" s="5" t="n">
        <v>5</v>
      </c>
      <c r="E1550" s="6" t="n">
        <f aca="false">DATE(2024,12,8)</f>
        <v>45634</v>
      </c>
      <c r="F1550" s="7" t="n">
        <f aca="false">C1550*D1550</f>
        <v>150</v>
      </c>
      <c r="G1550" s="7" t="n">
        <f aca="false">ROUND(F1550*0.2,2)</f>
        <v>30</v>
      </c>
      <c r="H1550" s="4" t="str">
        <f aca="false">IF(F1550&gt;500,"Yüksek",IF(F1550&gt;100,"Orta","Düşük"))</f>
        <v>Orta</v>
      </c>
    </row>
    <row r="1551" customFormat="false" ht="12.8" hidden="false" customHeight="false" outlineLevel="0" collapsed="false">
      <c r="A1551" s="4" t="s">
        <v>23</v>
      </c>
      <c r="B1551" s="4" t="s">
        <v>17</v>
      </c>
      <c r="C1551" s="4" t="n">
        <v>37</v>
      </c>
      <c r="D1551" s="5" t="n">
        <v>7.75</v>
      </c>
      <c r="E1551" s="6" t="n">
        <f aca="false">DATE(2024,1,9)</f>
        <v>45300</v>
      </c>
      <c r="F1551" s="7" t="n">
        <f aca="false">C1551*D1551</f>
        <v>286.75</v>
      </c>
      <c r="G1551" s="7" t="n">
        <f aca="false">ROUND(F1551*0.2,2)</f>
        <v>57.35</v>
      </c>
      <c r="H1551" s="4" t="str">
        <f aca="false">IF(F1551&gt;500,"Yüksek",IF(F1551&gt;100,"Orta","Düşük"))</f>
        <v>Orta</v>
      </c>
    </row>
    <row r="1552" customFormat="false" ht="12.8" hidden="false" customHeight="false" outlineLevel="0" collapsed="false">
      <c r="A1552" s="4" t="s">
        <v>24</v>
      </c>
      <c r="B1552" s="4" t="s">
        <v>19</v>
      </c>
      <c r="C1552" s="4" t="n">
        <v>44</v>
      </c>
      <c r="D1552" s="5" t="n">
        <v>10.5</v>
      </c>
      <c r="E1552" s="6" t="n">
        <f aca="false">DATE(2024,2,10)</f>
        <v>45332</v>
      </c>
      <c r="F1552" s="7" t="n">
        <f aca="false">C1552*D1552</f>
        <v>462</v>
      </c>
      <c r="G1552" s="7" t="n">
        <f aca="false">ROUND(F1552*0.2,2)</f>
        <v>92.4</v>
      </c>
      <c r="H1552" s="4" t="str">
        <f aca="false">IF(F1552&gt;500,"Yüksek",IF(F1552&gt;100,"Orta","Düşük"))</f>
        <v>Orta</v>
      </c>
    </row>
    <row r="1553" customFormat="false" ht="12.8" hidden="false" customHeight="false" outlineLevel="0" collapsed="false">
      <c r="A1553" s="4" t="s">
        <v>10</v>
      </c>
      <c r="B1553" s="4" t="s">
        <v>11</v>
      </c>
      <c r="C1553" s="4" t="n">
        <v>1</v>
      </c>
      <c r="D1553" s="5" t="n">
        <v>13.25</v>
      </c>
      <c r="E1553" s="6" t="n">
        <f aca="false">DATE(2024,3,11)</f>
        <v>45362</v>
      </c>
      <c r="F1553" s="7" t="n">
        <f aca="false">C1553*D1553</f>
        <v>13.25</v>
      </c>
      <c r="G1553" s="7" t="n">
        <f aca="false">ROUND(F1553*0.2,2)</f>
        <v>2.65</v>
      </c>
      <c r="H1553" s="4" t="str">
        <f aca="false">IF(F1553&gt;500,"Yüksek",IF(F1553&gt;100,"Orta","Düşük"))</f>
        <v>Düşük</v>
      </c>
    </row>
    <row r="1554" customFormat="false" ht="12.8" hidden="false" customHeight="false" outlineLevel="0" collapsed="false">
      <c r="A1554" s="4" t="s">
        <v>12</v>
      </c>
      <c r="B1554" s="4" t="s">
        <v>13</v>
      </c>
      <c r="C1554" s="4" t="n">
        <v>8</v>
      </c>
      <c r="D1554" s="5" t="n">
        <v>16</v>
      </c>
      <c r="E1554" s="6" t="n">
        <f aca="false">DATE(2024,4,12)</f>
        <v>45394</v>
      </c>
      <c r="F1554" s="7" t="n">
        <f aca="false">C1554*D1554</f>
        <v>128</v>
      </c>
      <c r="G1554" s="7" t="n">
        <f aca="false">ROUND(F1554*0.2,2)</f>
        <v>25.6</v>
      </c>
      <c r="H1554" s="4" t="str">
        <f aca="false">IF(F1554&gt;500,"Yüksek",IF(F1554&gt;100,"Orta","Düşük"))</f>
        <v>Orta</v>
      </c>
    </row>
    <row r="1555" customFormat="false" ht="12.8" hidden="false" customHeight="false" outlineLevel="0" collapsed="false">
      <c r="A1555" s="4" t="s">
        <v>14</v>
      </c>
      <c r="B1555" s="4" t="s">
        <v>15</v>
      </c>
      <c r="C1555" s="4" t="n">
        <v>15</v>
      </c>
      <c r="D1555" s="5" t="n">
        <v>18.75</v>
      </c>
      <c r="E1555" s="6" t="n">
        <f aca="false">DATE(2024,5,13)</f>
        <v>45425</v>
      </c>
      <c r="F1555" s="7" t="n">
        <f aca="false">C1555*D1555</f>
        <v>281.25</v>
      </c>
      <c r="G1555" s="7" t="n">
        <f aca="false">ROUND(F1555*0.2,2)</f>
        <v>56.25</v>
      </c>
      <c r="H1555" s="4" t="str">
        <f aca="false">IF(F1555&gt;500,"Yüksek",IF(F1555&gt;100,"Orta","Düşük"))</f>
        <v>Orta</v>
      </c>
    </row>
    <row r="1556" customFormat="false" ht="12.8" hidden="false" customHeight="false" outlineLevel="0" collapsed="false">
      <c r="A1556" s="4" t="s">
        <v>16</v>
      </c>
      <c r="B1556" s="4" t="s">
        <v>17</v>
      </c>
      <c r="C1556" s="4" t="n">
        <v>22</v>
      </c>
      <c r="D1556" s="5" t="n">
        <v>21.5</v>
      </c>
      <c r="E1556" s="6" t="n">
        <f aca="false">DATE(2024,6,14)</f>
        <v>45457</v>
      </c>
      <c r="F1556" s="7" t="n">
        <f aca="false">C1556*D1556</f>
        <v>473</v>
      </c>
      <c r="G1556" s="7" t="n">
        <f aca="false">ROUND(F1556*0.2,2)</f>
        <v>94.6</v>
      </c>
      <c r="H1556" s="4" t="str">
        <f aca="false">IF(F1556&gt;500,"Yüksek",IF(F1556&gt;100,"Orta","Düşük"))</f>
        <v>Orta</v>
      </c>
    </row>
    <row r="1557" customFormat="false" ht="12.8" hidden="false" customHeight="false" outlineLevel="0" collapsed="false">
      <c r="A1557" s="4" t="s">
        <v>18</v>
      </c>
      <c r="B1557" s="4" t="s">
        <v>19</v>
      </c>
      <c r="C1557" s="4" t="n">
        <v>29</v>
      </c>
      <c r="D1557" s="5" t="n">
        <v>24.25</v>
      </c>
      <c r="E1557" s="6" t="n">
        <f aca="false">DATE(2024,7,15)</f>
        <v>45488</v>
      </c>
      <c r="F1557" s="7" t="n">
        <f aca="false">C1557*D1557</f>
        <v>703.25</v>
      </c>
      <c r="G1557" s="7" t="n">
        <f aca="false">ROUND(F1557*0.2,2)</f>
        <v>140.65</v>
      </c>
      <c r="H1557" s="4" t="str">
        <f aca="false">IF(F1557&gt;500,"Yüksek",IF(F1557&gt;100,"Orta","Düşük"))</f>
        <v>Yüksek</v>
      </c>
    </row>
    <row r="1558" customFormat="false" ht="12.8" hidden="false" customHeight="false" outlineLevel="0" collapsed="false">
      <c r="A1558" s="4" t="s">
        <v>20</v>
      </c>
      <c r="B1558" s="4" t="s">
        <v>11</v>
      </c>
      <c r="C1558" s="4" t="n">
        <v>36</v>
      </c>
      <c r="D1558" s="5" t="n">
        <v>27</v>
      </c>
      <c r="E1558" s="6" t="n">
        <f aca="false">DATE(2024,8,16)</f>
        <v>45520</v>
      </c>
      <c r="F1558" s="7" t="n">
        <f aca="false">C1558*D1558</f>
        <v>972</v>
      </c>
      <c r="G1558" s="7" t="n">
        <f aca="false">ROUND(F1558*0.2,2)</f>
        <v>194.4</v>
      </c>
      <c r="H1558" s="4" t="str">
        <f aca="false">IF(F1558&gt;500,"Yüksek",IF(F1558&gt;100,"Orta","Düşük"))</f>
        <v>Yüksek</v>
      </c>
    </row>
    <row r="1559" customFormat="false" ht="12.8" hidden="false" customHeight="false" outlineLevel="0" collapsed="false">
      <c r="A1559" s="4" t="s">
        <v>21</v>
      </c>
      <c r="B1559" s="4" t="s">
        <v>13</v>
      </c>
      <c r="C1559" s="4" t="n">
        <v>43</v>
      </c>
      <c r="D1559" s="5" t="n">
        <v>29.75</v>
      </c>
      <c r="E1559" s="6" t="n">
        <f aca="false">DATE(2024,9,17)</f>
        <v>45552</v>
      </c>
      <c r="F1559" s="7" t="n">
        <f aca="false">C1559*D1559</f>
        <v>1279.25</v>
      </c>
      <c r="G1559" s="7" t="n">
        <f aca="false">ROUND(F1559*0.2,2)</f>
        <v>255.85</v>
      </c>
      <c r="H1559" s="4" t="str">
        <f aca="false">IF(F1559&gt;500,"Yüksek",IF(F1559&gt;100,"Orta","Düşük"))</f>
        <v>Yüksek</v>
      </c>
    </row>
    <row r="1560" customFormat="false" ht="12.8" hidden="false" customHeight="false" outlineLevel="0" collapsed="false">
      <c r="A1560" s="4" t="s">
        <v>22</v>
      </c>
      <c r="B1560" s="4" t="s">
        <v>15</v>
      </c>
      <c r="C1560" s="4" t="n">
        <v>50</v>
      </c>
      <c r="D1560" s="5" t="n">
        <v>32.5</v>
      </c>
      <c r="E1560" s="6" t="n">
        <f aca="false">DATE(2024,10,18)</f>
        <v>45583</v>
      </c>
      <c r="F1560" s="7" t="n">
        <f aca="false">C1560*D1560</f>
        <v>1625</v>
      </c>
      <c r="G1560" s="7" t="n">
        <f aca="false">ROUND(F1560*0.2,2)</f>
        <v>325</v>
      </c>
      <c r="H1560" s="4" t="str">
        <f aca="false">IF(F1560&gt;500,"Yüksek",IF(F1560&gt;100,"Orta","Düşük"))</f>
        <v>Yüksek</v>
      </c>
    </row>
    <row r="1561" customFormat="false" ht="12.8" hidden="false" customHeight="false" outlineLevel="0" collapsed="false">
      <c r="A1561" s="4" t="s">
        <v>23</v>
      </c>
      <c r="B1561" s="4" t="s">
        <v>17</v>
      </c>
      <c r="C1561" s="4" t="n">
        <v>7</v>
      </c>
      <c r="D1561" s="5" t="n">
        <v>35.25</v>
      </c>
      <c r="E1561" s="6" t="n">
        <f aca="false">DATE(2024,11,19)</f>
        <v>45615</v>
      </c>
      <c r="F1561" s="7" t="n">
        <f aca="false">C1561*D1561</f>
        <v>246.75</v>
      </c>
      <c r="G1561" s="7" t="n">
        <f aca="false">ROUND(F1561*0.2,2)</f>
        <v>49.35</v>
      </c>
      <c r="H1561" s="4" t="str">
        <f aca="false">IF(F1561&gt;500,"Yüksek",IF(F1561&gt;100,"Orta","Düşük"))</f>
        <v>Orta</v>
      </c>
    </row>
    <row r="1562" customFormat="false" ht="12.8" hidden="false" customHeight="false" outlineLevel="0" collapsed="false">
      <c r="A1562" s="4" t="s">
        <v>24</v>
      </c>
      <c r="B1562" s="4" t="s">
        <v>19</v>
      </c>
      <c r="C1562" s="4" t="n">
        <v>14</v>
      </c>
      <c r="D1562" s="5" t="n">
        <v>38</v>
      </c>
      <c r="E1562" s="6" t="n">
        <f aca="false">DATE(2024,12,20)</f>
        <v>45646</v>
      </c>
      <c r="F1562" s="7" t="n">
        <f aca="false">C1562*D1562</f>
        <v>532</v>
      </c>
      <c r="G1562" s="7" t="n">
        <f aca="false">ROUND(F1562*0.2,2)</f>
        <v>106.4</v>
      </c>
      <c r="H1562" s="4" t="str">
        <f aca="false">IF(F1562&gt;500,"Yüksek",IF(F1562&gt;100,"Orta","Düşük"))</f>
        <v>Yüksek</v>
      </c>
    </row>
    <row r="1563" customFormat="false" ht="12.8" hidden="false" customHeight="false" outlineLevel="0" collapsed="false">
      <c r="A1563" s="4" t="s">
        <v>10</v>
      </c>
      <c r="B1563" s="4" t="s">
        <v>11</v>
      </c>
      <c r="C1563" s="4" t="n">
        <v>21</v>
      </c>
      <c r="D1563" s="5" t="n">
        <v>5</v>
      </c>
      <c r="E1563" s="6" t="n">
        <f aca="false">DATE(2024,1,21)</f>
        <v>45312</v>
      </c>
      <c r="F1563" s="7" t="n">
        <f aca="false">C1563*D1563</f>
        <v>105</v>
      </c>
      <c r="G1563" s="7" t="n">
        <f aca="false">ROUND(F1563*0.2,2)</f>
        <v>21</v>
      </c>
      <c r="H1563" s="4" t="str">
        <f aca="false">IF(F1563&gt;500,"Yüksek",IF(F1563&gt;100,"Orta","Düşük"))</f>
        <v>Orta</v>
      </c>
    </row>
    <row r="1564" customFormat="false" ht="12.8" hidden="false" customHeight="false" outlineLevel="0" collapsed="false">
      <c r="A1564" s="4" t="s">
        <v>12</v>
      </c>
      <c r="B1564" s="4" t="s">
        <v>13</v>
      </c>
      <c r="C1564" s="4" t="n">
        <v>28</v>
      </c>
      <c r="D1564" s="5" t="n">
        <v>7.75</v>
      </c>
      <c r="E1564" s="6" t="n">
        <f aca="false">DATE(2024,2,22)</f>
        <v>45344</v>
      </c>
      <c r="F1564" s="7" t="n">
        <f aca="false">C1564*D1564</f>
        <v>217</v>
      </c>
      <c r="G1564" s="7" t="n">
        <f aca="false">ROUND(F1564*0.2,2)</f>
        <v>43.4</v>
      </c>
      <c r="H1564" s="4" t="str">
        <f aca="false">IF(F1564&gt;500,"Yüksek",IF(F1564&gt;100,"Orta","Düşük"))</f>
        <v>Orta</v>
      </c>
    </row>
    <row r="1565" customFormat="false" ht="12.8" hidden="false" customHeight="false" outlineLevel="0" collapsed="false">
      <c r="A1565" s="4" t="s">
        <v>14</v>
      </c>
      <c r="B1565" s="4" t="s">
        <v>15</v>
      </c>
      <c r="C1565" s="4" t="n">
        <v>35</v>
      </c>
      <c r="D1565" s="5" t="n">
        <v>10.5</v>
      </c>
      <c r="E1565" s="6" t="n">
        <f aca="false">DATE(2024,3,23)</f>
        <v>45374</v>
      </c>
      <c r="F1565" s="7" t="n">
        <f aca="false">C1565*D1565</f>
        <v>367.5</v>
      </c>
      <c r="G1565" s="7" t="n">
        <f aca="false">ROUND(F1565*0.2,2)</f>
        <v>73.5</v>
      </c>
      <c r="H1565" s="4" t="str">
        <f aca="false">IF(F1565&gt;500,"Yüksek",IF(F1565&gt;100,"Orta","Düşük"))</f>
        <v>Orta</v>
      </c>
    </row>
    <row r="1566" customFormat="false" ht="12.8" hidden="false" customHeight="false" outlineLevel="0" collapsed="false">
      <c r="A1566" s="4" t="s">
        <v>16</v>
      </c>
      <c r="B1566" s="4" t="s">
        <v>17</v>
      </c>
      <c r="C1566" s="4" t="n">
        <v>42</v>
      </c>
      <c r="D1566" s="5" t="n">
        <v>13.25</v>
      </c>
      <c r="E1566" s="6" t="n">
        <f aca="false">DATE(2024,4,24)</f>
        <v>45406</v>
      </c>
      <c r="F1566" s="7" t="n">
        <f aca="false">C1566*D1566</f>
        <v>556.5</v>
      </c>
      <c r="G1566" s="7" t="n">
        <f aca="false">ROUND(F1566*0.2,2)</f>
        <v>111.3</v>
      </c>
      <c r="H1566" s="4" t="str">
        <f aca="false">IF(F1566&gt;500,"Yüksek",IF(F1566&gt;100,"Orta","Düşük"))</f>
        <v>Yüksek</v>
      </c>
    </row>
    <row r="1567" customFormat="false" ht="12.8" hidden="false" customHeight="false" outlineLevel="0" collapsed="false">
      <c r="A1567" s="4" t="s">
        <v>18</v>
      </c>
      <c r="B1567" s="4" t="s">
        <v>19</v>
      </c>
      <c r="C1567" s="4" t="n">
        <v>49</v>
      </c>
      <c r="D1567" s="5" t="n">
        <v>16</v>
      </c>
      <c r="E1567" s="6" t="n">
        <f aca="false">DATE(2024,5,25)</f>
        <v>45437</v>
      </c>
      <c r="F1567" s="7" t="n">
        <f aca="false">C1567*D1567</f>
        <v>784</v>
      </c>
      <c r="G1567" s="7" t="n">
        <f aca="false">ROUND(F1567*0.2,2)</f>
        <v>156.8</v>
      </c>
      <c r="H1567" s="4" t="str">
        <f aca="false">IF(F1567&gt;500,"Yüksek",IF(F1567&gt;100,"Orta","Düşük"))</f>
        <v>Yüksek</v>
      </c>
    </row>
    <row r="1568" customFormat="false" ht="12.8" hidden="false" customHeight="false" outlineLevel="0" collapsed="false">
      <c r="A1568" s="4" t="s">
        <v>20</v>
      </c>
      <c r="B1568" s="4" t="s">
        <v>11</v>
      </c>
      <c r="C1568" s="4" t="n">
        <v>6</v>
      </c>
      <c r="D1568" s="5" t="n">
        <v>18.75</v>
      </c>
      <c r="E1568" s="6" t="n">
        <f aca="false">DATE(2024,6,26)</f>
        <v>45469</v>
      </c>
      <c r="F1568" s="7" t="n">
        <f aca="false">C1568*D1568</f>
        <v>112.5</v>
      </c>
      <c r="G1568" s="7" t="n">
        <f aca="false">ROUND(F1568*0.2,2)</f>
        <v>22.5</v>
      </c>
      <c r="H1568" s="4" t="str">
        <f aca="false">IF(F1568&gt;500,"Yüksek",IF(F1568&gt;100,"Orta","Düşük"))</f>
        <v>Orta</v>
      </c>
    </row>
    <row r="1569" customFormat="false" ht="12.8" hidden="false" customHeight="false" outlineLevel="0" collapsed="false">
      <c r="A1569" s="4" t="s">
        <v>21</v>
      </c>
      <c r="B1569" s="4" t="s">
        <v>13</v>
      </c>
      <c r="C1569" s="4" t="n">
        <v>13</v>
      </c>
      <c r="D1569" s="5" t="n">
        <v>21.5</v>
      </c>
      <c r="E1569" s="6" t="n">
        <f aca="false">DATE(2024,7,27)</f>
        <v>45500</v>
      </c>
      <c r="F1569" s="7" t="n">
        <f aca="false">C1569*D1569</f>
        <v>279.5</v>
      </c>
      <c r="G1569" s="7" t="n">
        <f aca="false">ROUND(F1569*0.2,2)</f>
        <v>55.9</v>
      </c>
      <c r="H1569" s="4" t="str">
        <f aca="false">IF(F1569&gt;500,"Yüksek",IF(F1569&gt;100,"Orta","Düşük"))</f>
        <v>Orta</v>
      </c>
    </row>
    <row r="1570" customFormat="false" ht="12.8" hidden="false" customHeight="false" outlineLevel="0" collapsed="false">
      <c r="A1570" s="4" t="s">
        <v>22</v>
      </c>
      <c r="B1570" s="4" t="s">
        <v>15</v>
      </c>
      <c r="C1570" s="4" t="n">
        <v>20</v>
      </c>
      <c r="D1570" s="5" t="n">
        <v>24.25</v>
      </c>
      <c r="E1570" s="6" t="n">
        <f aca="false">DATE(2024,8,28)</f>
        <v>45532</v>
      </c>
      <c r="F1570" s="7" t="n">
        <f aca="false">C1570*D1570</f>
        <v>485</v>
      </c>
      <c r="G1570" s="7" t="n">
        <f aca="false">ROUND(F1570*0.2,2)</f>
        <v>97</v>
      </c>
      <c r="H1570" s="4" t="str">
        <f aca="false">IF(F1570&gt;500,"Yüksek",IF(F1570&gt;100,"Orta","Düşük"))</f>
        <v>Orta</v>
      </c>
    </row>
    <row r="1571" customFormat="false" ht="12.8" hidden="false" customHeight="false" outlineLevel="0" collapsed="false">
      <c r="A1571" s="4" t="s">
        <v>23</v>
      </c>
      <c r="B1571" s="4" t="s">
        <v>17</v>
      </c>
      <c r="C1571" s="4" t="n">
        <v>27</v>
      </c>
      <c r="D1571" s="5" t="n">
        <v>27</v>
      </c>
      <c r="E1571" s="6" t="n">
        <f aca="false">DATE(2024,9,1)</f>
        <v>45536</v>
      </c>
      <c r="F1571" s="7" t="n">
        <f aca="false">C1571*D1571</f>
        <v>729</v>
      </c>
      <c r="G1571" s="7" t="n">
        <f aca="false">ROUND(F1571*0.2,2)</f>
        <v>145.8</v>
      </c>
      <c r="H1571" s="4" t="str">
        <f aca="false">IF(F1571&gt;500,"Yüksek",IF(F1571&gt;100,"Orta","Düşük"))</f>
        <v>Yüksek</v>
      </c>
    </row>
    <row r="1572" customFormat="false" ht="12.8" hidden="false" customHeight="false" outlineLevel="0" collapsed="false">
      <c r="A1572" s="4" t="s">
        <v>24</v>
      </c>
      <c r="B1572" s="4" t="s">
        <v>19</v>
      </c>
      <c r="C1572" s="4" t="n">
        <v>34</v>
      </c>
      <c r="D1572" s="5" t="n">
        <v>29.75</v>
      </c>
      <c r="E1572" s="6" t="n">
        <f aca="false">DATE(2024,10,2)</f>
        <v>45567</v>
      </c>
      <c r="F1572" s="7" t="n">
        <f aca="false">C1572*D1572</f>
        <v>1011.5</v>
      </c>
      <c r="G1572" s="7" t="n">
        <f aca="false">ROUND(F1572*0.2,2)</f>
        <v>202.3</v>
      </c>
      <c r="H1572" s="4" t="str">
        <f aca="false">IF(F1572&gt;500,"Yüksek",IF(F1572&gt;100,"Orta","Düşük"))</f>
        <v>Yüksek</v>
      </c>
    </row>
    <row r="1573" customFormat="false" ht="12.8" hidden="false" customHeight="false" outlineLevel="0" collapsed="false">
      <c r="A1573" s="4" t="s">
        <v>10</v>
      </c>
      <c r="B1573" s="4" t="s">
        <v>11</v>
      </c>
      <c r="C1573" s="4" t="n">
        <v>41</v>
      </c>
      <c r="D1573" s="5" t="n">
        <v>32.5</v>
      </c>
      <c r="E1573" s="6" t="n">
        <f aca="false">DATE(2024,11,3)</f>
        <v>45599</v>
      </c>
      <c r="F1573" s="7" t="n">
        <f aca="false">C1573*D1573</f>
        <v>1332.5</v>
      </c>
      <c r="G1573" s="7" t="n">
        <f aca="false">ROUND(F1573*0.2,2)</f>
        <v>266.5</v>
      </c>
      <c r="H1573" s="4" t="str">
        <f aca="false">IF(F1573&gt;500,"Yüksek",IF(F1573&gt;100,"Orta","Düşük"))</f>
        <v>Yüksek</v>
      </c>
    </row>
    <row r="1574" customFormat="false" ht="12.8" hidden="false" customHeight="false" outlineLevel="0" collapsed="false">
      <c r="A1574" s="4" t="s">
        <v>12</v>
      </c>
      <c r="B1574" s="4" t="s">
        <v>13</v>
      </c>
      <c r="C1574" s="4" t="n">
        <v>48</v>
      </c>
      <c r="D1574" s="5" t="n">
        <v>35.25</v>
      </c>
      <c r="E1574" s="6" t="n">
        <f aca="false">DATE(2024,12,4)</f>
        <v>45630</v>
      </c>
      <c r="F1574" s="7" t="n">
        <f aca="false">C1574*D1574</f>
        <v>1692</v>
      </c>
      <c r="G1574" s="7" t="n">
        <f aca="false">ROUND(F1574*0.2,2)</f>
        <v>338.4</v>
      </c>
      <c r="H1574" s="4" t="str">
        <f aca="false">IF(F1574&gt;500,"Yüksek",IF(F1574&gt;100,"Orta","Düşük"))</f>
        <v>Yüksek</v>
      </c>
    </row>
    <row r="1575" customFormat="false" ht="12.8" hidden="false" customHeight="false" outlineLevel="0" collapsed="false">
      <c r="A1575" s="4" t="s">
        <v>14</v>
      </c>
      <c r="B1575" s="4" t="s">
        <v>15</v>
      </c>
      <c r="C1575" s="4" t="n">
        <v>5</v>
      </c>
      <c r="D1575" s="5" t="n">
        <v>38</v>
      </c>
      <c r="E1575" s="6" t="n">
        <f aca="false">DATE(2024,1,5)</f>
        <v>45296</v>
      </c>
      <c r="F1575" s="7" t="n">
        <f aca="false">C1575*D1575</f>
        <v>190</v>
      </c>
      <c r="G1575" s="7" t="n">
        <f aca="false">ROUND(F1575*0.2,2)</f>
        <v>38</v>
      </c>
      <c r="H1575" s="4" t="str">
        <f aca="false">IF(F1575&gt;500,"Yüksek",IF(F1575&gt;100,"Orta","Düşük"))</f>
        <v>Orta</v>
      </c>
    </row>
    <row r="1576" customFormat="false" ht="12.8" hidden="false" customHeight="false" outlineLevel="0" collapsed="false">
      <c r="A1576" s="4" t="s">
        <v>16</v>
      </c>
      <c r="B1576" s="4" t="s">
        <v>17</v>
      </c>
      <c r="C1576" s="4" t="n">
        <v>12</v>
      </c>
      <c r="D1576" s="5" t="n">
        <v>5</v>
      </c>
      <c r="E1576" s="6" t="n">
        <f aca="false">DATE(2024,2,6)</f>
        <v>45328</v>
      </c>
      <c r="F1576" s="7" t="n">
        <f aca="false">C1576*D1576</f>
        <v>60</v>
      </c>
      <c r="G1576" s="7" t="n">
        <f aca="false">ROUND(F1576*0.2,2)</f>
        <v>12</v>
      </c>
      <c r="H1576" s="4" t="str">
        <f aca="false">IF(F1576&gt;500,"Yüksek",IF(F1576&gt;100,"Orta","Düşük"))</f>
        <v>Düşük</v>
      </c>
    </row>
    <row r="1577" customFormat="false" ht="12.8" hidden="false" customHeight="false" outlineLevel="0" collapsed="false">
      <c r="A1577" s="4" t="s">
        <v>18</v>
      </c>
      <c r="B1577" s="4" t="s">
        <v>19</v>
      </c>
      <c r="C1577" s="4" t="n">
        <v>19</v>
      </c>
      <c r="D1577" s="5" t="n">
        <v>7.75</v>
      </c>
      <c r="E1577" s="6" t="n">
        <f aca="false">DATE(2024,3,7)</f>
        <v>45358</v>
      </c>
      <c r="F1577" s="7" t="n">
        <f aca="false">C1577*D1577</f>
        <v>147.25</v>
      </c>
      <c r="G1577" s="7" t="n">
        <f aca="false">ROUND(F1577*0.2,2)</f>
        <v>29.45</v>
      </c>
      <c r="H1577" s="4" t="str">
        <f aca="false">IF(F1577&gt;500,"Yüksek",IF(F1577&gt;100,"Orta","Düşük"))</f>
        <v>Orta</v>
      </c>
    </row>
    <row r="1578" customFormat="false" ht="12.8" hidden="false" customHeight="false" outlineLevel="0" collapsed="false">
      <c r="A1578" s="4" t="s">
        <v>20</v>
      </c>
      <c r="B1578" s="4" t="s">
        <v>11</v>
      </c>
      <c r="C1578" s="4" t="n">
        <v>26</v>
      </c>
      <c r="D1578" s="5" t="n">
        <v>10.5</v>
      </c>
      <c r="E1578" s="6" t="n">
        <f aca="false">DATE(2024,4,8)</f>
        <v>45390</v>
      </c>
      <c r="F1578" s="7" t="n">
        <f aca="false">C1578*D1578</f>
        <v>273</v>
      </c>
      <c r="G1578" s="7" t="n">
        <f aca="false">ROUND(F1578*0.2,2)</f>
        <v>54.6</v>
      </c>
      <c r="H1578" s="4" t="str">
        <f aca="false">IF(F1578&gt;500,"Yüksek",IF(F1578&gt;100,"Orta","Düşük"))</f>
        <v>Orta</v>
      </c>
    </row>
    <row r="1579" customFormat="false" ht="12.8" hidden="false" customHeight="false" outlineLevel="0" collapsed="false">
      <c r="A1579" s="4" t="s">
        <v>21</v>
      </c>
      <c r="B1579" s="4" t="s">
        <v>13</v>
      </c>
      <c r="C1579" s="4" t="n">
        <v>33</v>
      </c>
      <c r="D1579" s="5" t="n">
        <v>13.25</v>
      </c>
      <c r="E1579" s="6" t="n">
        <f aca="false">DATE(2024,5,9)</f>
        <v>45421</v>
      </c>
      <c r="F1579" s="7" t="n">
        <f aca="false">C1579*D1579</f>
        <v>437.25</v>
      </c>
      <c r="G1579" s="7" t="n">
        <f aca="false">ROUND(F1579*0.2,2)</f>
        <v>87.45</v>
      </c>
      <c r="H1579" s="4" t="str">
        <f aca="false">IF(F1579&gt;500,"Yüksek",IF(F1579&gt;100,"Orta","Düşük"))</f>
        <v>Orta</v>
      </c>
    </row>
    <row r="1580" customFormat="false" ht="12.8" hidden="false" customHeight="false" outlineLevel="0" collapsed="false">
      <c r="A1580" s="4" t="s">
        <v>22</v>
      </c>
      <c r="B1580" s="4" t="s">
        <v>15</v>
      </c>
      <c r="C1580" s="4" t="n">
        <v>40</v>
      </c>
      <c r="D1580" s="5" t="n">
        <v>16</v>
      </c>
      <c r="E1580" s="6" t="n">
        <f aca="false">DATE(2024,6,10)</f>
        <v>45453</v>
      </c>
      <c r="F1580" s="7" t="n">
        <f aca="false">C1580*D1580</f>
        <v>640</v>
      </c>
      <c r="G1580" s="7" t="n">
        <f aca="false">ROUND(F1580*0.2,2)</f>
        <v>128</v>
      </c>
      <c r="H1580" s="4" t="str">
        <f aca="false">IF(F1580&gt;500,"Yüksek",IF(F1580&gt;100,"Orta","Düşük"))</f>
        <v>Yüksek</v>
      </c>
    </row>
    <row r="1581" customFormat="false" ht="12.8" hidden="false" customHeight="false" outlineLevel="0" collapsed="false">
      <c r="A1581" s="4" t="s">
        <v>23</v>
      </c>
      <c r="B1581" s="4" t="s">
        <v>17</v>
      </c>
      <c r="C1581" s="4" t="n">
        <v>47</v>
      </c>
      <c r="D1581" s="5" t="n">
        <v>18.75</v>
      </c>
      <c r="E1581" s="6" t="n">
        <f aca="false">DATE(2024,7,11)</f>
        <v>45484</v>
      </c>
      <c r="F1581" s="7" t="n">
        <f aca="false">C1581*D1581</f>
        <v>881.25</v>
      </c>
      <c r="G1581" s="7" t="n">
        <f aca="false">ROUND(F1581*0.2,2)</f>
        <v>176.25</v>
      </c>
      <c r="H1581" s="4" t="str">
        <f aca="false">IF(F1581&gt;500,"Yüksek",IF(F1581&gt;100,"Orta","Düşük"))</f>
        <v>Yüksek</v>
      </c>
    </row>
    <row r="1582" customFormat="false" ht="12.8" hidden="false" customHeight="false" outlineLevel="0" collapsed="false">
      <c r="A1582" s="4" t="s">
        <v>24</v>
      </c>
      <c r="B1582" s="4" t="s">
        <v>19</v>
      </c>
      <c r="C1582" s="4" t="n">
        <v>4</v>
      </c>
      <c r="D1582" s="5" t="n">
        <v>21.5</v>
      </c>
      <c r="E1582" s="6" t="n">
        <f aca="false">DATE(2024,8,12)</f>
        <v>45516</v>
      </c>
      <c r="F1582" s="7" t="n">
        <f aca="false">C1582*D1582</f>
        <v>86</v>
      </c>
      <c r="G1582" s="7" t="n">
        <f aca="false">ROUND(F1582*0.2,2)</f>
        <v>17.2</v>
      </c>
      <c r="H1582" s="4" t="str">
        <f aca="false">IF(F1582&gt;500,"Yüksek",IF(F1582&gt;100,"Orta","Düşük"))</f>
        <v>Düşük</v>
      </c>
    </row>
    <row r="1583" customFormat="false" ht="12.8" hidden="false" customHeight="false" outlineLevel="0" collapsed="false">
      <c r="A1583" s="4" t="s">
        <v>10</v>
      </c>
      <c r="B1583" s="4" t="s">
        <v>11</v>
      </c>
      <c r="C1583" s="4" t="n">
        <v>11</v>
      </c>
      <c r="D1583" s="5" t="n">
        <v>24.25</v>
      </c>
      <c r="E1583" s="6" t="n">
        <f aca="false">DATE(2024,9,13)</f>
        <v>45548</v>
      </c>
      <c r="F1583" s="7" t="n">
        <f aca="false">C1583*D1583</f>
        <v>266.75</v>
      </c>
      <c r="G1583" s="7" t="n">
        <f aca="false">ROUND(F1583*0.2,2)</f>
        <v>53.35</v>
      </c>
      <c r="H1583" s="4" t="str">
        <f aca="false">IF(F1583&gt;500,"Yüksek",IF(F1583&gt;100,"Orta","Düşük"))</f>
        <v>Orta</v>
      </c>
    </row>
    <row r="1584" customFormat="false" ht="12.8" hidden="false" customHeight="false" outlineLevel="0" collapsed="false">
      <c r="A1584" s="4" t="s">
        <v>12</v>
      </c>
      <c r="B1584" s="4" t="s">
        <v>13</v>
      </c>
      <c r="C1584" s="4" t="n">
        <v>18</v>
      </c>
      <c r="D1584" s="5" t="n">
        <v>27</v>
      </c>
      <c r="E1584" s="6" t="n">
        <f aca="false">DATE(2024,10,14)</f>
        <v>45579</v>
      </c>
      <c r="F1584" s="7" t="n">
        <f aca="false">C1584*D1584</f>
        <v>486</v>
      </c>
      <c r="G1584" s="7" t="n">
        <f aca="false">ROUND(F1584*0.2,2)</f>
        <v>97.2</v>
      </c>
      <c r="H1584" s="4" t="str">
        <f aca="false">IF(F1584&gt;500,"Yüksek",IF(F1584&gt;100,"Orta","Düşük"))</f>
        <v>Orta</v>
      </c>
    </row>
    <row r="1585" customFormat="false" ht="12.8" hidden="false" customHeight="false" outlineLevel="0" collapsed="false">
      <c r="A1585" s="4" t="s">
        <v>14</v>
      </c>
      <c r="B1585" s="4" t="s">
        <v>15</v>
      </c>
      <c r="C1585" s="4" t="n">
        <v>25</v>
      </c>
      <c r="D1585" s="5" t="n">
        <v>29.75</v>
      </c>
      <c r="E1585" s="6" t="n">
        <f aca="false">DATE(2024,11,15)</f>
        <v>45611</v>
      </c>
      <c r="F1585" s="7" t="n">
        <f aca="false">C1585*D1585</f>
        <v>743.75</v>
      </c>
      <c r="G1585" s="7" t="n">
        <f aca="false">ROUND(F1585*0.2,2)</f>
        <v>148.75</v>
      </c>
      <c r="H1585" s="4" t="str">
        <f aca="false">IF(F1585&gt;500,"Yüksek",IF(F1585&gt;100,"Orta","Düşük"))</f>
        <v>Yüksek</v>
      </c>
    </row>
    <row r="1586" customFormat="false" ht="12.8" hidden="false" customHeight="false" outlineLevel="0" collapsed="false">
      <c r="A1586" s="4" t="s">
        <v>16</v>
      </c>
      <c r="B1586" s="4" t="s">
        <v>17</v>
      </c>
      <c r="C1586" s="4" t="n">
        <v>32</v>
      </c>
      <c r="D1586" s="5" t="n">
        <v>32.5</v>
      </c>
      <c r="E1586" s="6" t="n">
        <f aca="false">DATE(2024,12,16)</f>
        <v>45642</v>
      </c>
      <c r="F1586" s="7" t="n">
        <f aca="false">C1586*D1586</f>
        <v>1040</v>
      </c>
      <c r="G1586" s="7" t="n">
        <f aca="false">ROUND(F1586*0.2,2)</f>
        <v>208</v>
      </c>
      <c r="H1586" s="4" t="str">
        <f aca="false">IF(F1586&gt;500,"Yüksek",IF(F1586&gt;100,"Orta","Düşük"))</f>
        <v>Yüksek</v>
      </c>
    </row>
    <row r="1587" customFormat="false" ht="12.8" hidden="false" customHeight="false" outlineLevel="0" collapsed="false">
      <c r="A1587" s="4" t="s">
        <v>18</v>
      </c>
      <c r="B1587" s="4" t="s">
        <v>19</v>
      </c>
      <c r="C1587" s="4" t="n">
        <v>39</v>
      </c>
      <c r="D1587" s="5" t="n">
        <v>35.25</v>
      </c>
      <c r="E1587" s="6" t="n">
        <f aca="false">DATE(2024,1,17)</f>
        <v>45308</v>
      </c>
      <c r="F1587" s="7" t="n">
        <f aca="false">C1587*D1587</f>
        <v>1374.75</v>
      </c>
      <c r="G1587" s="7" t="n">
        <f aca="false">ROUND(F1587*0.2,2)</f>
        <v>274.95</v>
      </c>
      <c r="H1587" s="4" t="str">
        <f aca="false">IF(F1587&gt;500,"Yüksek",IF(F1587&gt;100,"Orta","Düşük"))</f>
        <v>Yüksek</v>
      </c>
    </row>
    <row r="1588" customFormat="false" ht="12.8" hidden="false" customHeight="false" outlineLevel="0" collapsed="false">
      <c r="A1588" s="4" t="s">
        <v>20</v>
      </c>
      <c r="B1588" s="4" t="s">
        <v>11</v>
      </c>
      <c r="C1588" s="4" t="n">
        <v>46</v>
      </c>
      <c r="D1588" s="5" t="n">
        <v>38</v>
      </c>
      <c r="E1588" s="6" t="n">
        <f aca="false">DATE(2024,2,18)</f>
        <v>45340</v>
      </c>
      <c r="F1588" s="7" t="n">
        <f aca="false">C1588*D1588</f>
        <v>1748</v>
      </c>
      <c r="G1588" s="7" t="n">
        <f aca="false">ROUND(F1588*0.2,2)</f>
        <v>349.6</v>
      </c>
      <c r="H1588" s="4" t="str">
        <f aca="false">IF(F1588&gt;500,"Yüksek",IF(F1588&gt;100,"Orta","Düşük"))</f>
        <v>Yüksek</v>
      </c>
    </row>
    <row r="1589" customFormat="false" ht="12.8" hidden="false" customHeight="false" outlineLevel="0" collapsed="false">
      <c r="A1589" s="4" t="s">
        <v>21</v>
      </c>
      <c r="B1589" s="4" t="s">
        <v>13</v>
      </c>
      <c r="C1589" s="4" t="n">
        <v>3</v>
      </c>
      <c r="D1589" s="5" t="n">
        <v>5</v>
      </c>
      <c r="E1589" s="6" t="n">
        <f aca="false">DATE(2024,3,19)</f>
        <v>45370</v>
      </c>
      <c r="F1589" s="7" t="n">
        <f aca="false">C1589*D1589</f>
        <v>15</v>
      </c>
      <c r="G1589" s="7" t="n">
        <f aca="false">ROUND(F1589*0.2,2)</f>
        <v>3</v>
      </c>
      <c r="H1589" s="4" t="str">
        <f aca="false">IF(F1589&gt;500,"Yüksek",IF(F1589&gt;100,"Orta","Düşük"))</f>
        <v>Düşük</v>
      </c>
    </row>
    <row r="1590" customFormat="false" ht="12.8" hidden="false" customHeight="false" outlineLevel="0" collapsed="false">
      <c r="A1590" s="4" t="s">
        <v>22</v>
      </c>
      <c r="B1590" s="4" t="s">
        <v>15</v>
      </c>
      <c r="C1590" s="4" t="n">
        <v>10</v>
      </c>
      <c r="D1590" s="5" t="n">
        <v>7.75</v>
      </c>
      <c r="E1590" s="6" t="n">
        <f aca="false">DATE(2024,4,20)</f>
        <v>45402</v>
      </c>
      <c r="F1590" s="7" t="n">
        <f aca="false">C1590*D1590</f>
        <v>77.5</v>
      </c>
      <c r="G1590" s="7" t="n">
        <f aca="false">ROUND(F1590*0.2,2)</f>
        <v>15.5</v>
      </c>
      <c r="H1590" s="4" t="str">
        <f aca="false">IF(F1590&gt;500,"Yüksek",IF(F1590&gt;100,"Orta","Düşük"))</f>
        <v>Düşük</v>
      </c>
    </row>
    <row r="1591" customFormat="false" ht="12.8" hidden="false" customHeight="false" outlineLevel="0" collapsed="false">
      <c r="A1591" s="4" t="s">
        <v>23</v>
      </c>
      <c r="B1591" s="4" t="s">
        <v>17</v>
      </c>
      <c r="C1591" s="4" t="n">
        <v>17</v>
      </c>
      <c r="D1591" s="5" t="n">
        <v>10.5</v>
      </c>
      <c r="E1591" s="6" t="n">
        <f aca="false">DATE(2024,5,21)</f>
        <v>45433</v>
      </c>
      <c r="F1591" s="7" t="n">
        <f aca="false">C1591*D1591</f>
        <v>178.5</v>
      </c>
      <c r="G1591" s="7" t="n">
        <f aca="false">ROUND(F1591*0.2,2)</f>
        <v>35.7</v>
      </c>
      <c r="H1591" s="4" t="str">
        <f aca="false">IF(F1591&gt;500,"Yüksek",IF(F1591&gt;100,"Orta","Düşük"))</f>
        <v>Orta</v>
      </c>
    </row>
    <row r="1592" customFormat="false" ht="12.8" hidden="false" customHeight="false" outlineLevel="0" collapsed="false">
      <c r="A1592" s="4" t="s">
        <v>24</v>
      </c>
      <c r="B1592" s="4" t="s">
        <v>19</v>
      </c>
      <c r="C1592" s="4" t="n">
        <v>24</v>
      </c>
      <c r="D1592" s="5" t="n">
        <v>13.25</v>
      </c>
      <c r="E1592" s="6" t="n">
        <f aca="false">DATE(2024,6,22)</f>
        <v>45465</v>
      </c>
      <c r="F1592" s="7" t="n">
        <f aca="false">C1592*D1592</f>
        <v>318</v>
      </c>
      <c r="G1592" s="7" t="n">
        <f aca="false">ROUND(F1592*0.2,2)</f>
        <v>63.6</v>
      </c>
      <c r="H1592" s="4" t="str">
        <f aca="false">IF(F1592&gt;500,"Yüksek",IF(F1592&gt;100,"Orta","Düşük"))</f>
        <v>Orta</v>
      </c>
    </row>
    <row r="1593" customFormat="false" ht="12.8" hidden="false" customHeight="false" outlineLevel="0" collapsed="false">
      <c r="A1593" s="4" t="s">
        <v>10</v>
      </c>
      <c r="B1593" s="4" t="s">
        <v>11</v>
      </c>
      <c r="C1593" s="4" t="n">
        <v>31</v>
      </c>
      <c r="D1593" s="5" t="n">
        <v>16</v>
      </c>
      <c r="E1593" s="6" t="n">
        <f aca="false">DATE(2024,7,23)</f>
        <v>45496</v>
      </c>
      <c r="F1593" s="7" t="n">
        <f aca="false">C1593*D1593</f>
        <v>496</v>
      </c>
      <c r="G1593" s="7" t="n">
        <f aca="false">ROUND(F1593*0.2,2)</f>
        <v>99.2</v>
      </c>
      <c r="H1593" s="4" t="str">
        <f aca="false">IF(F1593&gt;500,"Yüksek",IF(F1593&gt;100,"Orta","Düşük"))</f>
        <v>Orta</v>
      </c>
    </row>
    <row r="1594" customFormat="false" ht="12.8" hidden="false" customHeight="false" outlineLevel="0" collapsed="false">
      <c r="A1594" s="4" t="s">
        <v>12</v>
      </c>
      <c r="B1594" s="4" t="s">
        <v>13</v>
      </c>
      <c r="C1594" s="4" t="n">
        <v>38</v>
      </c>
      <c r="D1594" s="5" t="n">
        <v>18.75</v>
      </c>
      <c r="E1594" s="6" t="n">
        <f aca="false">DATE(2024,8,24)</f>
        <v>45528</v>
      </c>
      <c r="F1594" s="7" t="n">
        <f aca="false">C1594*D1594</f>
        <v>712.5</v>
      </c>
      <c r="G1594" s="7" t="n">
        <f aca="false">ROUND(F1594*0.2,2)</f>
        <v>142.5</v>
      </c>
      <c r="H1594" s="4" t="str">
        <f aca="false">IF(F1594&gt;500,"Yüksek",IF(F1594&gt;100,"Orta","Düşük"))</f>
        <v>Yüksek</v>
      </c>
    </row>
    <row r="1595" customFormat="false" ht="12.8" hidden="false" customHeight="false" outlineLevel="0" collapsed="false">
      <c r="A1595" s="4" t="s">
        <v>14</v>
      </c>
      <c r="B1595" s="4" t="s">
        <v>15</v>
      </c>
      <c r="C1595" s="4" t="n">
        <v>45</v>
      </c>
      <c r="D1595" s="5" t="n">
        <v>21.5</v>
      </c>
      <c r="E1595" s="6" t="n">
        <f aca="false">DATE(2024,9,25)</f>
        <v>45560</v>
      </c>
      <c r="F1595" s="7" t="n">
        <f aca="false">C1595*D1595</f>
        <v>967.5</v>
      </c>
      <c r="G1595" s="7" t="n">
        <f aca="false">ROUND(F1595*0.2,2)</f>
        <v>193.5</v>
      </c>
      <c r="H1595" s="4" t="str">
        <f aca="false">IF(F1595&gt;500,"Yüksek",IF(F1595&gt;100,"Orta","Düşük"))</f>
        <v>Yüksek</v>
      </c>
    </row>
    <row r="1596" customFormat="false" ht="12.8" hidden="false" customHeight="false" outlineLevel="0" collapsed="false">
      <c r="A1596" s="4" t="s">
        <v>16</v>
      </c>
      <c r="B1596" s="4" t="s">
        <v>17</v>
      </c>
      <c r="C1596" s="4" t="n">
        <v>2</v>
      </c>
      <c r="D1596" s="5" t="n">
        <v>24.25</v>
      </c>
      <c r="E1596" s="6" t="n">
        <f aca="false">DATE(2024,10,26)</f>
        <v>45591</v>
      </c>
      <c r="F1596" s="7" t="n">
        <f aca="false">C1596*D1596</f>
        <v>48.5</v>
      </c>
      <c r="G1596" s="7" t="n">
        <f aca="false">ROUND(F1596*0.2,2)</f>
        <v>9.7</v>
      </c>
      <c r="H1596" s="4" t="str">
        <f aca="false">IF(F1596&gt;500,"Yüksek",IF(F1596&gt;100,"Orta","Düşük"))</f>
        <v>Düşük</v>
      </c>
    </row>
    <row r="1597" customFormat="false" ht="12.8" hidden="false" customHeight="false" outlineLevel="0" collapsed="false">
      <c r="A1597" s="4" t="s">
        <v>18</v>
      </c>
      <c r="B1597" s="4" t="s">
        <v>19</v>
      </c>
      <c r="C1597" s="4" t="n">
        <v>9</v>
      </c>
      <c r="D1597" s="5" t="n">
        <v>27</v>
      </c>
      <c r="E1597" s="6" t="n">
        <f aca="false">DATE(2024,11,27)</f>
        <v>45623</v>
      </c>
      <c r="F1597" s="7" t="n">
        <f aca="false">C1597*D1597</f>
        <v>243</v>
      </c>
      <c r="G1597" s="7" t="n">
        <f aca="false">ROUND(F1597*0.2,2)</f>
        <v>48.6</v>
      </c>
      <c r="H1597" s="4" t="str">
        <f aca="false">IF(F1597&gt;500,"Yüksek",IF(F1597&gt;100,"Orta","Düşük"))</f>
        <v>Orta</v>
      </c>
    </row>
    <row r="1598" customFormat="false" ht="12.8" hidden="false" customHeight="false" outlineLevel="0" collapsed="false">
      <c r="A1598" s="4" t="s">
        <v>20</v>
      </c>
      <c r="B1598" s="4" t="s">
        <v>11</v>
      </c>
      <c r="C1598" s="4" t="n">
        <v>16</v>
      </c>
      <c r="D1598" s="5" t="n">
        <v>29.75</v>
      </c>
      <c r="E1598" s="6" t="n">
        <f aca="false">DATE(2024,12,28)</f>
        <v>45654</v>
      </c>
      <c r="F1598" s="7" t="n">
        <f aca="false">C1598*D1598</f>
        <v>476</v>
      </c>
      <c r="G1598" s="7" t="n">
        <f aca="false">ROUND(F1598*0.2,2)</f>
        <v>95.2</v>
      </c>
      <c r="H1598" s="4" t="str">
        <f aca="false">IF(F1598&gt;500,"Yüksek",IF(F1598&gt;100,"Orta","Düşük"))</f>
        <v>Orta</v>
      </c>
    </row>
    <row r="1599" customFormat="false" ht="12.8" hidden="false" customHeight="false" outlineLevel="0" collapsed="false">
      <c r="A1599" s="4" t="s">
        <v>21</v>
      </c>
      <c r="B1599" s="4" t="s">
        <v>13</v>
      </c>
      <c r="C1599" s="4" t="n">
        <v>23</v>
      </c>
      <c r="D1599" s="5" t="n">
        <v>32.5</v>
      </c>
      <c r="E1599" s="6" t="n">
        <f aca="false">DATE(2024,1,1)</f>
        <v>45292</v>
      </c>
      <c r="F1599" s="7" t="n">
        <f aca="false">C1599*D1599</f>
        <v>747.5</v>
      </c>
      <c r="G1599" s="7" t="n">
        <f aca="false">ROUND(F1599*0.2,2)</f>
        <v>149.5</v>
      </c>
      <c r="H1599" s="4" t="str">
        <f aca="false">IF(F1599&gt;500,"Yüksek",IF(F1599&gt;100,"Orta","Düşük"))</f>
        <v>Yüksek</v>
      </c>
    </row>
    <row r="1600" customFormat="false" ht="12.8" hidden="false" customHeight="false" outlineLevel="0" collapsed="false">
      <c r="A1600" s="4" t="s">
        <v>22</v>
      </c>
      <c r="B1600" s="4" t="s">
        <v>15</v>
      </c>
      <c r="C1600" s="4" t="n">
        <v>30</v>
      </c>
      <c r="D1600" s="5" t="n">
        <v>35.25</v>
      </c>
      <c r="E1600" s="6" t="n">
        <f aca="false">DATE(2024,2,2)</f>
        <v>45324</v>
      </c>
      <c r="F1600" s="7" t="n">
        <f aca="false">C1600*D1600</f>
        <v>1057.5</v>
      </c>
      <c r="G1600" s="7" t="n">
        <f aca="false">ROUND(F1600*0.2,2)</f>
        <v>211.5</v>
      </c>
      <c r="H1600" s="4" t="str">
        <f aca="false">IF(F1600&gt;500,"Yüksek",IF(F1600&gt;100,"Orta","Düşük"))</f>
        <v>Yüksek</v>
      </c>
    </row>
    <row r="1601" customFormat="false" ht="12.8" hidden="false" customHeight="false" outlineLevel="0" collapsed="false">
      <c r="A1601" s="4" t="s">
        <v>23</v>
      </c>
      <c r="B1601" s="4" t="s">
        <v>17</v>
      </c>
      <c r="C1601" s="4" t="n">
        <v>37</v>
      </c>
      <c r="D1601" s="5" t="n">
        <v>38</v>
      </c>
      <c r="E1601" s="6" t="n">
        <f aca="false">DATE(2024,3,3)</f>
        <v>45354</v>
      </c>
      <c r="F1601" s="7" t="n">
        <f aca="false">C1601*D1601</f>
        <v>1406</v>
      </c>
      <c r="G1601" s="7" t="n">
        <f aca="false">ROUND(F1601*0.2,2)</f>
        <v>281.2</v>
      </c>
      <c r="H1601" s="4" t="str">
        <f aca="false">IF(F1601&gt;500,"Yüksek",IF(F1601&gt;100,"Orta","Düşük"))</f>
        <v>Yüksek</v>
      </c>
    </row>
    <row r="1602" customFormat="false" ht="12.8" hidden="false" customHeight="false" outlineLevel="0" collapsed="false">
      <c r="A1602" s="4" t="s">
        <v>24</v>
      </c>
      <c r="B1602" s="4" t="s">
        <v>19</v>
      </c>
      <c r="C1602" s="4" t="n">
        <v>44</v>
      </c>
      <c r="D1602" s="5" t="n">
        <v>5</v>
      </c>
      <c r="E1602" s="6" t="n">
        <f aca="false">DATE(2024,4,4)</f>
        <v>45386</v>
      </c>
      <c r="F1602" s="7" t="n">
        <f aca="false">C1602*D1602</f>
        <v>220</v>
      </c>
      <c r="G1602" s="7" t="n">
        <f aca="false">ROUND(F1602*0.2,2)</f>
        <v>44</v>
      </c>
      <c r="H1602" s="4" t="str">
        <f aca="false">IF(F1602&gt;500,"Yüksek",IF(F1602&gt;100,"Orta","Düşük"))</f>
        <v>Orta</v>
      </c>
    </row>
    <row r="1603" customFormat="false" ht="12.8" hidden="false" customHeight="false" outlineLevel="0" collapsed="false">
      <c r="A1603" s="4" t="s">
        <v>10</v>
      </c>
      <c r="B1603" s="4" t="s">
        <v>11</v>
      </c>
      <c r="C1603" s="4" t="n">
        <v>1</v>
      </c>
      <c r="D1603" s="5" t="n">
        <v>7.75</v>
      </c>
      <c r="E1603" s="6" t="n">
        <f aca="false">DATE(2024,5,5)</f>
        <v>45417</v>
      </c>
      <c r="F1603" s="7" t="n">
        <f aca="false">C1603*D1603</f>
        <v>7.75</v>
      </c>
      <c r="G1603" s="7" t="n">
        <f aca="false">ROUND(F1603*0.2,2)</f>
        <v>1.55</v>
      </c>
      <c r="H1603" s="4" t="str">
        <f aca="false">IF(F1603&gt;500,"Yüksek",IF(F1603&gt;100,"Orta","Düşük"))</f>
        <v>Düşük</v>
      </c>
    </row>
    <row r="1604" customFormat="false" ht="12.8" hidden="false" customHeight="false" outlineLevel="0" collapsed="false">
      <c r="A1604" s="4" t="s">
        <v>12</v>
      </c>
      <c r="B1604" s="4" t="s">
        <v>13</v>
      </c>
      <c r="C1604" s="4" t="n">
        <v>8</v>
      </c>
      <c r="D1604" s="5" t="n">
        <v>10.5</v>
      </c>
      <c r="E1604" s="6" t="n">
        <f aca="false">DATE(2024,6,6)</f>
        <v>45449</v>
      </c>
      <c r="F1604" s="7" t="n">
        <f aca="false">C1604*D1604</f>
        <v>84</v>
      </c>
      <c r="G1604" s="7" t="n">
        <f aca="false">ROUND(F1604*0.2,2)</f>
        <v>16.8</v>
      </c>
      <c r="H1604" s="4" t="str">
        <f aca="false">IF(F1604&gt;500,"Yüksek",IF(F1604&gt;100,"Orta","Düşük"))</f>
        <v>Düşük</v>
      </c>
    </row>
    <row r="1605" customFormat="false" ht="12.8" hidden="false" customHeight="false" outlineLevel="0" collapsed="false">
      <c r="A1605" s="4" t="s">
        <v>14</v>
      </c>
      <c r="B1605" s="4" t="s">
        <v>15</v>
      </c>
      <c r="C1605" s="4" t="n">
        <v>15</v>
      </c>
      <c r="D1605" s="5" t="n">
        <v>13.25</v>
      </c>
      <c r="E1605" s="6" t="n">
        <f aca="false">DATE(2024,7,7)</f>
        <v>45480</v>
      </c>
      <c r="F1605" s="7" t="n">
        <f aca="false">C1605*D1605</f>
        <v>198.75</v>
      </c>
      <c r="G1605" s="7" t="n">
        <f aca="false">ROUND(F1605*0.2,2)</f>
        <v>39.75</v>
      </c>
      <c r="H1605" s="4" t="str">
        <f aca="false">IF(F1605&gt;500,"Yüksek",IF(F1605&gt;100,"Orta","Düşük"))</f>
        <v>Orta</v>
      </c>
    </row>
    <row r="1606" customFormat="false" ht="12.8" hidden="false" customHeight="false" outlineLevel="0" collapsed="false">
      <c r="A1606" s="4" t="s">
        <v>16</v>
      </c>
      <c r="B1606" s="4" t="s">
        <v>17</v>
      </c>
      <c r="C1606" s="4" t="n">
        <v>22</v>
      </c>
      <c r="D1606" s="5" t="n">
        <v>16</v>
      </c>
      <c r="E1606" s="6" t="n">
        <f aca="false">DATE(2024,8,8)</f>
        <v>45512</v>
      </c>
      <c r="F1606" s="7" t="n">
        <f aca="false">C1606*D1606</f>
        <v>352</v>
      </c>
      <c r="G1606" s="7" t="n">
        <f aca="false">ROUND(F1606*0.2,2)</f>
        <v>70.4</v>
      </c>
      <c r="H1606" s="4" t="str">
        <f aca="false">IF(F1606&gt;500,"Yüksek",IF(F1606&gt;100,"Orta","Düşük"))</f>
        <v>Orta</v>
      </c>
    </row>
    <row r="1607" customFormat="false" ht="12.8" hidden="false" customHeight="false" outlineLevel="0" collapsed="false">
      <c r="A1607" s="4" t="s">
        <v>18</v>
      </c>
      <c r="B1607" s="4" t="s">
        <v>19</v>
      </c>
      <c r="C1607" s="4" t="n">
        <v>29</v>
      </c>
      <c r="D1607" s="5" t="n">
        <v>18.75</v>
      </c>
      <c r="E1607" s="6" t="n">
        <f aca="false">DATE(2024,9,9)</f>
        <v>45544</v>
      </c>
      <c r="F1607" s="7" t="n">
        <f aca="false">C1607*D1607</f>
        <v>543.75</v>
      </c>
      <c r="G1607" s="7" t="n">
        <f aca="false">ROUND(F1607*0.2,2)</f>
        <v>108.75</v>
      </c>
      <c r="H1607" s="4" t="str">
        <f aca="false">IF(F1607&gt;500,"Yüksek",IF(F1607&gt;100,"Orta","Düşük"))</f>
        <v>Yüksek</v>
      </c>
    </row>
    <row r="1608" customFormat="false" ht="12.8" hidden="false" customHeight="false" outlineLevel="0" collapsed="false">
      <c r="A1608" s="4" t="s">
        <v>20</v>
      </c>
      <c r="B1608" s="4" t="s">
        <v>11</v>
      </c>
      <c r="C1608" s="4" t="n">
        <v>36</v>
      </c>
      <c r="D1608" s="5" t="n">
        <v>21.5</v>
      </c>
      <c r="E1608" s="6" t="n">
        <f aca="false">DATE(2024,10,10)</f>
        <v>45575</v>
      </c>
      <c r="F1608" s="7" t="n">
        <f aca="false">C1608*D1608</f>
        <v>774</v>
      </c>
      <c r="G1608" s="7" t="n">
        <f aca="false">ROUND(F1608*0.2,2)</f>
        <v>154.8</v>
      </c>
      <c r="H1608" s="4" t="str">
        <f aca="false">IF(F1608&gt;500,"Yüksek",IF(F1608&gt;100,"Orta","Düşük"))</f>
        <v>Yüksek</v>
      </c>
    </row>
    <row r="1609" customFormat="false" ht="12.8" hidden="false" customHeight="false" outlineLevel="0" collapsed="false">
      <c r="A1609" s="4" t="s">
        <v>21</v>
      </c>
      <c r="B1609" s="4" t="s">
        <v>13</v>
      </c>
      <c r="C1609" s="4" t="n">
        <v>43</v>
      </c>
      <c r="D1609" s="5" t="n">
        <v>24.25</v>
      </c>
      <c r="E1609" s="6" t="n">
        <f aca="false">DATE(2024,11,11)</f>
        <v>45607</v>
      </c>
      <c r="F1609" s="7" t="n">
        <f aca="false">C1609*D1609</f>
        <v>1042.75</v>
      </c>
      <c r="G1609" s="7" t="n">
        <f aca="false">ROUND(F1609*0.2,2)</f>
        <v>208.55</v>
      </c>
      <c r="H1609" s="4" t="str">
        <f aca="false">IF(F1609&gt;500,"Yüksek",IF(F1609&gt;100,"Orta","Düşük"))</f>
        <v>Yüksek</v>
      </c>
    </row>
    <row r="1610" customFormat="false" ht="12.8" hidden="false" customHeight="false" outlineLevel="0" collapsed="false">
      <c r="A1610" s="4" t="s">
        <v>22</v>
      </c>
      <c r="B1610" s="4" t="s">
        <v>15</v>
      </c>
      <c r="C1610" s="4" t="n">
        <v>50</v>
      </c>
      <c r="D1610" s="5" t="n">
        <v>27</v>
      </c>
      <c r="E1610" s="6" t="n">
        <f aca="false">DATE(2024,12,12)</f>
        <v>45638</v>
      </c>
      <c r="F1610" s="7" t="n">
        <f aca="false">C1610*D1610</f>
        <v>1350</v>
      </c>
      <c r="G1610" s="7" t="n">
        <f aca="false">ROUND(F1610*0.2,2)</f>
        <v>270</v>
      </c>
      <c r="H1610" s="4" t="str">
        <f aca="false">IF(F1610&gt;500,"Yüksek",IF(F1610&gt;100,"Orta","Düşük"))</f>
        <v>Yüksek</v>
      </c>
    </row>
    <row r="1611" customFormat="false" ht="12.8" hidden="false" customHeight="false" outlineLevel="0" collapsed="false">
      <c r="A1611" s="4" t="s">
        <v>23</v>
      </c>
      <c r="B1611" s="4" t="s">
        <v>17</v>
      </c>
      <c r="C1611" s="4" t="n">
        <v>7</v>
      </c>
      <c r="D1611" s="5" t="n">
        <v>29.75</v>
      </c>
      <c r="E1611" s="6" t="n">
        <f aca="false">DATE(2024,1,13)</f>
        <v>45304</v>
      </c>
      <c r="F1611" s="7" t="n">
        <f aca="false">C1611*D1611</f>
        <v>208.25</v>
      </c>
      <c r="G1611" s="7" t="n">
        <f aca="false">ROUND(F1611*0.2,2)</f>
        <v>41.65</v>
      </c>
      <c r="H1611" s="4" t="str">
        <f aca="false">IF(F1611&gt;500,"Yüksek",IF(F1611&gt;100,"Orta","Düşük"))</f>
        <v>Orta</v>
      </c>
    </row>
    <row r="1612" customFormat="false" ht="12.8" hidden="false" customHeight="false" outlineLevel="0" collapsed="false">
      <c r="A1612" s="4" t="s">
        <v>24</v>
      </c>
      <c r="B1612" s="4" t="s">
        <v>19</v>
      </c>
      <c r="C1612" s="4" t="n">
        <v>14</v>
      </c>
      <c r="D1612" s="5" t="n">
        <v>32.5</v>
      </c>
      <c r="E1612" s="6" t="n">
        <f aca="false">DATE(2024,2,14)</f>
        <v>45336</v>
      </c>
      <c r="F1612" s="7" t="n">
        <f aca="false">C1612*D1612</f>
        <v>455</v>
      </c>
      <c r="G1612" s="7" t="n">
        <f aca="false">ROUND(F1612*0.2,2)</f>
        <v>91</v>
      </c>
      <c r="H1612" s="4" t="str">
        <f aca="false">IF(F1612&gt;500,"Yüksek",IF(F1612&gt;100,"Orta","Düşük"))</f>
        <v>Orta</v>
      </c>
    </row>
    <row r="1613" customFormat="false" ht="12.8" hidden="false" customHeight="false" outlineLevel="0" collapsed="false">
      <c r="A1613" s="4" t="s">
        <v>10</v>
      </c>
      <c r="B1613" s="4" t="s">
        <v>11</v>
      </c>
      <c r="C1613" s="4" t="n">
        <v>21</v>
      </c>
      <c r="D1613" s="5" t="n">
        <v>35.25</v>
      </c>
      <c r="E1613" s="6" t="n">
        <f aca="false">DATE(2024,3,15)</f>
        <v>45366</v>
      </c>
      <c r="F1613" s="7" t="n">
        <f aca="false">C1613*D1613</f>
        <v>740.25</v>
      </c>
      <c r="G1613" s="7" t="n">
        <f aca="false">ROUND(F1613*0.2,2)</f>
        <v>148.05</v>
      </c>
      <c r="H1613" s="4" t="str">
        <f aca="false">IF(F1613&gt;500,"Yüksek",IF(F1613&gt;100,"Orta","Düşük"))</f>
        <v>Yüksek</v>
      </c>
    </row>
    <row r="1614" customFormat="false" ht="12.8" hidden="false" customHeight="false" outlineLevel="0" collapsed="false">
      <c r="A1614" s="4" t="s">
        <v>12</v>
      </c>
      <c r="B1614" s="4" t="s">
        <v>13</v>
      </c>
      <c r="C1614" s="4" t="n">
        <v>28</v>
      </c>
      <c r="D1614" s="5" t="n">
        <v>38</v>
      </c>
      <c r="E1614" s="6" t="n">
        <f aca="false">DATE(2024,4,16)</f>
        <v>45398</v>
      </c>
      <c r="F1614" s="7" t="n">
        <f aca="false">C1614*D1614</f>
        <v>1064</v>
      </c>
      <c r="G1614" s="7" t="n">
        <f aca="false">ROUND(F1614*0.2,2)</f>
        <v>212.8</v>
      </c>
      <c r="H1614" s="4" t="str">
        <f aca="false">IF(F1614&gt;500,"Yüksek",IF(F1614&gt;100,"Orta","Düşük"))</f>
        <v>Yüksek</v>
      </c>
    </row>
    <row r="1615" customFormat="false" ht="12.8" hidden="false" customHeight="false" outlineLevel="0" collapsed="false">
      <c r="A1615" s="4" t="s">
        <v>14</v>
      </c>
      <c r="B1615" s="4" t="s">
        <v>15</v>
      </c>
      <c r="C1615" s="4" t="n">
        <v>35</v>
      </c>
      <c r="D1615" s="5" t="n">
        <v>5</v>
      </c>
      <c r="E1615" s="6" t="n">
        <f aca="false">DATE(2024,5,17)</f>
        <v>45429</v>
      </c>
      <c r="F1615" s="7" t="n">
        <f aca="false">C1615*D1615</f>
        <v>175</v>
      </c>
      <c r="G1615" s="7" t="n">
        <f aca="false">ROUND(F1615*0.2,2)</f>
        <v>35</v>
      </c>
      <c r="H1615" s="4" t="str">
        <f aca="false">IF(F1615&gt;500,"Yüksek",IF(F1615&gt;100,"Orta","Düşük"))</f>
        <v>Orta</v>
      </c>
    </row>
    <row r="1616" customFormat="false" ht="12.8" hidden="false" customHeight="false" outlineLevel="0" collapsed="false">
      <c r="A1616" s="4" t="s">
        <v>16</v>
      </c>
      <c r="B1616" s="4" t="s">
        <v>17</v>
      </c>
      <c r="C1616" s="4" t="n">
        <v>42</v>
      </c>
      <c r="D1616" s="5" t="n">
        <v>7.75</v>
      </c>
      <c r="E1616" s="6" t="n">
        <f aca="false">DATE(2024,6,18)</f>
        <v>45461</v>
      </c>
      <c r="F1616" s="7" t="n">
        <f aca="false">C1616*D1616</f>
        <v>325.5</v>
      </c>
      <c r="G1616" s="7" t="n">
        <f aca="false">ROUND(F1616*0.2,2)</f>
        <v>65.1</v>
      </c>
      <c r="H1616" s="4" t="str">
        <f aca="false">IF(F1616&gt;500,"Yüksek",IF(F1616&gt;100,"Orta","Düşük"))</f>
        <v>Orta</v>
      </c>
    </row>
    <row r="1617" customFormat="false" ht="12.8" hidden="false" customHeight="false" outlineLevel="0" collapsed="false">
      <c r="A1617" s="4" t="s">
        <v>18</v>
      </c>
      <c r="B1617" s="4" t="s">
        <v>19</v>
      </c>
      <c r="C1617" s="4" t="n">
        <v>49</v>
      </c>
      <c r="D1617" s="5" t="n">
        <v>10.5</v>
      </c>
      <c r="E1617" s="6" t="n">
        <f aca="false">DATE(2024,7,19)</f>
        <v>45492</v>
      </c>
      <c r="F1617" s="7" t="n">
        <f aca="false">C1617*D1617</f>
        <v>514.5</v>
      </c>
      <c r="G1617" s="7" t="n">
        <f aca="false">ROUND(F1617*0.2,2)</f>
        <v>102.9</v>
      </c>
      <c r="H1617" s="4" t="str">
        <f aca="false">IF(F1617&gt;500,"Yüksek",IF(F1617&gt;100,"Orta","Düşük"))</f>
        <v>Yüksek</v>
      </c>
    </row>
    <row r="1618" customFormat="false" ht="12.8" hidden="false" customHeight="false" outlineLevel="0" collapsed="false">
      <c r="A1618" s="4" t="s">
        <v>20</v>
      </c>
      <c r="B1618" s="4" t="s">
        <v>11</v>
      </c>
      <c r="C1618" s="4" t="n">
        <v>6</v>
      </c>
      <c r="D1618" s="5" t="n">
        <v>13.25</v>
      </c>
      <c r="E1618" s="6" t="n">
        <f aca="false">DATE(2024,8,20)</f>
        <v>45524</v>
      </c>
      <c r="F1618" s="7" t="n">
        <f aca="false">C1618*D1618</f>
        <v>79.5</v>
      </c>
      <c r="G1618" s="7" t="n">
        <f aca="false">ROUND(F1618*0.2,2)</f>
        <v>15.9</v>
      </c>
      <c r="H1618" s="4" t="str">
        <f aca="false">IF(F1618&gt;500,"Yüksek",IF(F1618&gt;100,"Orta","Düşük"))</f>
        <v>Düşük</v>
      </c>
    </row>
    <row r="1619" customFormat="false" ht="12.8" hidden="false" customHeight="false" outlineLevel="0" collapsed="false">
      <c r="A1619" s="4" t="s">
        <v>21</v>
      </c>
      <c r="B1619" s="4" t="s">
        <v>13</v>
      </c>
      <c r="C1619" s="4" t="n">
        <v>13</v>
      </c>
      <c r="D1619" s="5" t="n">
        <v>16</v>
      </c>
      <c r="E1619" s="6" t="n">
        <f aca="false">DATE(2024,9,21)</f>
        <v>45556</v>
      </c>
      <c r="F1619" s="7" t="n">
        <f aca="false">C1619*D1619</f>
        <v>208</v>
      </c>
      <c r="G1619" s="7" t="n">
        <f aca="false">ROUND(F1619*0.2,2)</f>
        <v>41.6</v>
      </c>
      <c r="H1619" s="4" t="str">
        <f aca="false">IF(F1619&gt;500,"Yüksek",IF(F1619&gt;100,"Orta","Düşük"))</f>
        <v>Orta</v>
      </c>
    </row>
    <row r="1620" customFormat="false" ht="12.8" hidden="false" customHeight="false" outlineLevel="0" collapsed="false">
      <c r="A1620" s="4" t="s">
        <v>22</v>
      </c>
      <c r="B1620" s="4" t="s">
        <v>15</v>
      </c>
      <c r="C1620" s="4" t="n">
        <v>20</v>
      </c>
      <c r="D1620" s="5" t="n">
        <v>18.75</v>
      </c>
      <c r="E1620" s="6" t="n">
        <f aca="false">DATE(2024,10,22)</f>
        <v>45587</v>
      </c>
      <c r="F1620" s="7" t="n">
        <f aca="false">C1620*D1620</f>
        <v>375</v>
      </c>
      <c r="G1620" s="7" t="n">
        <f aca="false">ROUND(F1620*0.2,2)</f>
        <v>75</v>
      </c>
      <c r="H1620" s="4" t="str">
        <f aca="false">IF(F1620&gt;500,"Yüksek",IF(F1620&gt;100,"Orta","Düşük"))</f>
        <v>Orta</v>
      </c>
    </row>
    <row r="1621" customFormat="false" ht="12.8" hidden="false" customHeight="false" outlineLevel="0" collapsed="false">
      <c r="A1621" s="4" t="s">
        <v>23</v>
      </c>
      <c r="B1621" s="4" t="s">
        <v>17</v>
      </c>
      <c r="C1621" s="4" t="n">
        <v>27</v>
      </c>
      <c r="D1621" s="5" t="n">
        <v>21.5</v>
      </c>
      <c r="E1621" s="6" t="n">
        <f aca="false">DATE(2024,11,23)</f>
        <v>45619</v>
      </c>
      <c r="F1621" s="7" t="n">
        <f aca="false">C1621*D1621</f>
        <v>580.5</v>
      </c>
      <c r="G1621" s="7" t="n">
        <f aca="false">ROUND(F1621*0.2,2)</f>
        <v>116.1</v>
      </c>
      <c r="H1621" s="4" t="str">
        <f aca="false">IF(F1621&gt;500,"Yüksek",IF(F1621&gt;100,"Orta","Düşük"))</f>
        <v>Yüksek</v>
      </c>
    </row>
    <row r="1622" customFormat="false" ht="12.8" hidden="false" customHeight="false" outlineLevel="0" collapsed="false">
      <c r="A1622" s="4" t="s">
        <v>24</v>
      </c>
      <c r="B1622" s="4" t="s">
        <v>19</v>
      </c>
      <c r="C1622" s="4" t="n">
        <v>34</v>
      </c>
      <c r="D1622" s="5" t="n">
        <v>24.25</v>
      </c>
      <c r="E1622" s="6" t="n">
        <f aca="false">DATE(2024,12,24)</f>
        <v>45650</v>
      </c>
      <c r="F1622" s="7" t="n">
        <f aca="false">C1622*D1622</f>
        <v>824.5</v>
      </c>
      <c r="G1622" s="7" t="n">
        <f aca="false">ROUND(F1622*0.2,2)</f>
        <v>164.9</v>
      </c>
      <c r="H1622" s="4" t="str">
        <f aca="false">IF(F1622&gt;500,"Yüksek",IF(F1622&gt;100,"Orta","Düşük"))</f>
        <v>Yüksek</v>
      </c>
    </row>
    <row r="1623" customFormat="false" ht="12.8" hidden="false" customHeight="false" outlineLevel="0" collapsed="false">
      <c r="A1623" s="4" t="s">
        <v>10</v>
      </c>
      <c r="B1623" s="4" t="s">
        <v>11</v>
      </c>
      <c r="C1623" s="4" t="n">
        <v>41</v>
      </c>
      <c r="D1623" s="5" t="n">
        <v>27</v>
      </c>
      <c r="E1623" s="6" t="n">
        <f aca="false">DATE(2024,1,25)</f>
        <v>45316</v>
      </c>
      <c r="F1623" s="7" t="n">
        <f aca="false">C1623*D1623</f>
        <v>1107</v>
      </c>
      <c r="G1623" s="7" t="n">
        <f aca="false">ROUND(F1623*0.2,2)</f>
        <v>221.4</v>
      </c>
      <c r="H1623" s="4" t="str">
        <f aca="false">IF(F1623&gt;500,"Yüksek",IF(F1623&gt;100,"Orta","Düşük"))</f>
        <v>Yüksek</v>
      </c>
    </row>
    <row r="1624" customFormat="false" ht="12.8" hidden="false" customHeight="false" outlineLevel="0" collapsed="false">
      <c r="A1624" s="4" t="s">
        <v>12</v>
      </c>
      <c r="B1624" s="4" t="s">
        <v>13</v>
      </c>
      <c r="C1624" s="4" t="n">
        <v>48</v>
      </c>
      <c r="D1624" s="5" t="n">
        <v>29.75</v>
      </c>
      <c r="E1624" s="6" t="n">
        <f aca="false">DATE(2024,2,26)</f>
        <v>45348</v>
      </c>
      <c r="F1624" s="7" t="n">
        <f aca="false">C1624*D1624</f>
        <v>1428</v>
      </c>
      <c r="G1624" s="7" t="n">
        <f aca="false">ROUND(F1624*0.2,2)</f>
        <v>285.6</v>
      </c>
      <c r="H1624" s="4" t="str">
        <f aca="false">IF(F1624&gt;500,"Yüksek",IF(F1624&gt;100,"Orta","Düşük"))</f>
        <v>Yüksek</v>
      </c>
    </row>
    <row r="1625" customFormat="false" ht="12.8" hidden="false" customHeight="false" outlineLevel="0" collapsed="false">
      <c r="A1625" s="4" t="s">
        <v>14</v>
      </c>
      <c r="B1625" s="4" t="s">
        <v>15</v>
      </c>
      <c r="C1625" s="4" t="n">
        <v>5</v>
      </c>
      <c r="D1625" s="5" t="n">
        <v>32.5</v>
      </c>
      <c r="E1625" s="6" t="n">
        <f aca="false">DATE(2024,3,27)</f>
        <v>45378</v>
      </c>
      <c r="F1625" s="7" t="n">
        <f aca="false">C1625*D1625</f>
        <v>162.5</v>
      </c>
      <c r="G1625" s="7" t="n">
        <f aca="false">ROUND(F1625*0.2,2)</f>
        <v>32.5</v>
      </c>
      <c r="H1625" s="4" t="str">
        <f aca="false">IF(F1625&gt;500,"Yüksek",IF(F1625&gt;100,"Orta","Düşük"))</f>
        <v>Orta</v>
      </c>
    </row>
    <row r="1626" customFormat="false" ht="12.8" hidden="false" customHeight="false" outlineLevel="0" collapsed="false">
      <c r="A1626" s="4" t="s">
        <v>16</v>
      </c>
      <c r="B1626" s="4" t="s">
        <v>17</v>
      </c>
      <c r="C1626" s="4" t="n">
        <v>12</v>
      </c>
      <c r="D1626" s="5" t="n">
        <v>35.25</v>
      </c>
      <c r="E1626" s="6" t="n">
        <f aca="false">DATE(2024,4,28)</f>
        <v>45410</v>
      </c>
      <c r="F1626" s="7" t="n">
        <f aca="false">C1626*D1626</f>
        <v>423</v>
      </c>
      <c r="G1626" s="7" t="n">
        <f aca="false">ROUND(F1626*0.2,2)</f>
        <v>84.6</v>
      </c>
      <c r="H1626" s="4" t="str">
        <f aca="false">IF(F1626&gt;500,"Yüksek",IF(F1626&gt;100,"Orta","Düşük"))</f>
        <v>Orta</v>
      </c>
    </row>
    <row r="1627" customFormat="false" ht="12.8" hidden="false" customHeight="false" outlineLevel="0" collapsed="false">
      <c r="A1627" s="4" t="s">
        <v>18</v>
      </c>
      <c r="B1627" s="4" t="s">
        <v>19</v>
      </c>
      <c r="C1627" s="4" t="n">
        <v>19</v>
      </c>
      <c r="D1627" s="5" t="n">
        <v>38</v>
      </c>
      <c r="E1627" s="6" t="n">
        <f aca="false">DATE(2024,5,1)</f>
        <v>45413</v>
      </c>
      <c r="F1627" s="7" t="n">
        <f aca="false">C1627*D1627</f>
        <v>722</v>
      </c>
      <c r="G1627" s="7" t="n">
        <f aca="false">ROUND(F1627*0.2,2)</f>
        <v>144.4</v>
      </c>
      <c r="H1627" s="4" t="str">
        <f aca="false">IF(F1627&gt;500,"Yüksek",IF(F1627&gt;100,"Orta","Düşük"))</f>
        <v>Yüksek</v>
      </c>
    </row>
    <row r="1628" customFormat="false" ht="12.8" hidden="false" customHeight="false" outlineLevel="0" collapsed="false">
      <c r="A1628" s="4" t="s">
        <v>20</v>
      </c>
      <c r="B1628" s="4" t="s">
        <v>11</v>
      </c>
      <c r="C1628" s="4" t="n">
        <v>26</v>
      </c>
      <c r="D1628" s="5" t="n">
        <v>5</v>
      </c>
      <c r="E1628" s="6" t="n">
        <f aca="false">DATE(2024,6,2)</f>
        <v>45445</v>
      </c>
      <c r="F1628" s="7" t="n">
        <f aca="false">C1628*D1628</f>
        <v>130</v>
      </c>
      <c r="G1628" s="7" t="n">
        <f aca="false">ROUND(F1628*0.2,2)</f>
        <v>26</v>
      </c>
      <c r="H1628" s="4" t="str">
        <f aca="false">IF(F1628&gt;500,"Yüksek",IF(F1628&gt;100,"Orta","Düşük"))</f>
        <v>Orta</v>
      </c>
    </row>
    <row r="1629" customFormat="false" ht="12.8" hidden="false" customHeight="false" outlineLevel="0" collapsed="false">
      <c r="A1629" s="4" t="s">
        <v>21</v>
      </c>
      <c r="B1629" s="4" t="s">
        <v>13</v>
      </c>
      <c r="C1629" s="4" t="n">
        <v>33</v>
      </c>
      <c r="D1629" s="5" t="n">
        <v>7.75</v>
      </c>
      <c r="E1629" s="6" t="n">
        <f aca="false">DATE(2024,7,3)</f>
        <v>45476</v>
      </c>
      <c r="F1629" s="7" t="n">
        <f aca="false">C1629*D1629</f>
        <v>255.75</v>
      </c>
      <c r="G1629" s="7" t="n">
        <f aca="false">ROUND(F1629*0.2,2)</f>
        <v>51.15</v>
      </c>
      <c r="H1629" s="4" t="str">
        <f aca="false">IF(F1629&gt;500,"Yüksek",IF(F1629&gt;100,"Orta","Düşük"))</f>
        <v>Orta</v>
      </c>
    </row>
    <row r="1630" customFormat="false" ht="12.8" hidden="false" customHeight="false" outlineLevel="0" collapsed="false">
      <c r="A1630" s="4" t="s">
        <v>22</v>
      </c>
      <c r="B1630" s="4" t="s">
        <v>15</v>
      </c>
      <c r="C1630" s="4" t="n">
        <v>40</v>
      </c>
      <c r="D1630" s="5" t="n">
        <v>10.5</v>
      </c>
      <c r="E1630" s="6" t="n">
        <f aca="false">DATE(2024,8,4)</f>
        <v>45508</v>
      </c>
      <c r="F1630" s="7" t="n">
        <f aca="false">C1630*D1630</f>
        <v>420</v>
      </c>
      <c r="G1630" s="7" t="n">
        <f aca="false">ROUND(F1630*0.2,2)</f>
        <v>84</v>
      </c>
      <c r="H1630" s="4" t="str">
        <f aca="false">IF(F1630&gt;500,"Yüksek",IF(F1630&gt;100,"Orta","Düşük"))</f>
        <v>Orta</v>
      </c>
    </row>
    <row r="1631" customFormat="false" ht="12.8" hidden="false" customHeight="false" outlineLevel="0" collapsed="false">
      <c r="A1631" s="4" t="s">
        <v>23</v>
      </c>
      <c r="B1631" s="4" t="s">
        <v>17</v>
      </c>
      <c r="C1631" s="4" t="n">
        <v>47</v>
      </c>
      <c r="D1631" s="5" t="n">
        <v>13.25</v>
      </c>
      <c r="E1631" s="6" t="n">
        <f aca="false">DATE(2024,9,5)</f>
        <v>45540</v>
      </c>
      <c r="F1631" s="7" t="n">
        <f aca="false">C1631*D1631</f>
        <v>622.75</v>
      </c>
      <c r="G1631" s="7" t="n">
        <f aca="false">ROUND(F1631*0.2,2)</f>
        <v>124.55</v>
      </c>
      <c r="H1631" s="4" t="str">
        <f aca="false">IF(F1631&gt;500,"Yüksek",IF(F1631&gt;100,"Orta","Düşük"))</f>
        <v>Yüksek</v>
      </c>
    </row>
    <row r="1632" customFormat="false" ht="12.8" hidden="false" customHeight="false" outlineLevel="0" collapsed="false">
      <c r="A1632" s="4" t="s">
        <v>24</v>
      </c>
      <c r="B1632" s="4" t="s">
        <v>19</v>
      </c>
      <c r="C1632" s="4" t="n">
        <v>4</v>
      </c>
      <c r="D1632" s="5" t="n">
        <v>16</v>
      </c>
      <c r="E1632" s="6" t="n">
        <f aca="false">DATE(2024,10,6)</f>
        <v>45571</v>
      </c>
      <c r="F1632" s="7" t="n">
        <f aca="false">C1632*D1632</f>
        <v>64</v>
      </c>
      <c r="G1632" s="7" t="n">
        <f aca="false">ROUND(F1632*0.2,2)</f>
        <v>12.8</v>
      </c>
      <c r="H1632" s="4" t="str">
        <f aca="false">IF(F1632&gt;500,"Yüksek",IF(F1632&gt;100,"Orta","Düşük"))</f>
        <v>Düşük</v>
      </c>
    </row>
    <row r="1633" customFormat="false" ht="12.8" hidden="false" customHeight="false" outlineLevel="0" collapsed="false">
      <c r="A1633" s="4" t="s">
        <v>10</v>
      </c>
      <c r="B1633" s="4" t="s">
        <v>11</v>
      </c>
      <c r="C1633" s="4" t="n">
        <v>11</v>
      </c>
      <c r="D1633" s="5" t="n">
        <v>18.75</v>
      </c>
      <c r="E1633" s="6" t="n">
        <f aca="false">DATE(2024,11,7)</f>
        <v>45603</v>
      </c>
      <c r="F1633" s="7" t="n">
        <f aca="false">C1633*D1633</f>
        <v>206.25</v>
      </c>
      <c r="G1633" s="7" t="n">
        <f aca="false">ROUND(F1633*0.2,2)</f>
        <v>41.25</v>
      </c>
      <c r="H1633" s="4" t="str">
        <f aca="false">IF(F1633&gt;500,"Yüksek",IF(F1633&gt;100,"Orta","Düşük"))</f>
        <v>Orta</v>
      </c>
    </row>
    <row r="1634" customFormat="false" ht="12.8" hidden="false" customHeight="false" outlineLevel="0" collapsed="false">
      <c r="A1634" s="4" t="s">
        <v>12</v>
      </c>
      <c r="B1634" s="4" t="s">
        <v>13</v>
      </c>
      <c r="C1634" s="4" t="n">
        <v>18</v>
      </c>
      <c r="D1634" s="5" t="n">
        <v>21.5</v>
      </c>
      <c r="E1634" s="6" t="n">
        <f aca="false">DATE(2024,12,8)</f>
        <v>45634</v>
      </c>
      <c r="F1634" s="7" t="n">
        <f aca="false">C1634*D1634</f>
        <v>387</v>
      </c>
      <c r="G1634" s="7" t="n">
        <f aca="false">ROUND(F1634*0.2,2)</f>
        <v>77.4</v>
      </c>
      <c r="H1634" s="4" t="str">
        <f aca="false">IF(F1634&gt;500,"Yüksek",IF(F1634&gt;100,"Orta","Düşük"))</f>
        <v>Orta</v>
      </c>
    </row>
    <row r="1635" customFormat="false" ht="12.8" hidden="false" customHeight="false" outlineLevel="0" collapsed="false">
      <c r="A1635" s="4" t="s">
        <v>14</v>
      </c>
      <c r="B1635" s="4" t="s">
        <v>15</v>
      </c>
      <c r="C1635" s="4" t="n">
        <v>25</v>
      </c>
      <c r="D1635" s="5" t="n">
        <v>24.25</v>
      </c>
      <c r="E1635" s="6" t="n">
        <f aca="false">DATE(2024,1,9)</f>
        <v>45300</v>
      </c>
      <c r="F1635" s="7" t="n">
        <f aca="false">C1635*D1635</f>
        <v>606.25</v>
      </c>
      <c r="G1635" s="7" t="n">
        <f aca="false">ROUND(F1635*0.2,2)</f>
        <v>121.25</v>
      </c>
      <c r="H1635" s="4" t="str">
        <f aca="false">IF(F1635&gt;500,"Yüksek",IF(F1635&gt;100,"Orta","Düşük"))</f>
        <v>Yüksek</v>
      </c>
    </row>
    <row r="1636" customFormat="false" ht="12.8" hidden="false" customHeight="false" outlineLevel="0" collapsed="false">
      <c r="A1636" s="4" t="s">
        <v>16</v>
      </c>
      <c r="B1636" s="4" t="s">
        <v>17</v>
      </c>
      <c r="C1636" s="4" t="n">
        <v>32</v>
      </c>
      <c r="D1636" s="5" t="n">
        <v>27</v>
      </c>
      <c r="E1636" s="6" t="n">
        <f aca="false">DATE(2024,2,10)</f>
        <v>45332</v>
      </c>
      <c r="F1636" s="7" t="n">
        <f aca="false">C1636*D1636</f>
        <v>864</v>
      </c>
      <c r="G1636" s="7" t="n">
        <f aca="false">ROUND(F1636*0.2,2)</f>
        <v>172.8</v>
      </c>
      <c r="H1636" s="4" t="str">
        <f aca="false">IF(F1636&gt;500,"Yüksek",IF(F1636&gt;100,"Orta","Düşük"))</f>
        <v>Yüksek</v>
      </c>
    </row>
    <row r="1637" customFormat="false" ht="12.8" hidden="false" customHeight="false" outlineLevel="0" collapsed="false">
      <c r="A1637" s="4" t="s">
        <v>18</v>
      </c>
      <c r="B1637" s="4" t="s">
        <v>19</v>
      </c>
      <c r="C1637" s="4" t="n">
        <v>39</v>
      </c>
      <c r="D1637" s="5" t="n">
        <v>29.75</v>
      </c>
      <c r="E1637" s="6" t="n">
        <f aca="false">DATE(2024,3,11)</f>
        <v>45362</v>
      </c>
      <c r="F1637" s="7" t="n">
        <f aca="false">C1637*D1637</f>
        <v>1160.25</v>
      </c>
      <c r="G1637" s="7" t="n">
        <f aca="false">ROUND(F1637*0.2,2)</f>
        <v>232.05</v>
      </c>
      <c r="H1637" s="4" t="str">
        <f aca="false">IF(F1637&gt;500,"Yüksek",IF(F1637&gt;100,"Orta","Düşük"))</f>
        <v>Yüksek</v>
      </c>
    </row>
    <row r="1638" customFormat="false" ht="12.8" hidden="false" customHeight="false" outlineLevel="0" collapsed="false">
      <c r="A1638" s="4" t="s">
        <v>20</v>
      </c>
      <c r="B1638" s="4" t="s">
        <v>11</v>
      </c>
      <c r="C1638" s="4" t="n">
        <v>46</v>
      </c>
      <c r="D1638" s="5" t="n">
        <v>32.5</v>
      </c>
      <c r="E1638" s="6" t="n">
        <f aca="false">DATE(2024,4,12)</f>
        <v>45394</v>
      </c>
      <c r="F1638" s="7" t="n">
        <f aca="false">C1638*D1638</f>
        <v>1495</v>
      </c>
      <c r="G1638" s="7" t="n">
        <f aca="false">ROUND(F1638*0.2,2)</f>
        <v>299</v>
      </c>
      <c r="H1638" s="4" t="str">
        <f aca="false">IF(F1638&gt;500,"Yüksek",IF(F1638&gt;100,"Orta","Düşük"))</f>
        <v>Yüksek</v>
      </c>
    </row>
    <row r="1639" customFormat="false" ht="12.8" hidden="false" customHeight="false" outlineLevel="0" collapsed="false">
      <c r="A1639" s="4" t="s">
        <v>21</v>
      </c>
      <c r="B1639" s="4" t="s">
        <v>13</v>
      </c>
      <c r="C1639" s="4" t="n">
        <v>3</v>
      </c>
      <c r="D1639" s="5" t="n">
        <v>35.25</v>
      </c>
      <c r="E1639" s="6" t="n">
        <f aca="false">DATE(2024,5,13)</f>
        <v>45425</v>
      </c>
      <c r="F1639" s="7" t="n">
        <f aca="false">C1639*D1639</f>
        <v>105.75</v>
      </c>
      <c r="G1639" s="7" t="n">
        <f aca="false">ROUND(F1639*0.2,2)</f>
        <v>21.15</v>
      </c>
      <c r="H1639" s="4" t="str">
        <f aca="false">IF(F1639&gt;500,"Yüksek",IF(F1639&gt;100,"Orta","Düşük"))</f>
        <v>Orta</v>
      </c>
    </row>
    <row r="1640" customFormat="false" ht="12.8" hidden="false" customHeight="false" outlineLevel="0" collapsed="false">
      <c r="A1640" s="4" t="s">
        <v>22</v>
      </c>
      <c r="B1640" s="4" t="s">
        <v>15</v>
      </c>
      <c r="C1640" s="4" t="n">
        <v>10</v>
      </c>
      <c r="D1640" s="5" t="n">
        <v>38</v>
      </c>
      <c r="E1640" s="6" t="n">
        <f aca="false">DATE(2024,6,14)</f>
        <v>45457</v>
      </c>
      <c r="F1640" s="7" t="n">
        <f aca="false">C1640*D1640</f>
        <v>380</v>
      </c>
      <c r="G1640" s="7" t="n">
        <f aca="false">ROUND(F1640*0.2,2)</f>
        <v>76</v>
      </c>
      <c r="H1640" s="4" t="str">
        <f aca="false">IF(F1640&gt;500,"Yüksek",IF(F1640&gt;100,"Orta","Düşük"))</f>
        <v>Orta</v>
      </c>
    </row>
    <row r="1641" customFormat="false" ht="12.8" hidden="false" customHeight="false" outlineLevel="0" collapsed="false">
      <c r="A1641" s="4" t="s">
        <v>23</v>
      </c>
      <c r="B1641" s="4" t="s">
        <v>17</v>
      </c>
      <c r="C1641" s="4" t="n">
        <v>17</v>
      </c>
      <c r="D1641" s="5" t="n">
        <v>5</v>
      </c>
      <c r="E1641" s="6" t="n">
        <f aca="false">DATE(2024,7,15)</f>
        <v>45488</v>
      </c>
      <c r="F1641" s="7" t="n">
        <f aca="false">C1641*D1641</f>
        <v>85</v>
      </c>
      <c r="G1641" s="7" t="n">
        <f aca="false">ROUND(F1641*0.2,2)</f>
        <v>17</v>
      </c>
      <c r="H1641" s="4" t="str">
        <f aca="false">IF(F1641&gt;500,"Yüksek",IF(F1641&gt;100,"Orta","Düşük"))</f>
        <v>Düşük</v>
      </c>
    </row>
    <row r="1642" customFormat="false" ht="12.8" hidden="false" customHeight="false" outlineLevel="0" collapsed="false">
      <c r="A1642" s="4" t="s">
        <v>24</v>
      </c>
      <c r="B1642" s="4" t="s">
        <v>19</v>
      </c>
      <c r="C1642" s="4" t="n">
        <v>24</v>
      </c>
      <c r="D1642" s="5" t="n">
        <v>7.75</v>
      </c>
      <c r="E1642" s="6" t="n">
        <f aca="false">DATE(2024,8,16)</f>
        <v>45520</v>
      </c>
      <c r="F1642" s="7" t="n">
        <f aca="false">C1642*D1642</f>
        <v>186</v>
      </c>
      <c r="G1642" s="7" t="n">
        <f aca="false">ROUND(F1642*0.2,2)</f>
        <v>37.2</v>
      </c>
      <c r="H1642" s="4" t="str">
        <f aca="false">IF(F1642&gt;500,"Yüksek",IF(F1642&gt;100,"Orta","Düşük"))</f>
        <v>Orta</v>
      </c>
    </row>
    <row r="1643" customFormat="false" ht="12.8" hidden="false" customHeight="false" outlineLevel="0" collapsed="false">
      <c r="A1643" s="4" t="s">
        <v>10</v>
      </c>
      <c r="B1643" s="4" t="s">
        <v>11</v>
      </c>
      <c r="C1643" s="4" t="n">
        <v>31</v>
      </c>
      <c r="D1643" s="5" t="n">
        <v>10.5</v>
      </c>
      <c r="E1643" s="6" t="n">
        <f aca="false">DATE(2024,9,17)</f>
        <v>45552</v>
      </c>
      <c r="F1643" s="7" t="n">
        <f aca="false">C1643*D1643</f>
        <v>325.5</v>
      </c>
      <c r="G1643" s="7" t="n">
        <f aca="false">ROUND(F1643*0.2,2)</f>
        <v>65.1</v>
      </c>
      <c r="H1643" s="4" t="str">
        <f aca="false">IF(F1643&gt;500,"Yüksek",IF(F1643&gt;100,"Orta","Düşük"))</f>
        <v>Orta</v>
      </c>
    </row>
    <row r="1644" customFormat="false" ht="12.8" hidden="false" customHeight="false" outlineLevel="0" collapsed="false">
      <c r="A1644" s="4" t="s">
        <v>12</v>
      </c>
      <c r="B1644" s="4" t="s">
        <v>13</v>
      </c>
      <c r="C1644" s="4" t="n">
        <v>38</v>
      </c>
      <c r="D1644" s="5" t="n">
        <v>13.25</v>
      </c>
      <c r="E1644" s="6" t="n">
        <f aca="false">DATE(2024,10,18)</f>
        <v>45583</v>
      </c>
      <c r="F1644" s="7" t="n">
        <f aca="false">C1644*D1644</f>
        <v>503.5</v>
      </c>
      <c r="G1644" s="7" t="n">
        <f aca="false">ROUND(F1644*0.2,2)</f>
        <v>100.7</v>
      </c>
      <c r="H1644" s="4" t="str">
        <f aca="false">IF(F1644&gt;500,"Yüksek",IF(F1644&gt;100,"Orta","Düşük"))</f>
        <v>Yüksek</v>
      </c>
    </row>
    <row r="1645" customFormat="false" ht="12.8" hidden="false" customHeight="false" outlineLevel="0" collapsed="false">
      <c r="A1645" s="4" t="s">
        <v>14</v>
      </c>
      <c r="B1645" s="4" t="s">
        <v>15</v>
      </c>
      <c r="C1645" s="4" t="n">
        <v>45</v>
      </c>
      <c r="D1645" s="5" t="n">
        <v>16</v>
      </c>
      <c r="E1645" s="6" t="n">
        <f aca="false">DATE(2024,11,19)</f>
        <v>45615</v>
      </c>
      <c r="F1645" s="7" t="n">
        <f aca="false">C1645*D1645</f>
        <v>720</v>
      </c>
      <c r="G1645" s="7" t="n">
        <f aca="false">ROUND(F1645*0.2,2)</f>
        <v>144</v>
      </c>
      <c r="H1645" s="4" t="str">
        <f aca="false">IF(F1645&gt;500,"Yüksek",IF(F1645&gt;100,"Orta","Düşük"))</f>
        <v>Yüksek</v>
      </c>
    </row>
    <row r="1646" customFormat="false" ht="12.8" hidden="false" customHeight="false" outlineLevel="0" collapsed="false">
      <c r="A1646" s="4" t="s">
        <v>16</v>
      </c>
      <c r="B1646" s="4" t="s">
        <v>17</v>
      </c>
      <c r="C1646" s="4" t="n">
        <v>2</v>
      </c>
      <c r="D1646" s="5" t="n">
        <v>18.75</v>
      </c>
      <c r="E1646" s="6" t="n">
        <f aca="false">DATE(2024,12,20)</f>
        <v>45646</v>
      </c>
      <c r="F1646" s="7" t="n">
        <f aca="false">C1646*D1646</f>
        <v>37.5</v>
      </c>
      <c r="G1646" s="7" t="n">
        <f aca="false">ROUND(F1646*0.2,2)</f>
        <v>7.5</v>
      </c>
      <c r="H1646" s="4" t="str">
        <f aca="false">IF(F1646&gt;500,"Yüksek",IF(F1646&gt;100,"Orta","Düşük"))</f>
        <v>Düşük</v>
      </c>
    </row>
    <row r="1647" customFormat="false" ht="12.8" hidden="false" customHeight="false" outlineLevel="0" collapsed="false">
      <c r="A1647" s="4" t="s">
        <v>18</v>
      </c>
      <c r="B1647" s="4" t="s">
        <v>19</v>
      </c>
      <c r="C1647" s="4" t="n">
        <v>9</v>
      </c>
      <c r="D1647" s="5" t="n">
        <v>21.5</v>
      </c>
      <c r="E1647" s="6" t="n">
        <f aca="false">DATE(2024,1,21)</f>
        <v>45312</v>
      </c>
      <c r="F1647" s="7" t="n">
        <f aca="false">C1647*D1647</f>
        <v>193.5</v>
      </c>
      <c r="G1647" s="7" t="n">
        <f aca="false">ROUND(F1647*0.2,2)</f>
        <v>38.7</v>
      </c>
      <c r="H1647" s="4" t="str">
        <f aca="false">IF(F1647&gt;500,"Yüksek",IF(F1647&gt;100,"Orta","Düşük"))</f>
        <v>Orta</v>
      </c>
    </row>
    <row r="1648" customFormat="false" ht="12.8" hidden="false" customHeight="false" outlineLevel="0" collapsed="false">
      <c r="A1648" s="4" t="s">
        <v>20</v>
      </c>
      <c r="B1648" s="4" t="s">
        <v>11</v>
      </c>
      <c r="C1648" s="4" t="n">
        <v>16</v>
      </c>
      <c r="D1648" s="5" t="n">
        <v>24.25</v>
      </c>
      <c r="E1648" s="6" t="n">
        <f aca="false">DATE(2024,2,22)</f>
        <v>45344</v>
      </c>
      <c r="F1648" s="7" t="n">
        <f aca="false">C1648*D1648</f>
        <v>388</v>
      </c>
      <c r="G1648" s="7" t="n">
        <f aca="false">ROUND(F1648*0.2,2)</f>
        <v>77.6</v>
      </c>
      <c r="H1648" s="4" t="str">
        <f aca="false">IF(F1648&gt;500,"Yüksek",IF(F1648&gt;100,"Orta","Düşük"))</f>
        <v>Orta</v>
      </c>
    </row>
    <row r="1649" customFormat="false" ht="12.8" hidden="false" customHeight="false" outlineLevel="0" collapsed="false">
      <c r="A1649" s="4" t="s">
        <v>21</v>
      </c>
      <c r="B1649" s="4" t="s">
        <v>13</v>
      </c>
      <c r="C1649" s="4" t="n">
        <v>23</v>
      </c>
      <c r="D1649" s="5" t="n">
        <v>27</v>
      </c>
      <c r="E1649" s="6" t="n">
        <f aca="false">DATE(2024,3,23)</f>
        <v>45374</v>
      </c>
      <c r="F1649" s="7" t="n">
        <f aca="false">C1649*D1649</f>
        <v>621</v>
      </c>
      <c r="G1649" s="7" t="n">
        <f aca="false">ROUND(F1649*0.2,2)</f>
        <v>124.2</v>
      </c>
      <c r="H1649" s="4" t="str">
        <f aca="false">IF(F1649&gt;500,"Yüksek",IF(F1649&gt;100,"Orta","Düşük"))</f>
        <v>Yüksek</v>
      </c>
    </row>
    <row r="1650" customFormat="false" ht="12.8" hidden="false" customHeight="false" outlineLevel="0" collapsed="false">
      <c r="A1650" s="4" t="s">
        <v>22</v>
      </c>
      <c r="B1650" s="4" t="s">
        <v>15</v>
      </c>
      <c r="C1650" s="4" t="n">
        <v>30</v>
      </c>
      <c r="D1650" s="5" t="n">
        <v>29.75</v>
      </c>
      <c r="E1650" s="6" t="n">
        <f aca="false">DATE(2024,4,24)</f>
        <v>45406</v>
      </c>
      <c r="F1650" s="7" t="n">
        <f aca="false">C1650*D1650</f>
        <v>892.5</v>
      </c>
      <c r="G1650" s="7" t="n">
        <f aca="false">ROUND(F1650*0.2,2)</f>
        <v>178.5</v>
      </c>
      <c r="H1650" s="4" t="str">
        <f aca="false">IF(F1650&gt;500,"Yüksek",IF(F1650&gt;100,"Orta","Düşük"))</f>
        <v>Yüksek</v>
      </c>
    </row>
    <row r="1651" customFormat="false" ht="12.8" hidden="false" customHeight="false" outlineLevel="0" collapsed="false">
      <c r="A1651" s="4" t="s">
        <v>23</v>
      </c>
      <c r="B1651" s="4" t="s">
        <v>17</v>
      </c>
      <c r="C1651" s="4" t="n">
        <v>37</v>
      </c>
      <c r="D1651" s="5" t="n">
        <v>32.5</v>
      </c>
      <c r="E1651" s="6" t="n">
        <f aca="false">DATE(2024,5,25)</f>
        <v>45437</v>
      </c>
      <c r="F1651" s="7" t="n">
        <f aca="false">C1651*D1651</f>
        <v>1202.5</v>
      </c>
      <c r="G1651" s="7" t="n">
        <f aca="false">ROUND(F1651*0.2,2)</f>
        <v>240.5</v>
      </c>
      <c r="H1651" s="4" t="str">
        <f aca="false">IF(F1651&gt;500,"Yüksek",IF(F1651&gt;100,"Orta","Düşük"))</f>
        <v>Yüksek</v>
      </c>
    </row>
    <row r="1652" customFormat="false" ht="12.8" hidden="false" customHeight="false" outlineLevel="0" collapsed="false">
      <c r="A1652" s="4" t="s">
        <v>24</v>
      </c>
      <c r="B1652" s="4" t="s">
        <v>19</v>
      </c>
      <c r="C1652" s="4" t="n">
        <v>44</v>
      </c>
      <c r="D1652" s="5" t="n">
        <v>35.25</v>
      </c>
      <c r="E1652" s="6" t="n">
        <f aca="false">DATE(2024,6,26)</f>
        <v>45469</v>
      </c>
      <c r="F1652" s="7" t="n">
        <f aca="false">C1652*D1652</f>
        <v>1551</v>
      </c>
      <c r="G1652" s="7" t="n">
        <f aca="false">ROUND(F1652*0.2,2)</f>
        <v>310.2</v>
      </c>
      <c r="H1652" s="4" t="str">
        <f aca="false">IF(F1652&gt;500,"Yüksek",IF(F1652&gt;100,"Orta","Düşük"))</f>
        <v>Yüksek</v>
      </c>
    </row>
    <row r="1653" customFormat="false" ht="12.8" hidden="false" customHeight="false" outlineLevel="0" collapsed="false">
      <c r="A1653" s="4" t="s">
        <v>10</v>
      </c>
      <c r="B1653" s="4" t="s">
        <v>11</v>
      </c>
      <c r="C1653" s="4" t="n">
        <v>1</v>
      </c>
      <c r="D1653" s="5" t="n">
        <v>38</v>
      </c>
      <c r="E1653" s="6" t="n">
        <f aca="false">DATE(2024,7,27)</f>
        <v>45500</v>
      </c>
      <c r="F1653" s="7" t="n">
        <f aca="false">C1653*D1653</f>
        <v>38</v>
      </c>
      <c r="G1653" s="7" t="n">
        <f aca="false">ROUND(F1653*0.2,2)</f>
        <v>7.6</v>
      </c>
      <c r="H1653" s="4" t="str">
        <f aca="false">IF(F1653&gt;500,"Yüksek",IF(F1653&gt;100,"Orta","Düşük"))</f>
        <v>Düşük</v>
      </c>
    </row>
    <row r="1654" customFormat="false" ht="12.8" hidden="false" customHeight="false" outlineLevel="0" collapsed="false">
      <c r="A1654" s="4" t="s">
        <v>12</v>
      </c>
      <c r="B1654" s="4" t="s">
        <v>13</v>
      </c>
      <c r="C1654" s="4" t="n">
        <v>8</v>
      </c>
      <c r="D1654" s="5" t="n">
        <v>5</v>
      </c>
      <c r="E1654" s="6" t="n">
        <f aca="false">DATE(2024,8,28)</f>
        <v>45532</v>
      </c>
      <c r="F1654" s="7" t="n">
        <f aca="false">C1654*D1654</f>
        <v>40</v>
      </c>
      <c r="G1654" s="7" t="n">
        <f aca="false">ROUND(F1654*0.2,2)</f>
        <v>8</v>
      </c>
      <c r="H1654" s="4" t="str">
        <f aca="false">IF(F1654&gt;500,"Yüksek",IF(F1654&gt;100,"Orta","Düşük"))</f>
        <v>Düşük</v>
      </c>
    </row>
    <row r="1655" customFormat="false" ht="12.8" hidden="false" customHeight="false" outlineLevel="0" collapsed="false">
      <c r="A1655" s="4" t="s">
        <v>14</v>
      </c>
      <c r="B1655" s="4" t="s">
        <v>15</v>
      </c>
      <c r="C1655" s="4" t="n">
        <v>15</v>
      </c>
      <c r="D1655" s="5" t="n">
        <v>7.75</v>
      </c>
      <c r="E1655" s="6" t="n">
        <f aca="false">DATE(2024,9,1)</f>
        <v>45536</v>
      </c>
      <c r="F1655" s="7" t="n">
        <f aca="false">C1655*D1655</f>
        <v>116.25</v>
      </c>
      <c r="G1655" s="7" t="n">
        <f aca="false">ROUND(F1655*0.2,2)</f>
        <v>23.25</v>
      </c>
      <c r="H1655" s="4" t="str">
        <f aca="false">IF(F1655&gt;500,"Yüksek",IF(F1655&gt;100,"Orta","Düşük"))</f>
        <v>Orta</v>
      </c>
    </row>
    <row r="1656" customFormat="false" ht="12.8" hidden="false" customHeight="false" outlineLevel="0" collapsed="false">
      <c r="A1656" s="4" t="s">
        <v>16</v>
      </c>
      <c r="B1656" s="4" t="s">
        <v>17</v>
      </c>
      <c r="C1656" s="4" t="n">
        <v>22</v>
      </c>
      <c r="D1656" s="5" t="n">
        <v>10.5</v>
      </c>
      <c r="E1656" s="6" t="n">
        <f aca="false">DATE(2024,10,2)</f>
        <v>45567</v>
      </c>
      <c r="F1656" s="7" t="n">
        <f aca="false">C1656*D1656</f>
        <v>231</v>
      </c>
      <c r="G1656" s="7" t="n">
        <f aca="false">ROUND(F1656*0.2,2)</f>
        <v>46.2</v>
      </c>
      <c r="H1656" s="4" t="str">
        <f aca="false">IF(F1656&gt;500,"Yüksek",IF(F1656&gt;100,"Orta","Düşük"))</f>
        <v>Orta</v>
      </c>
    </row>
    <row r="1657" customFormat="false" ht="12.8" hidden="false" customHeight="false" outlineLevel="0" collapsed="false">
      <c r="A1657" s="4" t="s">
        <v>18</v>
      </c>
      <c r="B1657" s="4" t="s">
        <v>19</v>
      </c>
      <c r="C1657" s="4" t="n">
        <v>29</v>
      </c>
      <c r="D1657" s="5" t="n">
        <v>13.25</v>
      </c>
      <c r="E1657" s="6" t="n">
        <f aca="false">DATE(2024,11,3)</f>
        <v>45599</v>
      </c>
      <c r="F1657" s="7" t="n">
        <f aca="false">C1657*D1657</f>
        <v>384.25</v>
      </c>
      <c r="G1657" s="7" t="n">
        <f aca="false">ROUND(F1657*0.2,2)</f>
        <v>76.85</v>
      </c>
      <c r="H1657" s="4" t="str">
        <f aca="false">IF(F1657&gt;500,"Yüksek",IF(F1657&gt;100,"Orta","Düşük"))</f>
        <v>Orta</v>
      </c>
    </row>
    <row r="1658" customFormat="false" ht="12.8" hidden="false" customHeight="false" outlineLevel="0" collapsed="false">
      <c r="A1658" s="4" t="s">
        <v>20</v>
      </c>
      <c r="B1658" s="4" t="s">
        <v>11</v>
      </c>
      <c r="C1658" s="4" t="n">
        <v>36</v>
      </c>
      <c r="D1658" s="5" t="n">
        <v>16</v>
      </c>
      <c r="E1658" s="6" t="n">
        <f aca="false">DATE(2024,12,4)</f>
        <v>45630</v>
      </c>
      <c r="F1658" s="7" t="n">
        <f aca="false">C1658*D1658</f>
        <v>576</v>
      </c>
      <c r="G1658" s="7" t="n">
        <f aca="false">ROUND(F1658*0.2,2)</f>
        <v>115.2</v>
      </c>
      <c r="H1658" s="4" t="str">
        <f aca="false">IF(F1658&gt;500,"Yüksek",IF(F1658&gt;100,"Orta","Düşük"))</f>
        <v>Yüksek</v>
      </c>
    </row>
    <row r="1659" customFormat="false" ht="12.8" hidden="false" customHeight="false" outlineLevel="0" collapsed="false">
      <c r="A1659" s="4" t="s">
        <v>21</v>
      </c>
      <c r="B1659" s="4" t="s">
        <v>13</v>
      </c>
      <c r="C1659" s="4" t="n">
        <v>43</v>
      </c>
      <c r="D1659" s="5" t="n">
        <v>18.75</v>
      </c>
      <c r="E1659" s="6" t="n">
        <f aca="false">DATE(2024,1,5)</f>
        <v>45296</v>
      </c>
      <c r="F1659" s="7" t="n">
        <f aca="false">C1659*D1659</f>
        <v>806.25</v>
      </c>
      <c r="G1659" s="7" t="n">
        <f aca="false">ROUND(F1659*0.2,2)</f>
        <v>161.25</v>
      </c>
      <c r="H1659" s="4" t="str">
        <f aca="false">IF(F1659&gt;500,"Yüksek",IF(F1659&gt;100,"Orta","Düşük"))</f>
        <v>Yüksek</v>
      </c>
    </row>
    <row r="1660" customFormat="false" ht="12.8" hidden="false" customHeight="false" outlineLevel="0" collapsed="false">
      <c r="A1660" s="4" t="s">
        <v>22</v>
      </c>
      <c r="B1660" s="4" t="s">
        <v>15</v>
      </c>
      <c r="C1660" s="4" t="n">
        <v>50</v>
      </c>
      <c r="D1660" s="5" t="n">
        <v>21.5</v>
      </c>
      <c r="E1660" s="6" t="n">
        <f aca="false">DATE(2024,2,6)</f>
        <v>45328</v>
      </c>
      <c r="F1660" s="7" t="n">
        <f aca="false">C1660*D1660</f>
        <v>1075</v>
      </c>
      <c r="G1660" s="7" t="n">
        <f aca="false">ROUND(F1660*0.2,2)</f>
        <v>215</v>
      </c>
      <c r="H1660" s="4" t="str">
        <f aca="false">IF(F1660&gt;500,"Yüksek",IF(F1660&gt;100,"Orta","Düşük"))</f>
        <v>Yüksek</v>
      </c>
    </row>
    <row r="1661" customFormat="false" ht="12.8" hidden="false" customHeight="false" outlineLevel="0" collapsed="false">
      <c r="A1661" s="4" t="s">
        <v>23</v>
      </c>
      <c r="B1661" s="4" t="s">
        <v>17</v>
      </c>
      <c r="C1661" s="4" t="n">
        <v>7</v>
      </c>
      <c r="D1661" s="5" t="n">
        <v>24.25</v>
      </c>
      <c r="E1661" s="6" t="n">
        <f aca="false">DATE(2024,3,7)</f>
        <v>45358</v>
      </c>
      <c r="F1661" s="7" t="n">
        <f aca="false">C1661*D1661</f>
        <v>169.75</v>
      </c>
      <c r="G1661" s="7" t="n">
        <f aca="false">ROUND(F1661*0.2,2)</f>
        <v>33.95</v>
      </c>
      <c r="H1661" s="4" t="str">
        <f aca="false">IF(F1661&gt;500,"Yüksek",IF(F1661&gt;100,"Orta","Düşük"))</f>
        <v>Orta</v>
      </c>
    </row>
    <row r="1662" customFormat="false" ht="12.8" hidden="false" customHeight="false" outlineLevel="0" collapsed="false">
      <c r="A1662" s="4" t="s">
        <v>24</v>
      </c>
      <c r="B1662" s="4" t="s">
        <v>19</v>
      </c>
      <c r="C1662" s="4" t="n">
        <v>14</v>
      </c>
      <c r="D1662" s="5" t="n">
        <v>27</v>
      </c>
      <c r="E1662" s="6" t="n">
        <f aca="false">DATE(2024,4,8)</f>
        <v>45390</v>
      </c>
      <c r="F1662" s="7" t="n">
        <f aca="false">C1662*D1662</f>
        <v>378</v>
      </c>
      <c r="G1662" s="7" t="n">
        <f aca="false">ROUND(F1662*0.2,2)</f>
        <v>75.6</v>
      </c>
      <c r="H1662" s="4" t="str">
        <f aca="false">IF(F1662&gt;500,"Yüksek",IF(F1662&gt;100,"Orta","Düşük"))</f>
        <v>Orta</v>
      </c>
    </row>
    <row r="1663" customFormat="false" ht="12.8" hidden="false" customHeight="false" outlineLevel="0" collapsed="false">
      <c r="A1663" s="4" t="s">
        <v>10</v>
      </c>
      <c r="B1663" s="4" t="s">
        <v>11</v>
      </c>
      <c r="C1663" s="4" t="n">
        <v>21</v>
      </c>
      <c r="D1663" s="5" t="n">
        <v>29.75</v>
      </c>
      <c r="E1663" s="6" t="n">
        <f aca="false">DATE(2024,5,9)</f>
        <v>45421</v>
      </c>
      <c r="F1663" s="7" t="n">
        <f aca="false">C1663*D1663</f>
        <v>624.75</v>
      </c>
      <c r="G1663" s="7" t="n">
        <f aca="false">ROUND(F1663*0.2,2)</f>
        <v>124.95</v>
      </c>
      <c r="H1663" s="4" t="str">
        <f aca="false">IF(F1663&gt;500,"Yüksek",IF(F1663&gt;100,"Orta","Düşük"))</f>
        <v>Yüksek</v>
      </c>
    </row>
    <row r="1664" customFormat="false" ht="12.8" hidden="false" customHeight="false" outlineLevel="0" collapsed="false">
      <c r="A1664" s="4" t="s">
        <v>12</v>
      </c>
      <c r="B1664" s="4" t="s">
        <v>13</v>
      </c>
      <c r="C1664" s="4" t="n">
        <v>28</v>
      </c>
      <c r="D1664" s="5" t="n">
        <v>32.5</v>
      </c>
      <c r="E1664" s="6" t="n">
        <f aca="false">DATE(2024,6,10)</f>
        <v>45453</v>
      </c>
      <c r="F1664" s="7" t="n">
        <f aca="false">C1664*D1664</f>
        <v>910</v>
      </c>
      <c r="G1664" s="7" t="n">
        <f aca="false">ROUND(F1664*0.2,2)</f>
        <v>182</v>
      </c>
      <c r="H1664" s="4" t="str">
        <f aca="false">IF(F1664&gt;500,"Yüksek",IF(F1664&gt;100,"Orta","Düşük"))</f>
        <v>Yüksek</v>
      </c>
    </row>
    <row r="1665" customFormat="false" ht="12.8" hidden="false" customHeight="false" outlineLevel="0" collapsed="false">
      <c r="A1665" s="4" t="s">
        <v>14</v>
      </c>
      <c r="B1665" s="4" t="s">
        <v>15</v>
      </c>
      <c r="C1665" s="4" t="n">
        <v>35</v>
      </c>
      <c r="D1665" s="5" t="n">
        <v>35.25</v>
      </c>
      <c r="E1665" s="6" t="n">
        <f aca="false">DATE(2024,7,11)</f>
        <v>45484</v>
      </c>
      <c r="F1665" s="7" t="n">
        <f aca="false">C1665*D1665</f>
        <v>1233.75</v>
      </c>
      <c r="G1665" s="7" t="n">
        <f aca="false">ROUND(F1665*0.2,2)</f>
        <v>246.75</v>
      </c>
      <c r="H1665" s="4" t="str">
        <f aca="false">IF(F1665&gt;500,"Yüksek",IF(F1665&gt;100,"Orta","Düşük"))</f>
        <v>Yüksek</v>
      </c>
    </row>
    <row r="1666" customFormat="false" ht="12.8" hidden="false" customHeight="false" outlineLevel="0" collapsed="false">
      <c r="A1666" s="4" t="s">
        <v>16</v>
      </c>
      <c r="B1666" s="4" t="s">
        <v>17</v>
      </c>
      <c r="C1666" s="4" t="n">
        <v>42</v>
      </c>
      <c r="D1666" s="5" t="n">
        <v>38</v>
      </c>
      <c r="E1666" s="6" t="n">
        <f aca="false">DATE(2024,8,12)</f>
        <v>45516</v>
      </c>
      <c r="F1666" s="7" t="n">
        <f aca="false">C1666*D1666</f>
        <v>1596</v>
      </c>
      <c r="G1666" s="7" t="n">
        <f aca="false">ROUND(F1666*0.2,2)</f>
        <v>319.2</v>
      </c>
      <c r="H1666" s="4" t="str">
        <f aca="false">IF(F1666&gt;500,"Yüksek",IF(F1666&gt;100,"Orta","Düşük"))</f>
        <v>Yüksek</v>
      </c>
    </row>
    <row r="1667" customFormat="false" ht="12.8" hidden="false" customHeight="false" outlineLevel="0" collapsed="false">
      <c r="A1667" s="4" t="s">
        <v>18</v>
      </c>
      <c r="B1667" s="4" t="s">
        <v>19</v>
      </c>
      <c r="C1667" s="4" t="n">
        <v>49</v>
      </c>
      <c r="D1667" s="5" t="n">
        <v>5</v>
      </c>
      <c r="E1667" s="6" t="n">
        <f aca="false">DATE(2024,9,13)</f>
        <v>45548</v>
      </c>
      <c r="F1667" s="7" t="n">
        <f aca="false">C1667*D1667</f>
        <v>245</v>
      </c>
      <c r="G1667" s="7" t="n">
        <f aca="false">ROUND(F1667*0.2,2)</f>
        <v>49</v>
      </c>
      <c r="H1667" s="4" t="str">
        <f aca="false">IF(F1667&gt;500,"Yüksek",IF(F1667&gt;100,"Orta","Düşük"))</f>
        <v>Orta</v>
      </c>
    </row>
    <row r="1668" customFormat="false" ht="12.8" hidden="false" customHeight="false" outlineLevel="0" collapsed="false">
      <c r="A1668" s="4" t="s">
        <v>20</v>
      </c>
      <c r="B1668" s="4" t="s">
        <v>11</v>
      </c>
      <c r="C1668" s="4" t="n">
        <v>6</v>
      </c>
      <c r="D1668" s="5" t="n">
        <v>7.75</v>
      </c>
      <c r="E1668" s="6" t="n">
        <f aca="false">DATE(2024,10,14)</f>
        <v>45579</v>
      </c>
      <c r="F1668" s="7" t="n">
        <f aca="false">C1668*D1668</f>
        <v>46.5</v>
      </c>
      <c r="G1668" s="7" t="n">
        <f aca="false">ROUND(F1668*0.2,2)</f>
        <v>9.3</v>
      </c>
      <c r="H1668" s="4" t="str">
        <f aca="false">IF(F1668&gt;500,"Yüksek",IF(F1668&gt;100,"Orta","Düşük"))</f>
        <v>Düşük</v>
      </c>
    </row>
    <row r="1669" customFormat="false" ht="12.8" hidden="false" customHeight="false" outlineLevel="0" collapsed="false">
      <c r="A1669" s="4" t="s">
        <v>21</v>
      </c>
      <c r="B1669" s="4" t="s">
        <v>13</v>
      </c>
      <c r="C1669" s="4" t="n">
        <v>13</v>
      </c>
      <c r="D1669" s="5" t="n">
        <v>10.5</v>
      </c>
      <c r="E1669" s="6" t="n">
        <f aca="false">DATE(2024,11,15)</f>
        <v>45611</v>
      </c>
      <c r="F1669" s="7" t="n">
        <f aca="false">C1669*D1669</f>
        <v>136.5</v>
      </c>
      <c r="G1669" s="7" t="n">
        <f aca="false">ROUND(F1669*0.2,2)</f>
        <v>27.3</v>
      </c>
      <c r="H1669" s="4" t="str">
        <f aca="false">IF(F1669&gt;500,"Yüksek",IF(F1669&gt;100,"Orta","Düşük"))</f>
        <v>Orta</v>
      </c>
    </row>
    <row r="1670" customFormat="false" ht="12.8" hidden="false" customHeight="false" outlineLevel="0" collapsed="false">
      <c r="A1670" s="4" t="s">
        <v>22</v>
      </c>
      <c r="B1670" s="4" t="s">
        <v>15</v>
      </c>
      <c r="C1670" s="4" t="n">
        <v>20</v>
      </c>
      <c r="D1670" s="5" t="n">
        <v>13.25</v>
      </c>
      <c r="E1670" s="6" t="n">
        <f aca="false">DATE(2024,12,16)</f>
        <v>45642</v>
      </c>
      <c r="F1670" s="7" t="n">
        <f aca="false">C1670*D1670</f>
        <v>265</v>
      </c>
      <c r="G1670" s="7" t="n">
        <f aca="false">ROUND(F1670*0.2,2)</f>
        <v>53</v>
      </c>
      <c r="H1670" s="4" t="str">
        <f aca="false">IF(F1670&gt;500,"Yüksek",IF(F1670&gt;100,"Orta","Düşük"))</f>
        <v>Orta</v>
      </c>
    </row>
    <row r="1671" customFormat="false" ht="12.8" hidden="false" customHeight="false" outlineLevel="0" collapsed="false">
      <c r="A1671" s="4" t="s">
        <v>23</v>
      </c>
      <c r="B1671" s="4" t="s">
        <v>17</v>
      </c>
      <c r="C1671" s="4" t="n">
        <v>27</v>
      </c>
      <c r="D1671" s="5" t="n">
        <v>16</v>
      </c>
      <c r="E1671" s="6" t="n">
        <f aca="false">DATE(2024,1,17)</f>
        <v>45308</v>
      </c>
      <c r="F1671" s="7" t="n">
        <f aca="false">C1671*D1671</f>
        <v>432</v>
      </c>
      <c r="G1671" s="7" t="n">
        <f aca="false">ROUND(F1671*0.2,2)</f>
        <v>86.4</v>
      </c>
      <c r="H1671" s="4" t="str">
        <f aca="false">IF(F1671&gt;500,"Yüksek",IF(F1671&gt;100,"Orta","Düşük"))</f>
        <v>Orta</v>
      </c>
    </row>
    <row r="1672" customFormat="false" ht="12.8" hidden="false" customHeight="false" outlineLevel="0" collapsed="false">
      <c r="A1672" s="4" t="s">
        <v>24</v>
      </c>
      <c r="B1672" s="4" t="s">
        <v>19</v>
      </c>
      <c r="C1672" s="4" t="n">
        <v>34</v>
      </c>
      <c r="D1672" s="5" t="n">
        <v>18.75</v>
      </c>
      <c r="E1672" s="6" t="n">
        <f aca="false">DATE(2024,2,18)</f>
        <v>45340</v>
      </c>
      <c r="F1672" s="7" t="n">
        <f aca="false">C1672*D1672</f>
        <v>637.5</v>
      </c>
      <c r="G1672" s="7" t="n">
        <f aca="false">ROUND(F1672*0.2,2)</f>
        <v>127.5</v>
      </c>
      <c r="H1672" s="4" t="str">
        <f aca="false">IF(F1672&gt;500,"Yüksek",IF(F1672&gt;100,"Orta","Düşük"))</f>
        <v>Yüksek</v>
      </c>
    </row>
    <row r="1673" customFormat="false" ht="12.8" hidden="false" customHeight="false" outlineLevel="0" collapsed="false">
      <c r="A1673" s="4" t="s">
        <v>10</v>
      </c>
      <c r="B1673" s="4" t="s">
        <v>11</v>
      </c>
      <c r="C1673" s="4" t="n">
        <v>41</v>
      </c>
      <c r="D1673" s="5" t="n">
        <v>21.5</v>
      </c>
      <c r="E1673" s="6" t="n">
        <f aca="false">DATE(2024,3,19)</f>
        <v>45370</v>
      </c>
      <c r="F1673" s="7" t="n">
        <f aca="false">C1673*D1673</f>
        <v>881.5</v>
      </c>
      <c r="G1673" s="7" t="n">
        <f aca="false">ROUND(F1673*0.2,2)</f>
        <v>176.3</v>
      </c>
      <c r="H1673" s="4" t="str">
        <f aca="false">IF(F1673&gt;500,"Yüksek",IF(F1673&gt;100,"Orta","Düşük"))</f>
        <v>Yüksek</v>
      </c>
    </row>
    <row r="1674" customFormat="false" ht="12.8" hidden="false" customHeight="false" outlineLevel="0" collapsed="false">
      <c r="A1674" s="4" t="s">
        <v>12</v>
      </c>
      <c r="B1674" s="4" t="s">
        <v>13</v>
      </c>
      <c r="C1674" s="4" t="n">
        <v>48</v>
      </c>
      <c r="D1674" s="5" t="n">
        <v>24.25</v>
      </c>
      <c r="E1674" s="6" t="n">
        <f aca="false">DATE(2024,4,20)</f>
        <v>45402</v>
      </c>
      <c r="F1674" s="7" t="n">
        <f aca="false">C1674*D1674</f>
        <v>1164</v>
      </c>
      <c r="G1674" s="7" t="n">
        <f aca="false">ROUND(F1674*0.2,2)</f>
        <v>232.8</v>
      </c>
      <c r="H1674" s="4" t="str">
        <f aca="false">IF(F1674&gt;500,"Yüksek",IF(F1674&gt;100,"Orta","Düşük"))</f>
        <v>Yüksek</v>
      </c>
    </row>
    <row r="1675" customFormat="false" ht="12.8" hidden="false" customHeight="false" outlineLevel="0" collapsed="false">
      <c r="A1675" s="4" t="s">
        <v>14</v>
      </c>
      <c r="B1675" s="4" t="s">
        <v>15</v>
      </c>
      <c r="C1675" s="4" t="n">
        <v>5</v>
      </c>
      <c r="D1675" s="5" t="n">
        <v>27</v>
      </c>
      <c r="E1675" s="6" t="n">
        <f aca="false">DATE(2024,5,21)</f>
        <v>45433</v>
      </c>
      <c r="F1675" s="7" t="n">
        <f aca="false">C1675*D1675</f>
        <v>135</v>
      </c>
      <c r="G1675" s="7" t="n">
        <f aca="false">ROUND(F1675*0.2,2)</f>
        <v>27</v>
      </c>
      <c r="H1675" s="4" t="str">
        <f aca="false">IF(F1675&gt;500,"Yüksek",IF(F1675&gt;100,"Orta","Düşük"))</f>
        <v>Orta</v>
      </c>
    </row>
    <row r="1676" customFormat="false" ht="12.8" hidden="false" customHeight="false" outlineLevel="0" collapsed="false">
      <c r="A1676" s="4" t="s">
        <v>16</v>
      </c>
      <c r="B1676" s="4" t="s">
        <v>17</v>
      </c>
      <c r="C1676" s="4" t="n">
        <v>12</v>
      </c>
      <c r="D1676" s="5" t="n">
        <v>29.75</v>
      </c>
      <c r="E1676" s="6" t="n">
        <f aca="false">DATE(2024,6,22)</f>
        <v>45465</v>
      </c>
      <c r="F1676" s="7" t="n">
        <f aca="false">C1676*D1676</f>
        <v>357</v>
      </c>
      <c r="G1676" s="7" t="n">
        <f aca="false">ROUND(F1676*0.2,2)</f>
        <v>71.4</v>
      </c>
      <c r="H1676" s="4" t="str">
        <f aca="false">IF(F1676&gt;500,"Yüksek",IF(F1676&gt;100,"Orta","Düşük"))</f>
        <v>Orta</v>
      </c>
    </row>
    <row r="1677" customFormat="false" ht="12.8" hidden="false" customHeight="false" outlineLevel="0" collapsed="false">
      <c r="A1677" s="4" t="s">
        <v>18</v>
      </c>
      <c r="B1677" s="4" t="s">
        <v>19</v>
      </c>
      <c r="C1677" s="4" t="n">
        <v>19</v>
      </c>
      <c r="D1677" s="5" t="n">
        <v>32.5</v>
      </c>
      <c r="E1677" s="6" t="n">
        <f aca="false">DATE(2024,7,23)</f>
        <v>45496</v>
      </c>
      <c r="F1677" s="7" t="n">
        <f aca="false">C1677*D1677</f>
        <v>617.5</v>
      </c>
      <c r="G1677" s="7" t="n">
        <f aca="false">ROUND(F1677*0.2,2)</f>
        <v>123.5</v>
      </c>
      <c r="H1677" s="4" t="str">
        <f aca="false">IF(F1677&gt;500,"Yüksek",IF(F1677&gt;100,"Orta","Düşük"))</f>
        <v>Yüksek</v>
      </c>
    </row>
    <row r="1678" customFormat="false" ht="12.8" hidden="false" customHeight="false" outlineLevel="0" collapsed="false">
      <c r="A1678" s="4" t="s">
        <v>20</v>
      </c>
      <c r="B1678" s="4" t="s">
        <v>11</v>
      </c>
      <c r="C1678" s="4" t="n">
        <v>26</v>
      </c>
      <c r="D1678" s="5" t="n">
        <v>35.25</v>
      </c>
      <c r="E1678" s="6" t="n">
        <f aca="false">DATE(2024,8,24)</f>
        <v>45528</v>
      </c>
      <c r="F1678" s="7" t="n">
        <f aca="false">C1678*D1678</f>
        <v>916.5</v>
      </c>
      <c r="G1678" s="7" t="n">
        <f aca="false">ROUND(F1678*0.2,2)</f>
        <v>183.3</v>
      </c>
      <c r="H1678" s="4" t="str">
        <f aca="false">IF(F1678&gt;500,"Yüksek",IF(F1678&gt;100,"Orta","Düşük"))</f>
        <v>Yüksek</v>
      </c>
    </row>
    <row r="1679" customFormat="false" ht="12.8" hidden="false" customHeight="false" outlineLevel="0" collapsed="false">
      <c r="A1679" s="4" t="s">
        <v>21</v>
      </c>
      <c r="B1679" s="4" t="s">
        <v>13</v>
      </c>
      <c r="C1679" s="4" t="n">
        <v>33</v>
      </c>
      <c r="D1679" s="5" t="n">
        <v>38</v>
      </c>
      <c r="E1679" s="6" t="n">
        <f aca="false">DATE(2024,9,25)</f>
        <v>45560</v>
      </c>
      <c r="F1679" s="7" t="n">
        <f aca="false">C1679*D1679</f>
        <v>1254</v>
      </c>
      <c r="G1679" s="7" t="n">
        <f aca="false">ROUND(F1679*0.2,2)</f>
        <v>250.8</v>
      </c>
      <c r="H1679" s="4" t="str">
        <f aca="false">IF(F1679&gt;500,"Yüksek",IF(F1679&gt;100,"Orta","Düşük"))</f>
        <v>Yüksek</v>
      </c>
    </row>
    <row r="1680" customFormat="false" ht="12.8" hidden="false" customHeight="false" outlineLevel="0" collapsed="false">
      <c r="A1680" s="4" t="s">
        <v>22</v>
      </c>
      <c r="B1680" s="4" t="s">
        <v>15</v>
      </c>
      <c r="C1680" s="4" t="n">
        <v>40</v>
      </c>
      <c r="D1680" s="5" t="n">
        <v>5</v>
      </c>
      <c r="E1680" s="6" t="n">
        <f aca="false">DATE(2024,10,26)</f>
        <v>45591</v>
      </c>
      <c r="F1680" s="7" t="n">
        <f aca="false">C1680*D1680</f>
        <v>200</v>
      </c>
      <c r="G1680" s="7" t="n">
        <f aca="false">ROUND(F1680*0.2,2)</f>
        <v>40</v>
      </c>
      <c r="H1680" s="4" t="str">
        <f aca="false">IF(F1680&gt;500,"Yüksek",IF(F1680&gt;100,"Orta","Düşük"))</f>
        <v>Orta</v>
      </c>
    </row>
    <row r="1681" customFormat="false" ht="12.8" hidden="false" customHeight="false" outlineLevel="0" collapsed="false">
      <c r="A1681" s="4" t="s">
        <v>23</v>
      </c>
      <c r="B1681" s="4" t="s">
        <v>17</v>
      </c>
      <c r="C1681" s="4" t="n">
        <v>47</v>
      </c>
      <c r="D1681" s="5" t="n">
        <v>7.75</v>
      </c>
      <c r="E1681" s="6" t="n">
        <f aca="false">DATE(2024,11,27)</f>
        <v>45623</v>
      </c>
      <c r="F1681" s="7" t="n">
        <f aca="false">C1681*D1681</f>
        <v>364.25</v>
      </c>
      <c r="G1681" s="7" t="n">
        <f aca="false">ROUND(F1681*0.2,2)</f>
        <v>72.85</v>
      </c>
      <c r="H1681" s="4" t="str">
        <f aca="false">IF(F1681&gt;500,"Yüksek",IF(F1681&gt;100,"Orta","Düşük"))</f>
        <v>Orta</v>
      </c>
    </row>
    <row r="1682" customFormat="false" ht="12.8" hidden="false" customHeight="false" outlineLevel="0" collapsed="false">
      <c r="A1682" s="4" t="s">
        <v>24</v>
      </c>
      <c r="B1682" s="4" t="s">
        <v>19</v>
      </c>
      <c r="C1682" s="4" t="n">
        <v>4</v>
      </c>
      <c r="D1682" s="5" t="n">
        <v>10.5</v>
      </c>
      <c r="E1682" s="6" t="n">
        <f aca="false">DATE(2024,12,28)</f>
        <v>45654</v>
      </c>
      <c r="F1682" s="7" t="n">
        <f aca="false">C1682*D1682</f>
        <v>42</v>
      </c>
      <c r="G1682" s="7" t="n">
        <f aca="false">ROUND(F1682*0.2,2)</f>
        <v>8.4</v>
      </c>
      <c r="H1682" s="4" t="str">
        <f aca="false">IF(F1682&gt;500,"Yüksek",IF(F1682&gt;100,"Orta","Düşük"))</f>
        <v>Düşük</v>
      </c>
    </row>
    <row r="1683" customFormat="false" ht="12.8" hidden="false" customHeight="false" outlineLevel="0" collapsed="false">
      <c r="A1683" s="4" t="s">
        <v>10</v>
      </c>
      <c r="B1683" s="4" t="s">
        <v>11</v>
      </c>
      <c r="C1683" s="4" t="n">
        <v>11</v>
      </c>
      <c r="D1683" s="5" t="n">
        <v>13.25</v>
      </c>
      <c r="E1683" s="6" t="n">
        <f aca="false">DATE(2024,1,1)</f>
        <v>45292</v>
      </c>
      <c r="F1683" s="7" t="n">
        <f aca="false">C1683*D1683</f>
        <v>145.75</v>
      </c>
      <c r="G1683" s="7" t="n">
        <f aca="false">ROUND(F1683*0.2,2)</f>
        <v>29.15</v>
      </c>
      <c r="H1683" s="4" t="str">
        <f aca="false">IF(F1683&gt;500,"Yüksek",IF(F1683&gt;100,"Orta","Düşük"))</f>
        <v>Orta</v>
      </c>
    </row>
    <row r="1684" customFormat="false" ht="12.8" hidden="false" customHeight="false" outlineLevel="0" collapsed="false">
      <c r="A1684" s="4" t="s">
        <v>12</v>
      </c>
      <c r="B1684" s="4" t="s">
        <v>13</v>
      </c>
      <c r="C1684" s="4" t="n">
        <v>18</v>
      </c>
      <c r="D1684" s="5" t="n">
        <v>16</v>
      </c>
      <c r="E1684" s="6" t="n">
        <f aca="false">DATE(2024,2,2)</f>
        <v>45324</v>
      </c>
      <c r="F1684" s="7" t="n">
        <f aca="false">C1684*D1684</f>
        <v>288</v>
      </c>
      <c r="G1684" s="7" t="n">
        <f aca="false">ROUND(F1684*0.2,2)</f>
        <v>57.6</v>
      </c>
      <c r="H1684" s="4" t="str">
        <f aca="false">IF(F1684&gt;500,"Yüksek",IF(F1684&gt;100,"Orta","Düşük"))</f>
        <v>Orta</v>
      </c>
    </row>
    <row r="1685" customFormat="false" ht="12.8" hidden="false" customHeight="false" outlineLevel="0" collapsed="false">
      <c r="A1685" s="4" t="s">
        <v>14</v>
      </c>
      <c r="B1685" s="4" t="s">
        <v>15</v>
      </c>
      <c r="C1685" s="4" t="n">
        <v>25</v>
      </c>
      <c r="D1685" s="5" t="n">
        <v>18.75</v>
      </c>
      <c r="E1685" s="6" t="n">
        <f aca="false">DATE(2024,3,3)</f>
        <v>45354</v>
      </c>
      <c r="F1685" s="7" t="n">
        <f aca="false">C1685*D1685</f>
        <v>468.75</v>
      </c>
      <c r="G1685" s="7" t="n">
        <f aca="false">ROUND(F1685*0.2,2)</f>
        <v>93.75</v>
      </c>
      <c r="H1685" s="4" t="str">
        <f aca="false">IF(F1685&gt;500,"Yüksek",IF(F1685&gt;100,"Orta","Düşük"))</f>
        <v>Orta</v>
      </c>
    </row>
    <row r="1686" customFormat="false" ht="12.8" hidden="false" customHeight="false" outlineLevel="0" collapsed="false">
      <c r="A1686" s="4" t="s">
        <v>16</v>
      </c>
      <c r="B1686" s="4" t="s">
        <v>17</v>
      </c>
      <c r="C1686" s="4" t="n">
        <v>32</v>
      </c>
      <c r="D1686" s="5" t="n">
        <v>21.5</v>
      </c>
      <c r="E1686" s="6" t="n">
        <f aca="false">DATE(2024,4,4)</f>
        <v>45386</v>
      </c>
      <c r="F1686" s="7" t="n">
        <f aca="false">C1686*D1686</f>
        <v>688</v>
      </c>
      <c r="G1686" s="7" t="n">
        <f aca="false">ROUND(F1686*0.2,2)</f>
        <v>137.6</v>
      </c>
      <c r="H1686" s="4" t="str">
        <f aca="false">IF(F1686&gt;500,"Yüksek",IF(F1686&gt;100,"Orta","Düşük"))</f>
        <v>Yüksek</v>
      </c>
    </row>
    <row r="1687" customFormat="false" ht="12.8" hidden="false" customHeight="false" outlineLevel="0" collapsed="false">
      <c r="A1687" s="4" t="s">
        <v>18</v>
      </c>
      <c r="B1687" s="4" t="s">
        <v>19</v>
      </c>
      <c r="C1687" s="4" t="n">
        <v>39</v>
      </c>
      <c r="D1687" s="5" t="n">
        <v>24.25</v>
      </c>
      <c r="E1687" s="6" t="n">
        <f aca="false">DATE(2024,5,5)</f>
        <v>45417</v>
      </c>
      <c r="F1687" s="7" t="n">
        <f aca="false">C1687*D1687</f>
        <v>945.75</v>
      </c>
      <c r="G1687" s="7" t="n">
        <f aca="false">ROUND(F1687*0.2,2)</f>
        <v>189.15</v>
      </c>
      <c r="H1687" s="4" t="str">
        <f aca="false">IF(F1687&gt;500,"Yüksek",IF(F1687&gt;100,"Orta","Düşük"))</f>
        <v>Yüksek</v>
      </c>
    </row>
    <row r="1688" customFormat="false" ht="12.8" hidden="false" customHeight="false" outlineLevel="0" collapsed="false">
      <c r="A1688" s="4" t="s">
        <v>20</v>
      </c>
      <c r="B1688" s="4" t="s">
        <v>11</v>
      </c>
      <c r="C1688" s="4" t="n">
        <v>46</v>
      </c>
      <c r="D1688" s="5" t="n">
        <v>27</v>
      </c>
      <c r="E1688" s="6" t="n">
        <f aca="false">DATE(2024,6,6)</f>
        <v>45449</v>
      </c>
      <c r="F1688" s="7" t="n">
        <f aca="false">C1688*D1688</f>
        <v>1242</v>
      </c>
      <c r="G1688" s="7" t="n">
        <f aca="false">ROUND(F1688*0.2,2)</f>
        <v>248.4</v>
      </c>
      <c r="H1688" s="4" t="str">
        <f aca="false">IF(F1688&gt;500,"Yüksek",IF(F1688&gt;100,"Orta","Düşük"))</f>
        <v>Yüksek</v>
      </c>
    </row>
    <row r="1689" customFormat="false" ht="12.8" hidden="false" customHeight="false" outlineLevel="0" collapsed="false">
      <c r="A1689" s="4" t="s">
        <v>21</v>
      </c>
      <c r="B1689" s="4" t="s">
        <v>13</v>
      </c>
      <c r="C1689" s="4" t="n">
        <v>3</v>
      </c>
      <c r="D1689" s="5" t="n">
        <v>29.75</v>
      </c>
      <c r="E1689" s="6" t="n">
        <f aca="false">DATE(2024,7,7)</f>
        <v>45480</v>
      </c>
      <c r="F1689" s="7" t="n">
        <f aca="false">C1689*D1689</f>
        <v>89.25</v>
      </c>
      <c r="G1689" s="7" t="n">
        <f aca="false">ROUND(F1689*0.2,2)</f>
        <v>17.85</v>
      </c>
      <c r="H1689" s="4" t="str">
        <f aca="false">IF(F1689&gt;500,"Yüksek",IF(F1689&gt;100,"Orta","Düşük"))</f>
        <v>Düşük</v>
      </c>
    </row>
    <row r="1690" customFormat="false" ht="12.8" hidden="false" customHeight="false" outlineLevel="0" collapsed="false">
      <c r="A1690" s="4" t="s">
        <v>22</v>
      </c>
      <c r="B1690" s="4" t="s">
        <v>15</v>
      </c>
      <c r="C1690" s="4" t="n">
        <v>10</v>
      </c>
      <c r="D1690" s="5" t="n">
        <v>32.5</v>
      </c>
      <c r="E1690" s="6" t="n">
        <f aca="false">DATE(2024,8,8)</f>
        <v>45512</v>
      </c>
      <c r="F1690" s="7" t="n">
        <f aca="false">C1690*D1690</f>
        <v>325</v>
      </c>
      <c r="G1690" s="7" t="n">
        <f aca="false">ROUND(F1690*0.2,2)</f>
        <v>65</v>
      </c>
      <c r="H1690" s="4" t="str">
        <f aca="false">IF(F1690&gt;500,"Yüksek",IF(F1690&gt;100,"Orta","Düşük"))</f>
        <v>Orta</v>
      </c>
    </row>
    <row r="1691" customFormat="false" ht="12.8" hidden="false" customHeight="false" outlineLevel="0" collapsed="false">
      <c r="A1691" s="4" t="s">
        <v>23</v>
      </c>
      <c r="B1691" s="4" t="s">
        <v>17</v>
      </c>
      <c r="C1691" s="4" t="n">
        <v>17</v>
      </c>
      <c r="D1691" s="5" t="n">
        <v>35.25</v>
      </c>
      <c r="E1691" s="6" t="n">
        <f aca="false">DATE(2024,9,9)</f>
        <v>45544</v>
      </c>
      <c r="F1691" s="7" t="n">
        <f aca="false">C1691*D1691</f>
        <v>599.25</v>
      </c>
      <c r="G1691" s="7" t="n">
        <f aca="false">ROUND(F1691*0.2,2)</f>
        <v>119.85</v>
      </c>
      <c r="H1691" s="4" t="str">
        <f aca="false">IF(F1691&gt;500,"Yüksek",IF(F1691&gt;100,"Orta","Düşük"))</f>
        <v>Yüksek</v>
      </c>
    </row>
    <row r="1692" customFormat="false" ht="12.8" hidden="false" customHeight="false" outlineLevel="0" collapsed="false">
      <c r="A1692" s="4" t="s">
        <v>24</v>
      </c>
      <c r="B1692" s="4" t="s">
        <v>19</v>
      </c>
      <c r="C1692" s="4" t="n">
        <v>24</v>
      </c>
      <c r="D1692" s="5" t="n">
        <v>38</v>
      </c>
      <c r="E1692" s="6" t="n">
        <f aca="false">DATE(2024,10,10)</f>
        <v>45575</v>
      </c>
      <c r="F1692" s="7" t="n">
        <f aca="false">C1692*D1692</f>
        <v>912</v>
      </c>
      <c r="G1692" s="7" t="n">
        <f aca="false">ROUND(F1692*0.2,2)</f>
        <v>182.4</v>
      </c>
      <c r="H1692" s="4" t="str">
        <f aca="false">IF(F1692&gt;500,"Yüksek",IF(F1692&gt;100,"Orta","Düşük"))</f>
        <v>Yüksek</v>
      </c>
    </row>
    <row r="1693" customFormat="false" ht="12.8" hidden="false" customHeight="false" outlineLevel="0" collapsed="false">
      <c r="A1693" s="4" t="s">
        <v>10</v>
      </c>
      <c r="B1693" s="4" t="s">
        <v>11</v>
      </c>
      <c r="C1693" s="4" t="n">
        <v>31</v>
      </c>
      <c r="D1693" s="5" t="n">
        <v>5</v>
      </c>
      <c r="E1693" s="6" t="n">
        <f aca="false">DATE(2024,11,11)</f>
        <v>45607</v>
      </c>
      <c r="F1693" s="7" t="n">
        <f aca="false">C1693*D1693</f>
        <v>155</v>
      </c>
      <c r="G1693" s="7" t="n">
        <f aca="false">ROUND(F1693*0.2,2)</f>
        <v>31</v>
      </c>
      <c r="H1693" s="4" t="str">
        <f aca="false">IF(F1693&gt;500,"Yüksek",IF(F1693&gt;100,"Orta","Düşük"))</f>
        <v>Orta</v>
      </c>
    </row>
    <row r="1694" customFormat="false" ht="12.8" hidden="false" customHeight="false" outlineLevel="0" collapsed="false">
      <c r="A1694" s="4" t="s">
        <v>12</v>
      </c>
      <c r="B1694" s="4" t="s">
        <v>13</v>
      </c>
      <c r="C1694" s="4" t="n">
        <v>38</v>
      </c>
      <c r="D1694" s="5" t="n">
        <v>7.75</v>
      </c>
      <c r="E1694" s="6" t="n">
        <f aca="false">DATE(2024,12,12)</f>
        <v>45638</v>
      </c>
      <c r="F1694" s="7" t="n">
        <f aca="false">C1694*D1694</f>
        <v>294.5</v>
      </c>
      <c r="G1694" s="7" t="n">
        <f aca="false">ROUND(F1694*0.2,2)</f>
        <v>58.9</v>
      </c>
      <c r="H1694" s="4" t="str">
        <f aca="false">IF(F1694&gt;500,"Yüksek",IF(F1694&gt;100,"Orta","Düşük"))</f>
        <v>Orta</v>
      </c>
    </row>
    <row r="1695" customFormat="false" ht="12.8" hidden="false" customHeight="false" outlineLevel="0" collapsed="false">
      <c r="A1695" s="4" t="s">
        <v>14</v>
      </c>
      <c r="B1695" s="4" t="s">
        <v>15</v>
      </c>
      <c r="C1695" s="4" t="n">
        <v>45</v>
      </c>
      <c r="D1695" s="5" t="n">
        <v>10.5</v>
      </c>
      <c r="E1695" s="6" t="n">
        <f aca="false">DATE(2024,1,13)</f>
        <v>45304</v>
      </c>
      <c r="F1695" s="7" t="n">
        <f aca="false">C1695*D1695</f>
        <v>472.5</v>
      </c>
      <c r="G1695" s="7" t="n">
        <f aca="false">ROUND(F1695*0.2,2)</f>
        <v>94.5</v>
      </c>
      <c r="H1695" s="4" t="str">
        <f aca="false">IF(F1695&gt;500,"Yüksek",IF(F1695&gt;100,"Orta","Düşük"))</f>
        <v>Orta</v>
      </c>
    </row>
    <row r="1696" customFormat="false" ht="12.8" hidden="false" customHeight="false" outlineLevel="0" collapsed="false">
      <c r="A1696" s="4" t="s">
        <v>16</v>
      </c>
      <c r="B1696" s="4" t="s">
        <v>17</v>
      </c>
      <c r="C1696" s="4" t="n">
        <v>2</v>
      </c>
      <c r="D1696" s="5" t="n">
        <v>13.25</v>
      </c>
      <c r="E1696" s="6" t="n">
        <f aca="false">DATE(2024,2,14)</f>
        <v>45336</v>
      </c>
      <c r="F1696" s="7" t="n">
        <f aca="false">C1696*D1696</f>
        <v>26.5</v>
      </c>
      <c r="G1696" s="7" t="n">
        <f aca="false">ROUND(F1696*0.2,2)</f>
        <v>5.3</v>
      </c>
      <c r="H1696" s="4" t="str">
        <f aca="false">IF(F1696&gt;500,"Yüksek",IF(F1696&gt;100,"Orta","Düşük"))</f>
        <v>Düşük</v>
      </c>
    </row>
    <row r="1697" customFormat="false" ht="12.8" hidden="false" customHeight="false" outlineLevel="0" collapsed="false">
      <c r="A1697" s="4" t="s">
        <v>18</v>
      </c>
      <c r="B1697" s="4" t="s">
        <v>19</v>
      </c>
      <c r="C1697" s="4" t="n">
        <v>9</v>
      </c>
      <c r="D1697" s="5" t="n">
        <v>16</v>
      </c>
      <c r="E1697" s="6" t="n">
        <f aca="false">DATE(2024,3,15)</f>
        <v>45366</v>
      </c>
      <c r="F1697" s="7" t="n">
        <f aca="false">C1697*D1697</f>
        <v>144</v>
      </c>
      <c r="G1697" s="7" t="n">
        <f aca="false">ROUND(F1697*0.2,2)</f>
        <v>28.8</v>
      </c>
      <c r="H1697" s="4" t="str">
        <f aca="false">IF(F1697&gt;500,"Yüksek",IF(F1697&gt;100,"Orta","Düşük"))</f>
        <v>Orta</v>
      </c>
    </row>
    <row r="1698" customFormat="false" ht="12.8" hidden="false" customHeight="false" outlineLevel="0" collapsed="false">
      <c r="A1698" s="4" t="s">
        <v>20</v>
      </c>
      <c r="B1698" s="4" t="s">
        <v>11</v>
      </c>
      <c r="C1698" s="4" t="n">
        <v>16</v>
      </c>
      <c r="D1698" s="5" t="n">
        <v>18.75</v>
      </c>
      <c r="E1698" s="6" t="n">
        <f aca="false">DATE(2024,4,16)</f>
        <v>45398</v>
      </c>
      <c r="F1698" s="7" t="n">
        <f aca="false">C1698*D1698</f>
        <v>300</v>
      </c>
      <c r="G1698" s="7" t="n">
        <f aca="false">ROUND(F1698*0.2,2)</f>
        <v>60</v>
      </c>
      <c r="H1698" s="4" t="str">
        <f aca="false">IF(F1698&gt;500,"Yüksek",IF(F1698&gt;100,"Orta","Düşük"))</f>
        <v>Orta</v>
      </c>
    </row>
    <row r="1699" customFormat="false" ht="12.8" hidden="false" customHeight="false" outlineLevel="0" collapsed="false">
      <c r="A1699" s="4" t="s">
        <v>21</v>
      </c>
      <c r="B1699" s="4" t="s">
        <v>13</v>
      </c>
      <c r="C1699" s="4" t="n">
        <v>23</v>
      </c>
      <c r="D1699" s="5" t="n">
        <v>21.5</v>
      </c>
      <c r="E1699" s="6" t="n">
        <f aca="false">DATE(2024,5,17)</f>
        <v>45429</v>
      </c>
      <c r="F1699" s="7" t="n">
        <f aca="false">C1699*D1699</f>
        <v>494.5</v>
      </c>
      <c r="G1699" s="7" t="n">
        <f aca="false">ROUND(F1699*0.2,2)</f>
        <v>98.9</v>
      </c>
      <c r="H1699" s="4" t="str">
        <f aca="false">IF(F1699&gt;500,"Yüksek",IF(F1699&gt;100,"Orta","Düşük"))</f>
        <v>Orta</v>
      </c>
    </row>
    <row r="1700" customFormat="false" ht="12.8" hidden="false" customHeight="false" outlineLevel="0" collapsed="false">
      <c r="A1700" s="4" t="s">
        <v>22</v>
      </c>
      <c r="B1700" s="4" t="s">
        <v>15</v>
      </c>
      <c r="C1700" s="4" t="n">
        <v>30</v>
      </c>
      <c r="D1700" s="5" t="n">
        <v>24.25</v>
      </c>
      <c r="E1700" s="6" t="n">
        <f aca="false">DATE(2024,6,18)</f>
        <v>45461</v>
      </c>
      <c r="F1700" s="7" t="n">
        <f aca="false">C1700*D1700</f>
        <v>727.5</v>
      </c>
      <c r="G1700" s="7" t="n">
        <f aca="false">ROUND(F1700*0.2,2)</f>
        <v>145.5</v>
      </c>
      <c r="H1700" s="4" t="str">
        <f aca="false">IF(F1700&gt;500,"Yüksek",IF(F1700&gt;100,"Orta","Düşük"))</f>
        <v>Yüksek</v>
      </c>
    </row>
    <row r="1701" customFormat="false" ht="12.8" hidden="false" customHeight="false" outlineLevel="0" collapsed="false">
      <c r="A1701" s="4" t="s">
        <v>23</v>
      </c>
      <c r="B1701" s="4" t="s">
        <v>17</v>
      </c>
      <c r="C1701" s="4" t="n">
        <v>37</v>
      </c>
      <c r="D1701" s="5" t="n">
        <v>27</v>
      </c>
      <c r="E1701" s="6" t="n">
        <f aca="false">DATE(2024,7,19)</f>
        <v>45492</v>
      </c>
      <c r="F1701" s="7" t="n">
        <f aca="false">C1701*D1701</f>
        <v>999</v>
      </c>
      <c r="G1701" s="7" t="n">
        <f aca="false">ROUND(F1701*0.2,2)</f>
        <v>199.8</v>
      </c>
      <c r="H1701" s="4" t="str">
        <f aca="false">IF(F1701&gt;500,"Yüksek",IF(F1701&gt;100,"Orta","Düşük"))</f>
        <v>Yüksek</v>
      </c>
    </row>
    <row r="1702" customFormat="false" ht="12.8" hidden="false" customHeight="false" outlineLevel="0" collapsed="false">
      <c r="A1702" s="4" t="s">
        <v>24</v>
      </c>
      <c r="B1702" s="4" t="s">
        <v>19</v>
      </c>
      <c r="C1702" s="4" t="n">
        <v>44</v>
      </c>
      <c r="D1702" s="5" t="n">
        <v>29.75</v>
      </c>
      <c r="E1702" s="6" t="n">
        <f aca="false">DATE(2024,8,20)</f>
        <v>45524</v>
      </c>
      <c r="F1702" s="7" t="n">
        <f aca="false">C1702*D1702</f>
        <v>1309</v>
      </c>
      <c r="G1702" s="7" t="n">
        <f aca="false">ROUND(F1702*0.2,2)</f>
        <v>261.8</v>
      </c>
      <c r="H1702" s="4" t="str">
        <f aca="false">IF(F1702&gt;500,"Yüksek",IF(F1702&gt;100,"Orta","Düşük"))</f>
        <v>Yüksek</v>
      </c>
    </row>
    <row r="1703" customFormat="false" ht="12.8" hidden="false" customHeight="false" outlineLevel="0" collapsed="false">
      <c r="A1703" s="4" t="s">
        <v>10</v>
      </c>
      <c r="B1703" s="4" t="s">
        <v>11</v>
      </c>
      <c r="C1703" s="4" t="n">
        <v>1</v>
      </c>
      <c r="D1703" s="5" t="n">
        <v>32.5</v>
      </c>
      <c r="E1703" s="6" t="n">
        <f aca="false">DATE(2024,9,21)</f>
        <v>45556</v>
      </c>
      <c r="F1703" s="7" t="n">
        <f aca="false">C1703*D1703</f>
        <v>32.5</v>
      </c>
      <c r="G1703" s="7" t="n">
        <f aca="false">ROUND(F1703*0.2,2)</f>
        <v>6.5</v>
      </c>
      <c r="H1703" s="4" t="str">
        <f aca="false">IF(F1703&gt;500,"Yüksek",IF(F1703&gt;100,"Orta","Düşük"))</f>
        <v>Düşük</v>
      </c>
    </row>
    <row r="1704" customFormat="false" ht="12.8" hidden="false" customHeight="false" outlineLevel="0" collapsed="false">
      <c r="A1704" s="4" t="s">
        <v>12</v>
      </c>
      <c r="B1704" s="4" t="s">
        <v>13</v>
      </c>
      <c r="C1704" s="4" t="n">
        <v>8</v>
      </c>
      <c r="D1704" s="5" t="n">
        <v>35.25</v>
      </c>
      <c r="E1704" s="6" t="n">
        <f aca="false">DATE(2024,10,22)</f>
        <v>45587</v>
      </c>
      <c r="F1704" s="7" t="n">
        <f aca="false">C1704*D1704</f>
        <v>282</v>
      </c>
      <c r="G1704" s="7" t="n">
        <f aca="false">ROUND(F1704*0.2,2)</f>
        <v>56.4</v>
      </c>
      <c r="H1704" s="4" t="str">
        <f aca="false">IF(F1704&gt;500,"Yüksek",IF(F1704&gt;100,"Orta","Düşük"))</f>
        <v>Orta</v>
      </c>
    </row>
    <row r="1705" customFormat="false" ht="12.8" hidden="false" customHeight="false" outlineLevel="0" collapsed="false">
      <c r="A1705" s="4" t="s">
        <v>14</v>
      </c>
      <c r="B1705" s="4" t="s">
        <v>15</v>
      </c>
      <c r="C1705" s="4" t="n">
        <v>15</v>
      </c>
      <c r="D1705" s="5" t="n">
        <v>38</v>
      </c>
      <c r="E1705" s="6" t="n">
        <f aca="false">DATE(2024,11,23)</f>
        <v>45619</v>
      </c>
      <c r="F1705" s="7" t="n">
        <f aca="false">C1705*D1705</f>
        <v>570</v>
      </c>
      <c r="G1705" s="7" t="n">
        <f aca="false">ROUND(F1705*0.2,2)</f>
        <v>114</v>
      </c>
      <c r="H1705" s="4" t="str">
        <f aca="false">IF(F1705&gt;500,"Yüksek",IF(F1705&gt;100,"Orta","Düşük"))</f>
        <v>Yüksek</v>
      </c>
    </row>
    <row r="1706" customFormat="false" ht="12.8" hidden="false" customHeight="false" outlineLevel="0" collapsed="false">
      <c r="A1706" s="4" t="s">
        <v>16</v>
      </c>
      <c r="B1706" s="4" t="s">
        <v>17</v>
      </c>
      <c r="C1706" s="4" t="n">
        <v>22</v>
      </c>
      <c r="D1706" s="5" t="n">
        <v>5</v>
      </c>
      <c r="E1706" s="6" t="n">
        <f aca="false">DATE(2024,12,24)</f>
        <v>45650</v>
      </c>
      <c r="F1706" s="7" t="n">
        <f aca="false">C1706*D1706</f>
        <v>110</v>
      </c>
      <c r="G1706" s="7" t="n">
        <f aca="false">ROUND(F1706*0.2,2)</f>
        <v>22</v>
      </c>
      <c r="H1706" s="4" t="str">
        <f aca="false">IF(F1706&gt;500,"Yüksek",IF(F1706&gt;100,"Orta","Düşük"))</f>
        <v>Orta</v>
      </c>
    </row>
    <row r="1707" customFormat="false" ht="12.8" hidden="false" customHeight="false" outlineLevel="0" collapsed="false">
      <c r="A1707" s="4" t="s">
        <v>18</v>
      </c>
      <c r="B1707" s="4" t="s">
        <v>19</v>
      </c>
      <c r="C1707" s="4" t="n">
        <v>29</v>
      </c>
      <c r="D1707" s="5" t="n">
        <v>7.75</v>
      </c>
      <c r="E1707" s="6" t="n">
        <f aca="false">DATE(2024,1,25)</f>
        <v>45316</v>
      </c>
      <c r="F1707" s="7" t="n">
        <f aca="false">C1707*D1707</f>
        <v>224.75</v>
      </c>
      <c r="G1707" s="7" t="n">
        <f aca="false">ROUND(F1707*0.2,2)</f>
        <v>44.95</v>
      </c>
      <c r="H1707" s="4" t="str">
        <f aca="false">IF(F1707&gt;500,"Yüksek",IF(F1707&gt;100,"Orta","Düşük"))</f>
        <v>Orta</v>
      </c>
    </row>
    <row r="1708" customFormat="false" ht="12.8" hidden="false" customHeight="false" outlineLevel="0" collapsed="false">
      <c r="A1708" s="4" t="s">
        <v>20</v>
      </c>
      <c r="B1708" s="4" t="s">
        <v>11</v>
      </c>
      <c r="C1708" s="4" t="n">
        <v>36</v>
      </c>
      <c r="D1708" s="5" t="n">
        <v>10.5</v>
      </c>
      <c r="E1708" s="6" t="n">
        <f aca="false">DATE(2024,2,26)</f>
        <v>45348</v>
      </c>
      <c r="F1708" s="7" t="n">
        <f aca="false">C1708*D1708</f>
        <v>378</v>
      </c>
      <c r="G1708" s="7" t="n">
        <f aca="false">ROUND(F1708*0.2,2)</f>
        <v>75.6</v>
      </c>
      <c r="H1708" s="4" t="str">
        <f aca="false">IF(F1708&gt;500,"Yüksek",IF(F1708&gt;100,"Orta","Düşük"))</f>
        <v>Orta</v>
      </c>
    </row>
    <row r="1709" customFormat="false" ht="12.8" hidden="false" customHeight="false" outlineLevel="0" collapsed="false">
      <c r="A1709" s="4" t="s">
        <v>21</v>
      </c>
      <c r="B1709" s="4" t="s">
        <v>13</v>
      </c>
      <c r="C1709" s="4" t="n">
        <v>43</v>
      </c>
      <c r="D1709" s="5" t="n">
        <v>13.25</v>
      </c>
      <c r="E1709" s="6" t="n">
        <f aca="false">DATE(2024,3,27)</f>
        <v>45378</v>
      </c>
      <c r="F1709" s="7" t="n">
        <f aca="false">C1709*D1709</f>
        <v>569.75</v>
      </c>
      <c r="G1709" s="7" t="n">
        <f aca="false">ROUND(F1709*0.2,2)</f>
        <v>113.95</v>
      </c>
      <c r="H1709" s="4" t="str">
        <f aca="false">IF(F1709&gt;500,"Yüksek",IF(F1709&gt;100,"Orta","Düşük"))</f>
        <v>Yüksek</v>
      </c>
    </row>
    <row r="1710" customFormat="false" ht="12.8" hidden="false" customHeight="false" outlineLevel="0" collapsed="false">
      <c r="A1710" s="4" t="s">
        <v>22</v>
      </c>
      <c r="B1710" s="4" t="s">
        <v>15</v>
      </c>
      <c r="C1710" s="4" t="n">
        <v>50</v>
      </c>
      <c r="D1710" s="5" t="n">
        <v>16</v>
      </c>
      <c r="E1710" s="6" t="n">
        <f aca="false">DATE(2024,4,28)</f>
        <v>45410</v>
      </c>
      <c r="F1710" s="7" t="n">
        <f aca="false">C1710*D1710</f>
        <v>800</v>
      </c>
      <c r="G1710" s="7" t="n">
        <f aca="false">ROUND(F1710*0.2,2)</f>
        <v>160</v>
      </c>
      <c r="H1710" s="4" t="str">
        <f aca="false">IF(F1710&gt;500,"Yüksek",IF(F1710&gt;100,"Orta","Düşük"))</f>
        <v>Yüksek</v>
      </c>
    </row>
    <row r="1711" customFormat="false" ht="12.8" hidden="false" customHeight="false" outlineLevel="0" collapsed="false">
      <c r="A1711" s="4" t="s">
        <v>23</v>
      </c>
      <c r="B1711" s="4" t="s">
        <v>17</v>
      </c>
      <c r="C1711" s="4" t="n">
        <v>7</v>
      </c>
      <c r="D1711" s="5" t="n">
        <v>18.75</v>
      </c>
      <c r="E1711" s="6" t="n">
        <f aca="false">DATE(2024,5,1)</f>
        <v>45413</v>
      </c>
      <c r="F1711" s="7" t="n">
        <f aca="false">C1711*D1711</f>
        <v>131.25</v>
      </c>
      <c r="G1711" s="7" t="n">
        <f aca="false">ROUND(F1711*0.2,2)</f>
        <v>26.25</v>
      </c>
      <c r="H1711" s="4" t="str">
        <f aca="false">IF(F1711&gt;500,"Yüksek",IF(F1711&gt;100,"Orta","Düşük"))</f>
        <v>Orta</v>
      </c>
    </row>
    <row r="1712" customFormat="false" ht="12.8" hidden="false" customHeight="false" outlineLevel="0" collapsed="false">
      <c r="A1712" s="4" t="s">
        <v>24</v>
      </c>
      <c r="B1712" s="4" t="s">
        <v>19</v>
      </c>
      <c r="C1712" s="4" t="n">
        <v>14</v>
      </c>
      <c r="D1712" s="5" t="n">
        <v>21.5</v>
      </c>
      <c r="E1712" s="6" t="n">
        <f aca="false">DATE(2024,6,2)</f>
        <v>45445</v>
      </c>
      <c r="F1712" s="7" t="n">
        <f aca="false">C1712*D1712</f>
        <v>301</v>
      </c>
      <c r="G1712" s="7" t="n">
        <f aca="false">ROUND(F1712*0.2,2)</f>
        <v>60.2</v>
      </c>
      <c r="H1712" s="4" t="str">
        <f aca="false">IF(F1712&gt;500,"Yüksek",IF(F1712&gt;100,"Orta","Düşük"))</f>
        <v>Orta</v>
      </c>
    </row>
    <row r="1713" customFormat="false" ht="12.8" hidden="false" customHeight="false" outlineLevel="0" collapsed="false">
      <c r="A1713" s="4" t="s">
        <v>10</v>
      </c>
      <c r="B1713" s="4" t="s">
        <v>11</v>
      </c>
      <c r="C1713" s="4" t="n">
        <v>21</v>
      </c>
      <c r="D1713" s="5" t="n">
        <v>24.25</v>
      </c>
      <c r="E1713" s="6" t="n">
        <f aca="false">DATE(2024,7,3)</f>
        <v>45476</v>
      </c>
      <c r="F1713" s="7" t="n">
        <f aca="false">C1713*D1713</f>
        <v>509.25</v>
      </c>
      <c r="G1713" s="7" t="n">
        <f aca="false">ROUND(F1713*0.2,2)</f>
        <v>101.85</v>
      </c>
      <c r="H1713" s="4" t="str">
        <f aca="false">IF(F1713&gt;500,"Yüksek",IF(F1713&gt;100,"Orta","Düşük"))</f>
        <v>Yüksek</v>
      </c>
    </row>
    <row r="1714" customFormat="false" ht="12.8" hidden="false" customHeight="false" outlineLevel="0" collapsed="false">
      <c r="A1714" s="4" t="s">
        <v>12</v>
      </c>
      <c r="B1714" s="4" t="s">
        <v>13</v>
      </c>
      <c r="C1714" s="4" t="n">
        <v>28</v>
      </c>
      <c r="D1714" s="5" t="n">
        <v>27</v>
      </c>
      <c r="E1714" s="6" t="n">
        <f aca="false">DATE(2024,8,4)</f>
        <v>45508</v>
      </c>
      <c r="F1714" s="7" t="n">
        <f aca="false">C1714*D1714</f>
        <v>756</v>
      </c>
      <c r="G1714" s="7" t="n">
        <f aca="false">ROUND(F1714*0.2,2)</f>
        <v>151.2</v>
      </c>
      <c r="H1714" s="4" t="str">
        <f aca="false">IF(F1714&gt;500,"Yüksek",IF(F1714&gt;100,"Orta","Düşük"))</f>
        <v>Yüksek</v>
      </c>
    </row>
    <row r="1715" customFormat="false" ht="12.8" hidden="false" customHeight="false" outlineLevel="0" collapsed="false">
      <c r="A1715" s="4" t="s">
        <v>14</v>
      </c>
      <c r="B1715" s="4" t="s">
        <v>15</v>
      </c>
      <c r="C1715" s="4" t="n">
        <v>35</v>
      </c>
      <c r="D1715" s="5" t="n">
        <v>29.75</v>
      </c>
      <c r="E1715" s="6" t="n">
        <f aca="false">DATE(2024,9,5)</f>
        <v>45540</v>
      </c>
      <c r="F1715" s="7" t="n">
        <f aca="false">C1715*D1715</f>
        <v>1041.25</v>
      </c>
      <c r="G1715" s="7" t="n">
        <f aca="false">ROUND(F1715*0.2,2)</f>
        <v>208.25</v>
      </c>
      <c r="H1715" s="4" t="str">
        <f aca="false">IF(F1715&gt;500,"Yüksek",IF(F1715&gt;100,"Orta","Düşük"))</f>
        <v>Yüksek</v>
      </c>
    </row>
    <row r="1716" customFormat="false" ht="12.8" hidden="false" customHeight="false" outlineLevel="0" collapsed="false">
      <c r="A1716" s="4" t="s">
        <v>16</v>
      </c>
      <c r="B1716" s="4" t="s">
        <v>17</v>
      </c>
      <c r="C1716" s="4" t="n">
        <v>42</v>
      </c>
      <c r="D1716" s="5" t="n">
        <v>32.5</v>
      </c>
      <c r="E1716" s="6" t="n">
        <f aca="false">DATE(2024,10,6)</f>
        <v>45571</v>
      </c>
      <c r="F1716" s="7" t="n">
        <f aca="false">C1716*D1716</f>
        <v>1365</v>
      </c>
      <c r="G1716" s="7" t="n">
        <f aca="false">ROUND(F1716*0.2,2)</f>
        <v>273</v>
      </c>
      <c r="H1716" s="4" t="str">
        <f aca="false">IF(F1716&gt;500,"Yüksek",IF(F1716&gt;100,"Orta","Düşük"))</f>
        <v>Yüksek</v>
      </c>
    </row>
    <row r="1717" customFormat="false" ht="12.8" hidden="false" customHeight="false" outlineLevel="0" collapsed="false">
      <c r="A1717" s="4" t="s">
        <v>18</v>
      </c>
      <c r="B1717" s="4" t="s">
        <v>19</v>
      </c>
      <c r="C1717" s="4" t="n">
        <v>49</v>
      </c>
      <c r="D1717" s="5" t="n">
        <v>35.25</v>
      </c>
      <c r="E1717" s="6" t="n">
        <f aca="false">DATE(2024,11,7)</f>
        <v>45603</v>
      </c>
      <c r="F1717" s="7" t="n">
        <f aca="false">C1717*D1717</f>
        <v>1727.25</v>
      </c>
      <c r="G1717" s="7" t="n">
        <f aca="false">ROUND(F1717*0.2,2)</f>
        <v>345.45</v>
      </c>
      <c r="H1717" s="4" t="str">
        <f aca="false">IF(F1717&gt;500,"Yüksek",IF(F1717&gt;100,"Orta","Düşük"))</f>
        <v>Yüksek</v>
      </c>
    </row>
    <row r="1718" customFormat="false" ht="12.8" hidden="false" customHeight="false" outlineLevel="0" collapsed="false">
      <c r="A1718" s="4" t="s">
        <v>20</v>
      </c>
      <c r="B1718" s="4" t="s">
        <v>11</v>
      </c>
      <c r="C1718" s="4" t="n">
        <v>6</v>
      </c>
      <c r="D1718" s="5" t="n">
        <v>38</v>
      </c>
      <c r="E1718" s="6" t="n">
        <f aca="false">DATE(2024,12,8)</f>
        <v>45634</v>
      </c>
      <c r="F1718" s="7" t="n">
        <f aca="false">C1718*D1718</f>
        <v>228</v>
      </c>
      <c r="G1718" s="7" t="n">
        <f aca="false">ROUND(F1718*0.2,2)</f>
        <v>45.6</v>
      </c>
      <c r="H1718" s="4" t="str">
        <f aca="false">IF(F1718&gt;500,"Yüksek",IF(F1718&gt;100,"Orta","Düşük"))</f>
        <v>Orta</v>
      </c>
    </row>
    <row r="1719" customFormat="false" ht="12.8" hidden="false" customHeight="false" outlineLevel="0" collapsed="false">
      <c r="A1719" s="4" t="s">
        <v>21</v>
      </c>
      <c r="B1719" s="4" t="s">
        <v>13</v>
      </c>
      <c r="C1719" s="4" t="n">
        <v>13</v>
      </c>
      <c r="D1719" s="5" t="n">
        <v>5</v>
      </c>
      <c r="E1719" s="6" t="n">
        <f aca="false">DATE(2024,1,9)</f>
        <v>45300</v>
      </c>
      <c r="F1719" s="7" t="n">
        <f aca="false">C1719*D1719</f>
        <v>65</v>
      </c>
      <c r="G1719" s="7" t="n">
        <f aca="false">ROUND(F1719*0.2,2)</f>
        <v>13</v>
      </c>
      <c r="H1719" s="4" t="str">
        <f aca="false">IF(F1719&gt;500,"Yüksek",IF(F1719&gt;100,"Orta","Düşük"))</f>
        <v>Düşük</v>
      </c>
    </row>
    <row r="1720" customFormat="false" ht="12.8" hidden="false" customHeight="false" outlineLevel="0" collapsed="false">
      <c r="A1720" s="4" t="s">
        <v>22</v>
      </c>
      <c r="B1720" s="4" t="s">
        <v>15</v>
      </c>
      <c r="C1720" s="4" t="n">
        <v>20</v>
      </c>
      <c r="D1720" s="5" t="n">
        <v>7.75</v>
      </c>
      <c r="E1720" s="6" t="n">
        <f aca="false">DATE(2024,2,10)</f>
        <v>45332</v>
      </c>
      <c r="F1720" s="7" t="n">
        <f aca="false">C1720*D1720</f>
        <v>155</v>
      </c>
      <c r="G1720" s="7" t="n">
        <f aca="false">ROUND(F1720*0.2,2)</f>
        <v>31</v>
      </c>
      <c r="H1720" s="4" t="str">
        <f aca="false">IF(F1720&gt;500,"Yüksek",IF(F1720&gt;100,"Orta","Düşük"))</f>
        <v>Orta</v>
      </c>
    </row>
    <row r="1721" customFormat="false" ht="12.8" hidden="false" customHeight="false" outlineLevel="0" collapsed="false">
      <c r="A1721" s="4" t="s">
        <v>23</v>
      </c>
      <c r="B1721" s="4" t="s">
        <v>17</v>
      </c>
      <c r="C1721" s="4" t="n">
        <v>27</v>
      </c>
      <c r="D1721" s="5" t="n">
        <v>10.5</v>
      </c>
      <c r="E1721" s="6" t="n">
        <f aca="false">DATE(2024,3,11)</f>
        <v>45362</v>
      </c>
      <c r="F1721" s="7" t="n">
        <f aca="false">C1721*D1721</f>
        <v>283.5</v>
      </c>
      <c r="G1721" s="7" t="n">
        <f aca="false">ROUND(F1721*0.2,2)</f>
        <v>56.7</v>
      </c>
      <c r="H1721" s="4" t="str">
        <f aca="false">IF(F1721&gt;500,"Yüksek",IF(F1721&gt;100,"Orta","Düşük"))</f>
        <v>Orta</v>
      </c>
    </row>
    <row r="1722" customFormat="false" ht="12.8" hidden="false" customHeight="false" outlineLevel="0" collapsed="false">
      <c r="A1722" s="4" t="s">
        <v>24</v>
      </c>
      <c r="B1722" s="4" t="s">
        <v>19</v>
      </c>
      <c r="C1722" s="4" t="n">
        <v>34</v>
      </c>
      <c r="D1722" s="5" t="n">
        <v>13.25</v>
      </c>
      <c r="E1722" s="6" t="n">
        <f aca="false">DATE(2024,4,12)</f>
        <v>45394</v>
      </c>
      <c r="F1722" s="7" t="n">
        <f aca="false">C1722*D1722</f>
        <v>450.5</v>
      </c>
      <c r="G1722" s="7" t="n">
        <f aca="false">ROUND(F1722*0.2,2)</f>
        <v>90.1</v>
      </c>
      <c r="H1722" s="4" t="str">
        <f aca="false">IF(F1722&gt;500,"Yüksek",IF(F1722&gt;100,"Orta","Düşük"))</f>
        <v>Orta</v>
      </c>
    </row>
    <row r="1723" customFormat="false" ht="12.8" hidden="false" customHeight="false" outlineLevel="0" collapsed="false">
      <c r="A1723" s="4" t="s">
        <v>10</v>
      </c>
      <c r="B1723" s="4" t="s">
        <v>11</v>
      </c>
      <c r="C1723" s="4" t="n">
        <v>41</v>
      </c>
      <c r="D1723" s="5" t="n">
        <v>16</v>
      </c>
      <c r="E1723" s="6" t="n">
        <f aca="false">DATE(2024,5,13)</f>
        <v>45425</v>
      </c>
      <c r="F1723" s="7" t="n">
        <f aca="false">C1723*D1723</f>
        <v>656</v>
      </c>
      <c r="G1723" s="7" t="n">
        <f aca="false">ROUND(F1723*0.2,2)</f>
        <v>131.2</v>
      </c>
      <c r="H1723" s="4" t="str">
        <f aca="false">IF(F1723&gt;500,"Yüksek",IF(F1723&gt;100,"Orta","Düşük"))</f>
        <v>Yüksek</v>
      </c>
    </row>
    <row r="1724" customFormat="false" ht="12.8" hidden="false" customHeight="false" outlineLevel="0" collapsed="false">
      <c r="A1724" s="4" t="s">
        <v>12</v>
      </c>
      <c r="B1724" s="4" t="s">
        <v>13</v>
      </c>
      <c r="C1724" s="4" t="n">
        <v>48</v>
      </c>
      <c r="D1724" s="5" t="n">
        <v>18.75</v>
      </c>
      <c r="E1724" s="6" t="n">
        <f aca="false">DATE(2024,6,14)</f>
        <v>45457</v>
      </c>
      <c r="F1724" s="7" t="n">
        <f aca="false">C1724*D1724</f>
        <v>900</v>
      </c>
      <c r="G1724" s="7" t="n">
        <f aca="false">ROUND(F1724*0.2,2)</f>
        <v>180</v>
      </c>
      <c r="H1724" s="4" t="str">
        <f aca="false">IF(F1724&gt;500,"Yüksek",IF(F1724&gt;100,"Orta","Düşük"))</f>
        <v>Yüksek</v>
      </c>
    </row>
    <row r="1725" customFormat="false" ht="12.8" hidden="false" customHeight="false" outlineLevel="0" collapsed="false">
      <c r="A1725" s="4" t="s">
        <v>14</v>
      </c>
      <c r="B1725" s="4" t="s">
        <v>15</v>
      </c>
      <c r="C1725" s="4" t="n">
        <v>5</v>
      </c>
      <c r="D1725" s="5" t="n">
        <v>21.5</v>
      </c>
      <c r="E1725" s="6" t="n">
        <f aca="false">DATE(2024,7,15)</f>
        <v>45488</v>
      </c>
      <c r="F1725" s="7" t="n">
        <f aca="false">C1725*D1725</f>
        <v>107.5</v>
      </c>
      <c r="G1725" s="7" t="n">
        <f aca="false">ROUND(F1725*0.2,2)</f>
        <v>21.5</v>
      </c>
      <c r="H1725" s="4" t="str">
        <f aca="false">IF(F1725&gt;500,"Yüksek",IF(F1725&gt;100,"Orta","Düşük"))</f>
        <v>Orta</v>
      </c>
    </row>
    <row r="1726" customFormat="false" ht="12.8" hidden="false" customHeight="false" outlineLevel="0" collapsed="false">
      <c r="A1726" s="4" t="s">
        <v>16</v>
      </c>
      <c r="B1726" s="4" t="s">
        <v>17</v>
      </c>
      <c r="C1726" s="4" t="n">
        <v>12</v>
      </c>
      <c r="D1726" s="5" t="n">
        <v>24.25</v>
      </c>
      <c r="E1726" s="6" t="n">
        <f aca="false">DATE(2024,8,16)</f>
        <v>45520</v>
      </c>
      <c r="F1726" s="7" t="n">
        <f aca="false">C1726*D1726</f>
        <v>291</v>
      </c>
      <c r="G1726" s="7" t="n">
        <f aca="false">ROUND(F1726*0.2,2)</f>
        <v>58.2</v>
      </c>
      <c r="H1726" s="4" t="str">
        <f aca="false">IF(F1726&gt;500,"Yüksek",IF(F1726&gt;100,"Orta","Düşük"))</f>
        <v>Orta</v>
      </c>
    </row>
    <row r="1727" customFormat="false" ht="12.8" hidden="false" customHeight="false" outlineLevel="0" collapsed="false">
      <c r="A1727" s="4" t="s">
        <v>18</v>
      </c>
      <c r="B1727" s="4" t="s">
        <v>19</v>
      </c>
      <c r="C1727" s="4" t="n">
        <v>19</v>
      </c>
      <c r="D1727" s="5" t="n">
        <v>27</v>
      </c>
      <c r="E1727" s="6" t="n">
        <f aca="false">DATE(2024,9,17)</f>
        <v>45552</v>
      </c>
      <c r="F1727" s="7" t="n">
        <f aca="false">C1727*D1727</f>
        <v>513</v>
      </c>
      <c r="G1727" s="7" t="n">
        <f aca="false">ROUND(F1727*0.2,2)</f>
        <v>102.6</v>
      </c>
      <c r="H1727" s="4" t="str">
        <f aca="false">IF(F1727&gt;500,"Yüksek",IF(F1727&gt;100,"Orta","Düşük"))</f>
        <v>Yüksek</v>
      </c>
    </row>
    <row r="1728" customFormat="false" ht="12.8" hidden="false" customHeight="false" outlineLevel="0" collapsed="false">
      <c r="A1728" s="4" t="s">
        <v>20</v>
      </c>
      <c r="B1728" s="4" t="s">
        <v>11</v>
      </c>
      <c r="C1728" s="4" t="n">
        <v>26</v>
      </c>
      <c r="D1728" s="5" t="n">
        <v>29.75</v>
      </c>
      <c r="E1728" s="6" t="n">
        <f aca="false">DATE(2024,10,18)</f>
        <v>45583</v>
      </c>
      <c r="F1728" s="7" t="n">
        <f aca="false">C1728*D1728</f>
        <v>773.5</v>
      </c>
      <c r="G1728" s="7" t="n">
        <f aca="false">ROUND(F1728*0.2,2)</f>
        <v>154.7</v>
      </c>
      <c r="H1728" s="4" t="str">
        <f aca="false">IF(F1728&gt;500,"Yüksek",IF(F1728&gt;100,"Orta","Düşük"))</f>
        <v>Yüksek</v>
      </c>
    </row>
    <row r="1729" customFormat="false" ht="12.8" hidden="false" customHeight="false" outlineLevel="0" collapsed="false">
      <c r="A1729" s="4" t="s">
        <v>21</v>
      </c>
      <c r="B1729" s="4" t="s">
        <v>13</v>
      </c>
      <c r="C1729" s="4" t="n">
        <v>33</v>
      </c>
      <c r="D1729" s="5" t="n">
        <v>32.5</v>
      </c>
      <c r="E1729" s="6" t="n">
        <f aca="false">DATE(2024,11,19)</f>
        <v>45615</v>
      </c>
      <c r="F1729" s="7" t="n">
        <f aca="false">C1729*D1729</f>
        <v>1072.5</v>
      </c>
      <c r="G1729" s="7" t="n">
        <f aca="false">ROUND(F1729*0.2,2)</f>
        <v>214.5</v>
      </c>
      <c r="H1729" s="4" t="str">
        <f aca="false">IF(F1729&gt;500,"Yüksek",IF(F1729&gt;100,"Orta","Düşük"))</f>
        <v>Yüksek</v>
      </c>
    </row>
    <row r="1730" customFormat="false" ht="12.8" hidden="false" customHeight="false" outlineLevel="0" collapsed="false">
      <c r="A1730" s="4" t="s">
        <v>22</v>
      </c>
      <c r="B1730" s="4" t="s">
        <v>15</v>
      </c>
      <c r="C1730" s="4" t="n">
        <v>40</v>
      </c>
      <c r="D1730" s="5" t="n">
        <v>35.25</v>
      </c>
      <c r="E1730" s="6" t="n">
        <f aca="false">DATE(2024,12,20)</f>
        <v>45646</v>
      </c>
      <c r="F1730" s="7" t="n">
        <f aca="false">C1730*D1730</f>
        <v>1410</v>
      </c>
      <c r="G1730" s="7" t="n">
        <f aca="false">ROUND(F1730*0.2,2)</f>
        <v>282</v>
      </c>
      <c r="H1730" s="4" t="str">
        <f aca="false">IF(F1730&gt;500,"Yüksek",IF(F1730&gt;100,"Orta","Düşük"))</f>
        <v>Yüksek</v>
      </c>
    </row>
    <row r="1731" customFormat="false" ht="12.8" hidden="false" customHeight="false" outlineLevel="0" collapsed="false">
      <c r="A1731" s="4" t="s">
        <v>23</v>
      </c>
      <c r="B1731" s="4" t="s">
        <v>17</v>
      </c>
      <c r="C1731" s="4" t="n">
        <v>47</v>
      </c>
      <c r="D1731" s="5" t="n">
        <v>38</v>
      </c>
      <c r="E1731" s="6" t="n">
        <f aca="false">DATE(2024,1,21)</f>
        <v>45312</v>
      </c>
      <c r="F1731" s="7" t="n">
        <f aca="false">C1731*D1731</f>
        <v>1786</v>
      </c>
      <c r="G1731" s="7" t="n">
        <f aca="false">ROUND(F1731*0.2,2)</f>
        <v>357.2</v>
      </c>
      <c r="H1731" s="4" t="str">
        <f aca="false">IF(F1731&gt;500,"Yüksek",IF(F1731&gt;100,"Orta","Düşük"))</f>
        <v>Yüksek</v>
      </c>
    </row>
    <row r="1732" customFormat="false" ht="12.8" hidden="false" customHeight="false" outlineLevel="0" collapsed="false">
      <c r="A1732" s="4" t="s">
        <v>24</v>
      </c>
      <c r="B1732" s="4" t="s">
        <v>19</v>
      </c>
      <c r="C1732" s="4" t="n">
        <v>4</v>
      </c>
      <c r="D1732" s="5" t="n">
        <v>5</v>
      </c>
      <c r="E1732" s="6" t="n">
        <f aca="false">DATE(2024,2,22)</f>
        <v>45344</v>
      </c>
      <c r="F1732" s="7" t="n">
        <f aca="false">C1732*D1732</f>
        <v>20</v>
      </c>
      <c r="G1732" s="7" t="n">
        <f aca="false">ROUND(F1732*0.2,2)</f>
        <v>4</v>
      </c>
      <c r="H1732" s="4" t="str">
        <f aca="false">IF(F1732&gt;500,"Yüksek",IF(F1732&gt;100,"Orta","Düşük"))</f>
        <v>Düşük</v>
      </c>
    </row>
    <row r="1733" customFormat="false" ht="12.8" hidden="false" customHeight="false" outlineLevel="0" collapsed="false">
      <c r="A1733" s="4" t="s">
        <v>10</v>
      </c>
      <c r="B1733" s="4" t="s">
        <v>11</v>
      </c>
      <c r="C1733" s="4" t="n">
        <v>11</v>
      </c>
      <c r="D1733" s="5" t="n">
        <v>7.75</v>
      </c>
      <c r="E1733" s="6" t="n">
        <f aca="false">DATE(2024,3,23)</f>
        <v>45374</v>
      </c>
      <c r="F1733" s="7" t="n">
        <f aca="false">C1733*D1733</f>
        <v>85.25</v>
      </c>
      <c r="G1733" s="7" t="n">
        <f aca="false">ROUND(F1733*0.2,2)</f>
        <v>17.05</v>
      </c>
      <c r="H1733" s="4" t="str">
        <f aca="false">IF(F1733&gt;500,"Yüksek",IF(F1733&gt;100,"Orta","Düşük"))</f>
        <v>Düşük</v>
      </c>
    </row>
    <row r="1734" customFormat="false" ht="12.8" hidden="false" customHeight="false" outlineLevel="0" collapsed="false">
      <c r="A1734" s="4" t="s">
        <v>12</v>
      </c>
      <c r="B1734" s="4" t="s">
        <v>13</v>
      </c>
      <c r="C1734" s="4" t="n">
        <v>18</v>
      </c>
      <c r="D1734" s="5" t="n">
        <v>10.5</v>
      </c>
      <c r="E1734" s="6" t="n">
        <f aca="false">DATE(2024,4,24)</f>
        <v>45406</v>
      </c>
      <c r="F1734" s="7" t="n">
        <f aca="false">C1734*D1734</f>
        <v>189</v>
      </c>
      <c r="G1734" s="7" t="n">
        <f aca="false">ROUND(F1734*0.2,2)</f>
        <v>37.8</v>
      </c>
      <c r="H1734" s="4" t="str">
        <f aca="false">IF(F1734&gt;500,"Yüksek",IF(F1734&gt;100,"Orta","Düşük"))</f>
        <v>Orta</v>
      </c>
    </row>
    <row r="1735" customFormat="false" ht="12.8" hidden="false" customHeight="false" outlineLevel="0" collapsed="false">
      <c r="A1735" s="4" t="s">
        <v>14</v>
      </c>
      <c r="B1735" s="4" t="s">
        <v>15</v>
      </c>
      <c r="C1735" s="4" t="n">
        <v>25</v>
      </c>
      <c r="D1735" s="5" t="n">
        <v>13.25</v>
      </c>
      <c r="E1735" s="6" t="n">
        <f aca="false">DATE(2024,5,25)</f>
        <v>45437</v>
      </c>
      <c r="F1735" s="7" t="n">
        <f aca="false">C1735*D1735</f>
        <v>331.25</v>
      </c>
      <c r="G1735" s="7" t="n">
        <f aca="false">ROUND(F1735*0.2,2)</f>
        <v>66.25</v>
      </c>
      <c r="H1735" s="4" t="str">
        <f aca="false">IF(F1735&gt;500,"Yüksek",IF(F1735&gt;100,"Orta","Düşük"))</f>
        <v>Orta</v>
      </c>
    </row>
    <row r="1736" customFormat="false" ht="12.8" hidden="false" customHeight="false" outlineLevel="0" collapsed="false">
      <c r="A1736" s="4" t="s">
        <v>16</v>
      </c>
      <c r="B1736" s="4" t="s">
        <v>17</v>
      </c>
      <c r="C1736" s="4" t="n">
        <v>32</v>
      </c>
      <c r="D1736" s="5" t="n">
        <v>16</v>
      </c>
      <c r="E1736" s="6" t="n">
        <f aca="false">DATE(2024,6,26)</f>
        <v>45469</v>
      </c>
      <c r="F1736" s="7" t="n">
        <f aca="false">C1736*D1736</f>
        <v>512</v>
      </c>
      <c r="G1736" s="7" t="n">
        <f aca="false">ROUND(F1736*0.2,2)</f>
        <v>102.4</v>
      </c>
      <c r="H1736" s="4" t="str">
        <f aca="false">IF(F1736&gt;500,"Yüksek",IF(F1736&gt;100,"Orta","Düşük"))</f>
        <v>Yüksek</v>
      </c>
    </row>
    <row r="1737" customFormat="false" ht="12.8" hidden="false" customHeight="false" outlineLevel="0" collapsed="false">
      <c r="A1737" s="4" t="s">
        <v>18</v>
      </c>
      <c r="B1737" s="4" t="s">
        <v>19</v>
      </c>
      <c r="C1737" s="4" t="n">
        <v>39</v>
      </c>
      <c r="D1737" s="5" t="n">
        <v>18.75</v>
      </c>
      <c r="E1737" s="6" t="n">
        <f aca="false">DATE(2024,7,27)</f>
        <v>45500</v>
      </c>
      <c r="F1737" s="7" t="n">
        <f aca="false">C1737*D1737</f>
        <v>731.25</v>
      </c>
      <c r="G1737" s="7" t="n">
        <f aca="false">ROUND(F1737*0.2,2)</f>
        <v>146.25</v>
      </c>
      <c r="H1737" s="4" t="str">
        <f aca="false">IF(F1737&gt;500,"Yüksek",IF(F1737&gt;100,"Orta","Düşük"))</f>
        <v>Yüksek</v>
      </c>
    </row>
    <row r="1738" customFormat="false" ht="12.8" hidden="false" customHeight="false" outlineLevel="0" collapsed="false">
      <c r="A1738" s="4" t="s">
        <v>20</v>
      </c>
      <c r="B1738" s="4" t="s">
        <v>11</v>
      </c>
      <c r="C1738" s="4" t="n">
        <v>46</v>
      </c>
      <c r="D1738" s="5" t="n">
        <v>21.5</v>
      </c>
      <c r="E1738" s="6" t="n">
        <f aca="false">DATE(2024,8,28)</f>
        <v>45532</v>
      </c>
      <c r="F1738" s="7" t="n">
        <f aca="false">C1738*D1738</f>
        <v>989</v>
      </c>
      <c r="G1738" s="7" t="n">
        <f aca="false">ROUND(F1738*0.2,2)</f>
        <v>197.8</v>
      </c>
      <c r="H1738" s="4" t="str">
        <f aca="false">IF(F1738&gt;500,"Yüksek",IF(F1738&gt;100,"Orta","Düşük"))</f>
        <v>Yüksek</v>
      </c>
    </row>
    <row r="1739" customFormat="false" ht="12.8" hidden="false" customHeight="false" outlineLevel="0" collapsed="false">
      <c r="A1739" s="4" t="s">
        <v>21</v>
      </c>
      <c r="B1739" s="4" t="s">
        <v>13</v>
      </c>
      <c r="C1739" s="4" t="n">
        <v>3</v>
      </c>
      <c r="D1739" s="5" t="n">
        <v>24.25</v>
      </c>
      <c r="E1739" s="6" t="n">
        <f aca="false">DATE(2024,9,1)</f>
        <v>45536</v>
      </c>
      <c r="F1739" s="7" t="n">
        <f aca="false">C1739*D1739</f>
        <v>72.75</v>
      </c>
      <c r="G1739" s="7" t="n">
        <f aca="false">ROUND(F1739*0.2,2)</f>
        <v>14.55</v>
      </c>
      <c r="H1739" s="4" t="str">
        <f aca="false">IF(F1739&gt;500,"Yüksek",IF(F1739&gt;100,"Orta","Düşük"))</f>
        <v>Düşük</v>
      </c>
    </row>
    <row r="1740" customFormat="false" ht="12.8" hidden="false" customHeight="false" outlineLevel="0" collapsed="false">
      <c r="A1740" s="4" t="s">
        <v>22</v>
      </c>
      <c r="B1740" s="4" t="s">
        <v>15</v>
      </c>
      <c r="C1740" s="4" t="n">
        <v>10</v>
      </c>
      <c r="D1740" s="5" t="n">
        <v>27</v>
      </c>
      <c r="E1740" s="6" t="n">
        <f aca="false">DATE(2024,10,2)</f>
        <v>45567</v>
      </c>
      <c r="F1740" s="7" t="n">
        <f aca="false">C1740*D1740</f>
        <v>270</v>
      </c>
      <c r="G1740" s="7" t="n">
        <f aca="false">ROUND(F1740*0.2,2)</f>
        <v>54</v>
      </c>
      <c r="H1740" s="4" t="str">
        <f aca="false">IF(F1740&gt;500,"Yüksek",IF(F1740&gt;100,"Orta","Düşük"))</f>
        <v>Orta</v>
      </c>
    </row>
    <row r="1741" customFormat="false" ht="12.8" hidden="false" customHeight="false" outlineLevel="0" collapsed="false">
      <c r="A1741" s="4" t="s">
        <v>23</v>
      </c>
      <c r="B1741" s="4" t="s">
        <v>17</v>
      </c>
      <c r="C1741" s="4" t="n">
        <v>17</v>
      </c>
      <c r="D1741" s="5" t="n">
        <v>29.75</v>
      </c>
      <c r="E1741" s="6" t="n">
        <f aca="false">DATE(2024,11,3)</f>
        <v>45599</v>
      </c>
      <c r="F1741" s="7" t="n">
        <f aca="false">C1741*D1741</f>
        <v>505.75</v>
      </c>
      <c r="G1741" s="7" t="n">
        <f aca="false">ROUND(F1741*0.2,2)</f>
        <v>101.15</v>
      </c>
      <c r="H1741" s="4" t="str">
        <f aca="false">IF(F1741&gt;500,"Yüksek",IF(F1741&gt;100,"Orta","Düşük"))</f>
        <v>Yüksek</v>
      </c>
    </row>
    <row r="1742" customFormat="false" ht="12.8" hidden="false" customHeight="false" outlineLevel="0" collapsed="false">
      <c r="A1742" s="4" t="s">
        <v>24</v>
      </c>
      <c r="B1742" s="4" t="s">
        <v>19</v>
      </c>
      <c r="C1742" s="4" t="n">
        <v>24</v>
      </c>
      <c r="D1742" s="5" t="n">
        <v>32.5</v>
      </c>
      <c r="E1742" s="6" t="n">
        <f aca="false">DATE(2024,12,4)</f>
        <v>45630</v>
      </c>
      <c r="F1742" s="7" t="n">
        <f aca="false">C1742*D1742</f>
        <v>780</v>
      </c>
      <c r="G1742" s="7" t="n">
        <f aca="false">ROUND(F1742*0.2,2)</f>
        <v>156</v>
      </c>
      <c r="H1742" s="4" t="str">
        <f aca="false">IF(F1742&gt;500,"Yüksek",IF(F1742&gt;100,"Orta","Düşük"))</f>
        <v>Yüksek</v>
      </c>
    </row>
    <row r="1743" customFormat="false" ht="12.8" hidden="false" customHeight="false" outlineLevel="0" collapsed="false">
      <c r="A1743" s="4" t="s">
        <v>10</v>
      </c>
      <c r="B1743" s="4" t="s">
        <v>11</v>
      </c>
      <c r="C1743" s="4" t="n">
        <v>31</v>
      </c>
      <c r="D1743" s="5" t="n">
        <v>35.25</v>
      </c>
      <c r="E1743" s="6" t="n">
        <f aca="false">DATE(2024,1,5)</f>
        <v>45296</v>
      </c>
      <c r="F1743" s="7" t="n">
        <f aca="false">C1743*D1743</f>
        <v>1092.75</v>
      </c>
      <c r="G1743" s="7" t="n">
        <f aca="false">ROUND(F1743*0.2,2)</f>
        <v>218.55</v>
      </c>
      <c r="H1743" s="4" t="str">
        <f aca="false">IF(F1743&gt;500,"Yüksek",IF(F1743&gt;100,"Orta","Düşük"))</f>
        <v>Yüksek</v>
      </c>
    </row>
    <row r="1744" customFormat="false" ht="12.8" hidden="false" customHeight="false" outlineLevel="0" collapsed="false">
      <c r="A1744" s="4" t="s">
        <v>12</v>
      </c>
      <c r="B1744" s="4" t="s">
        <v>13</v>
      </c>
      <c r="C1744" s="4" t="n">
        <v>38</v>
      </c>
      <c r="D1744" s="5" t="n">
        <v>38</v>
      </c>
      <c r="E1744" s="6" t="n">
        <f aca="false">DATE(2024,2,6)</f>
        <v>45328</v>
      </c>
      <c r="F1744" s="7" t="n">
        <f aca="false">C1744*D1744</f>
        <v>1444</v>
      </c>
      <c r="G1744" s="7" t="n">
        <f aca="false">ROUND(F1744*0.2,2)</f>
        <v>288.8</v>
      </c>
      <c r="H1744" s="4" t="str">
        <f aca="false">IF(F1744&gt;500,"Yüksek",IF(F1744&gt;100,"Orta","Düşük"))</f>
        <v>Yüksek</v>
      </c>
    </row>
    <row r="1745" customFormat="false" ht="12.8" hidden="false" customHeight="false" outlineLevel="0" collapsed="false">
      <c r="A1745" s="4" t="s">
        <v>14</v>
      </c>
      <c r="B1745" s="4" t="s">
        <v>15</v>
      </c>
      <c r="C1745" s="4" t="n">
        <v>45</v>
      </c>
      <c r="D1745" s="5" t="n">
        <v>5</v>
      </c>
      <c r="E1745" s="6" t="n">
        <f aca="false">DATE(2024,3,7)</f>
        <v>45358</v>
      </c>
      <c r="F1745" s="7" t="n">
        <f aca="false">C1745*D1745</f>
        <v>225</v>
      </c>
      <c r="G1745" s="7" t="n">
        <f aca="false">ROUND(F1745*0.2,2)</f>
        <v>45</v>
      </c>
      <c r="H1745" s="4" t="str">
        <f aca="false">IF(F1745&gt;500,"Yüksek",IF(F1745&gt;100,"Orta","Düşük"))</f>
        <v>Orta</v>
      </c>
    </row>
    <row r="1746" customFormat="false" ht="12.8" hidden="false" customHeight="false" outlineLevel="0" collapsed="false">
      <c r="A1746" s="4" t="s">
        <v>16</v>
      </c>
      <c r="B1746" s="4" t="s">
        <v>17</v>
      </c>
      <c r="C1746" s="4" t="n">
        <v>2</v>
      </c>
      <c r="D1746" s="5" t="n">
        <v>7.75</v>
      </c>
      <c r="E1746" s="6" t="n">
        <f aca="false">DATE(2024,4,8)</f>
        <v>45390</v>
      </c>
      <c r="F1746" s="7" t="n">
        <f aca="false">C1746*D1746</f>
        <v>15.5</v>
      </c>
      <c r="G1746" s="7" t="n">
        <f aca="false">ROUND(F1746*0.2,2)</f>
        <v>3.1</v>
      </c>
      <c r="H1746" s="4" t="str">
        <f aca="false">IF(F1746&gt;500,"Yüksek",IF(F1746&gt;100,"Orta","Düşük"))</f>
        <v>Düşük</v>
      </c>
    </row>
    <row r="1747" customFormat="false" ht="12.8" hidden="false" customHeight="false" outlineLevel="0" collapsed="false">
      <c r="A1747" s="4" t="s">
        <v>18</v>
      </c>
      <c r="B1747" s="4" t="s">
        <v>19</v>
      </c>
      <c r="C1747" s="4" t="n">
        <v>9</v>
      </c>
      <c r="D1747" s="5" t="n">
        <v>10.5</v>
      </c>
      <c r="E1747" s="6" t="n">
        <f aca="false">DATE(2024,5,9)</f>
        <v>45421</v>
      </c>
      <c r="F1747" s="7" t="n">
        <f aca="false">C1747*D1747</f>
        <v>94.5</v>
      </c>
      <c r="G1747" s="7" t="n">
        <f aca="false">ROUND(F1747*0.2,2)</f>
        <v>18.9</v>
      </c>
      <c r="H1747" s="4" t="str">
        <f aca="false">IF(F1747&gt;500,"Yüksek",IF(F1747&gt;100,"Orta","Düşük"))</f>
        <v>Düşük</v>
      </c>
    </row>
    <row r="1748" customFormat="false" ht="12.8" hidden="false" customHeight="false" outlineLevel="0" collapsed="false">
      <c r="A1748" s="4" t="s">
        <v>20</v>
      </c>
      <c r="B1748" s="4" t="s">
        <v>11</v>
      </c>
      <c r="C1748" s="4" t="n">
        <v>16</v>
      </c>
      <c r="D1748" s="5" t="n">
        <v>13.25</v>
      </c>
      <c r="E1748" s="6" t="n">
        <f aca="false">DATE(2024,6,10)</f>
        <v>45453</v>
      </c>
      <c r="F1748" s="7" t="n">
        <f aca="false">C1748*D1748</f>
        <v>212</v>
      </c>
      <c r="G1748" s="7" t="n">
        <f aca="false">ROUND(F1748*0.2,2)</f>
        <v>42.4</v>
      </c>
      <c r="H1748" s="4" t="str">
        <f aca="false">IF(F1748&gt;500,"Yüksek",IF(F1748&gt;100,"Orta","Düşük"))</f>
        <v>Orta</v>
      </c>
    </row>
    <row r="1749" customFormat="false" ht="12.8" hidden="false" customHeight="false" outlineLevel="0" collapsed="false">
      <c r="A1749" s="4" t="s">
        <v>21</v>
      </c>
      <c r="B1749" s="4" t="s">
        <v>13</v>
      </c>
      <c r="C1749" s="4" t="n">
        <v>23</v>
      </c>
      <c r="D1749" s="5" t="n">
        <v>16</v>
      </c>
      <c r="E1749" s="6" t="n">
        <f aca="false">DATE(2024,7,11)</f>
        <v>45484</v>
      </c>
      <c r="F1749" s="7" t="n">
        <f aca="false">C1749*D1749</f>
        <v>368</v>
      </c>
      <c r="G1749" s="7" t="n">
        <f aca="false">ROUND(F1749*0.2,2)</f>
        <v>73.6</v>
      </c>
      <c r="H1749" s="4" t="str">
        <f aca="false">IF(F1749&gt;500,"Yüksek",IF(F1749&gt;100,"Orta","Düşük"))</f>
        <v>Orta</v>
      </c>
    </row>
    <row r="1750" customFormat="false" ht="12.8" hidden="false" customHeight="false" outlineLevel="0" collapsed="false">
      <c r="A1750" s="4" t="s">
        <v>22</v>
      </c>
      <c r="B1750" s="4" t="s">
        <v>15</v>
      </c>
      <c r="C1750" s="4" t="n">
        <v>30</v>
      </c>
      <c r="D1750" s="5" t="n">
        <v>18.75</v>
      </c>
      <c r="E1750" s="6" t="n">
        <f aca="false">DATE(2024,8,12)</f>
        <v>45516</v>
      </c>
      <c r="F1750" s="7" t="n">
        <f aca="false">C1750*D1750</f>
        <v>562.5</v>
      </c>
      <c r="G1750" s="7" t="n">
        <f aca="false">ROUND(F1750*0.2,2)</f>
        <v>112.5</v>
      </c>
      <c r="H1750" s="4" t="str">
        <f aca="false">IF(F1750&gt;500,"Yüksek",IF(F1750&gt;100,"Orta","Düşük"))</f>
        <v>Yüksek</v>
      </c>
    </row>
    <row r="1751" customFormat="false" ht="12.8" hidden="false" customHeight="false" outlineLevel="0" collapsed="false">
      <c r="A1751" s="4" t="s">
        <v>23</v>
      </c>
      <c r="B1751" s="4" t="s">
        <v>17</v>
      </c>
      <c r="C1751" s="4" t="n">
        <v>37</v>
      </c>
      <c r="D1751" s="5" t="n">
        <v>21.5</v>
      </c>
      <c r="E1751" s="6" t="n">
        <f aca="false">DATE(2024,9,13)</f>
        <v>45548</v>
      </c>
      <c r="F1751" s="7" t="n">
        <f aca="false">C1751*D1751</f>
        <v>795.5</v>
      </c>
      <c r="G1751" s="7" t="n">
        <f aca="false">ROUND(F1751*0.2,2)</f>
        <v>159.1</v>
      </c>
      <c r="H1751" s="4" t="str">
        <f aca="false">IF(F1751&gt;500,"Yüksek",IF(F1751&gt;100,"Orta","Düşük"))</f>
        <v>Yüksek</v>
      </c>
    </row>
    <row r="1752" customFormat="false" ht="12.8" hidden="false" customHeight="false" outlineLevel="0" collapsed="false">
      <c r="A1752" s="4" t="s">
        <v>24</v>
      </c>
      <c r="B1752" s="4" t="s">
        <v>19</v>
      </c>
      <c r="C1752" s="4" t="n">
        <v>44</v>
      </c>
      <c r="D1752" s="5" t="n">
        <v>24.25</v>
      </c>
      <c r="E1752" s="6" t="n">
        <f aca="false">DATE(2024,10,14)</f>
        <v>45579</v>
      </c>
      <c r="F1752" s="7" t="n">
        <f aca="false">C1752*D1752</f>
        <v>1067</v>
      </c>
      <c r="G1752" s="7" t="n">
        <f aca="false">ROUND(F1752*0.2,2)</f>
        <v>213.4</v>
      </c>
      <c r="H1752" s="4" t="str">
        <f aca="false">IF(F1752&gt;500,"Yüksek",IF(F1752&gt;100,"Orta","Düşük"))</f>
        <v>Yüksek</v>
      </c>
    </row>
    <row r="1753" customFormat="false" ht="12.8" hidden="false" customHeight="false" outlineLevel="0" collapsed="false">
      <c r="A1753" s="4" t="s">
        <v>10</v>
      </c>
      <c r="B1753" s="4" t="s">
        <v>11</v>
      </c>
      <c r="C1753" s="4" t="n">
        <v>1</v>
      </c>
      <c r="D1753" s="5" t="n">
        <v>27</v>
      </c>
      <c r="E1753" s="6" t="n">
        <f aca="false">DATE(2024,11,15)</f>
        <v>45611</v>
      </c>
      <c r="F1753" s="7" t="n">
        <f aca="false">C1753*D1753</f>
        <v>27</v>
      </c>
      <c r="G1753" s="7" t="n">
        <f aca="false">ROUND(F1753*0.2,2)</f>
        <v>5.4</v>
      </c>
      <c r="H1753" s="4" t="str">
        <f aca="false">IF(F1753&gt;500,"Yüksek",IF(F1753&gt;100,"Orta","Düşük"))</f>
        <v>Düşük</v>
      </c>
    </row>
    <row r="1754" customFormat="false" ht="12.8" hidden="false" customHeight="false" outlineLevel="0" collapsed="false">
      <c r="A1754" s="4" t="s">
        <v>12</v>
      </c>
      <c r="B1754" s="4" t="s">
        <v>13</v>
      </c>
      <c r="C1754" s="4" t="n">
        <v>8</v>
      </c>
      <c r="D1754" s="5" t="n">
        <v>29.75</v>
      </c>
      <c r="E1754" s="6" t="n">
        <f aca="false">DATE(2024,12,16)</f>
        <v>45642</v>
      </c>
      <c r="F1754" s="7" t="n">
        <f aca="false">C1754*D1754</f>
        <v>238</v>
      </c>
      <c r="G1754" s="7" t="n">
        <f aca="false">ROUND(F1754*0.2,2)</f>
        <v>47.6</v>
      </c>
      <c r="H1754" s="4" t="str">
        <f aca="false">IF(F1754&gt;500,"Yüksek",IF(F1754&gt;100,"Orta","Düşük"))</f>
        <v>Orta</v>
      </c>
    </row>
    <row r="1755" customFormat="false" ht="12.8" hidden="false" customHeight="false" outlineLevel="0" collapsed="false">
      <c r="A1755" s="4" t="s">
        <v>14</v>
      </c>
      <c r="B1755" s="4" t="s">
        <v>15</v>
      </c>
      <c r="C1755" s="4" t="n">
        <v>15</v>
      </c>
      <c r="D1755" s="5" t="n">
        <v>32.5</v>
      </c>
      <c r="E1755" s="6" t="n">
        <f aca="false">DATE(2024,1,17)</f>
        <v>45308</v>
      </c>
      <c r="F1755" s="7" t="n">
        <f aca="false">C1755*D1755</f>
        <v>487.5</v>
      </c>
      <c r="G1755" s="7" t="n">
        <f aca="false">ROUND(F1755*0.2,2)</f>
        <v>97.5</v>
      </c>
      <c r="H1755" s="4" t="str">
        <f aca="false">IF(F1755&gt;500,"Yüksek",IF(F1755&gt;100,"Orta","Düşük"))</f>
        <v>Orta</v>
      </c>
    </row>
    <row r="1756" customFormat="false" ht="12.8" hidden="false" customHeight="false" outlineLevel="0" collapsed="false">
      <c r="A1756" s="4" t="s">
        <v>16</v>
      </c>
      <c r="B1756" s="4" t="s">
        <v>17</v>
      </c>
      <c r="C1756" s="4" t="n">
        <v>22</v>
      </c>
      <c r="D1756" s="5" t="n">
        <v>35.25</v>
      </c>
      <c r="E1756" s="6" t="n">
        <f aca="false">DATE(2024,2,18)</f>
        <v>45340</v>
      </c>
      <c r="F1756" s="7" t="n">
        <f aca="false">C1756*D1756</f>
        <v>775.5</v>
      </c>
      <c r="G1756" s="7" t="n">
        <f aca="false">ROUND(F1756*0.2,2)</f>
        <v>155.1</v>
      </c>
      <c r="H1756" s="4" t="str">
        <f aca="false">IF(F1756&gt;500,"Yüksek",IF(F1756&gt;100,"Orta","Düşük"))</f>
        <v>Yüksek</v>
      </c>
    </row>
    <row r="1757" customFormat="false" ht="12.8" hidden="false" customHeight="false" outlineLevel="0" collapsed="false">
      <c r="A1757" s="4" t="s">
        <v>18</v>
      </c>
      <c r="B1757" s="4" t="s">
        <v>19</v>
      </c>
      <c r="C1757" s="4" t="n">
        <v>29</v>
      </c>
      <c r="D1757" s="5" t="n">
        <v>38</v>
      </c>
      <c r="E1757" s="6" t="n">
        <f aca="false">DATE(2024,3,19)</f>
        <v>45370</v>
      </c>
      <c r="F1757" s="7" t="n">
        <f aca="false">C1757*D1757</f>
        <v>1102</v>
      </c>
      <c r="G1757" s="7" t="n">
        <f aca="false">ROUND(F1757*0.2,2)</f>
        <v>220.4</v>
      </c>
      <c r="H1757" s="4" t="str">
        <f aca="false">IF(F1757&gt;500,"Yüksek",IF(F1757&gt;100,"Orta","Düşük"))</f>
        <v>Yüksek</v>
      </c>
    </row>
    <row r="1758" customFormat="false" ht="12.8" hidden="false" customHeight="false" outlineLevel="0" collapsed="false">
      <c r="A1758" s="4" t="s">
        <v>20</v>
      </c>
      <c r="B1758" s="4" t="s">
        <v>11</v>
      </c>
      <c r="C1758" s="4" t="n">
        <v>36</v>
      </c>
      <c r="D1758" s="5" t="n">
        <v>5</v>
      </c>
      <c r="E1758" s="6" t="n">
        <f aca="false">DATE(2024,4,20)</f>
        <v>45402</v>
      </c>
      <c r="F1758" s="7" t="n">
        <f aca="false">C1758*D1758</f>
        <v>180</v>
      </c>
      <c r="G1758" s="7" t="n">
        <f aca="false">ROUND(F1758*0.2,2)</f>
        <v>36</v>
      </c>
      <c r="H1758" s="4" t="str">
        <f aca="false">IF(F1758&gt;500,"Yüksek",IF(F1758&gt;100,"Orta","Düşük"))</f>
        <v>Orta</v>
      </c>
    </row>
    <row r="1759" customFormat="false" ht="12.8" hidden="false" customHeight="false" outlineLevel="0" collapsed="false">
      <c r="A1759" s="4" t="s">
        <v>21</v>
      </c>
      <c r="B1759" s="4" t="s">
        <v>13</v>
      </c>
      <c r="C1759" s="4" t="n">
        <v>43</v>
      </c>
      <c r="D1759" s="5" t="n">
        <v>7.75</v>
      </c>
      <c r="E1759" s="6" t="n">
        <f aca="false">DATE(2024,5,21)</f>
        <v>45433</v>
      </c>
      <c r="F1759" s="7" t="n">
        <f aca="false">C1759*D1759</f>
        <v>333.25</v>
      </c>
      <c r="G1759" s="7" t="n">
        <f aca="false">ROUND(F1759*0.2,2)</f>
        <v>66.65</v>
      </c>
      <c r="H1759" s="4" t="str">
        <f aca="false">IF(F1759&gt;500,"Yüksek",IF(F1759&gt;100,"Orta","Düşük"))</f>
        <v>Orta</v>
      </c>
    </row>
    <row r="1760" customFormat="false" ht="12.8" hidden="false" customHeight="false" outlineLevel="0" collapsed="false">
      <c r="A1760" s="4" t="s">
        <v>22</v>
      </c>
      <c r="B1760" s="4" t="s">
        <v>15</v>
      </c>
      <c r="C1760" s="4" t="n">
        <v>50</v>
      </c>
      <c r="D1760" s="5" t="n">
        <v>10.5</v>
      </c>
      <c r="E1760" s="6" t="n">
        <f aca="false">DATE(2024,6,22)</f>
        <v>45465</v>
      </c>
      <c r="F1760" s="7" t="n">
        <f aca="false">C1760*D1760</f>
        <v>525</v>
      </c>
      <c r="G1760" s="7" t="n">
        <f aca="false">ROUND(F1760*0.2,2)</f>
        <v>105</v>
      </c>
      <c r="H1760" s="4" t="str">
        <f aca="false">IF(F1760&gt;500,"Yüksek",IF(F1760&gt;100,"Orta","Düşük"))</f>
        <v>Yüksek</v>
      </c>
    </row>
    <row r="1761" customFormat="false" ht="12.8" hidden="false" customHeight="false" outlineLevel="0" collapsed="false">
      <c r="A1761" s="4" t="s">
        <v>23</v>
      </c>
      <c r="B1761" s="4" t="s">
        <v>17</v>
      </c>
      <c r="C1761" s="4" t="n">
        <v>7</v>
      </c>
      <c r="D1761" s="5" t="n">
        <v>13.25</v>
      </c>
      <c r="E1761" s="6" t="n">
        <f aca="false">DATE(2024,7,23)</f>
        <v>45496</v>
      </c>
      <c r="F1761" s="7" t="n">
        <f aca="false">C1761*D1761</f>
        <v>92.75</v>
      </c>
      <c r="G1761" s="7" t="n">
        <f aca="false">ROUND(F1761*0.2,2)</f>
        <v>18.55</v>
      </c>
      <c r="H1761" s="4" t="str">
        <f aca="false">IF(F1761&gt;500,"Yüksek",IF(F1761&gt;100,"Orta","Düşük"))</f>
        <v>Düşük</v>
      </c>
    </row>
    <row r="1762" customFormat="false" ht="12.8" hidden="false" customHeight="false" outlineLevel="0" collapsed="false">
      <c r="A1762" s="4" t="s">
        <v>24</v>
      </c>
      <c r="B1762" s="4" t="s">
        <v>19</v>
      </c>
      <c r="C1762" s="4" t="n">
        <v>14</v>
      </c>
      <c r="D1762" s="5" t="n">
        <v>16</v>
      </c>
      <c r="E1762" s="6" t="n">
        <f aca="false">DATE(2024,8,24)</f>
        <v>45528</v>
      </c>
      <c r="F1762" s="7" t="n">
        <f aca="false">C1762*D1762</f>
        <v>224</v>
      </c>
      <c r="G1762" s="7" t="n">
        <f aca="false">ROUND(F1762*0.2,2)</f>
        <v>44.8</v>
      </c>
      <c r="H1762" s="4" t="str">
        <f aca="false">IF(F1762&gt;500,"Yüksek",IF(F1762&gt;100,"Orta","Düşük"))</f>
        <v>Orta</v>
      </c>
    </row>
    <row r="1763" customFormat="false" ht="12.8" hidden="false" customHeight="false" outlineLevel="0" collapsed="false">
      <c r="A1763" s="4" t="s">
        <v>10</v>
      </c>
      <c r="B1763" s="4" t="s">
        <v>11</v>
      </c>
      <c r="C1763" s="4" t="n">
        <v>21</v>
      </c>
      <c r="D1763" s="5" t="n">
        <v>18.75</v>
      </c>
      <c r="E1763" s="6" t="n">
        <f aca="false">DATE(2024,9,25)</f>
        <v>45560</v>
      </c>
      <c r="F1763" s="7" t="n">
        <f aca="false">C1763*D1763</f>
        <v>393.75</v>
      </c>
      <c r="G1763" s="7" t="n">
        <f aca="false">ROUND(F1763*0.2,2)</f>
        <v>78.75</v>
      </c>
      <c r="H1763" s="4" t="str">
        <f aca="false">IF(F1763&gt;500,"Yüksek",IF(F1763&gt;100,"Orta","Düşük"))</f>
        <v>Orta</v>
      </c>
    </row>
    <row r="1764" customFormat="false" ht="12.8" hidden="false" customHeight="false" outlineLevel="0" collapsed="false">
      <c r="A1764" s="4" t="s">
        <v>12</v>
      </c>
      <c r="B1764" s="4" t="s">
        <v>13</v>
      </c>
      <c r="C1764" s="4" t="n">
        <v>28</v>
      </c>
      <c r="D1764" s="5" t="n">
        <v>21.5</v>
      </c>
      <c r="E1764" s="6" t="n">
        <f aca="false">DATE(2024,10,26)</f>
        <v>45591</v>
      </c>
      <c r="F1764" s="7" t="n">
        <f aca="false">C1764*D1764</f>
        <v>602</v>
      </c>
      <c r="G1764" s="7" t="n">
        <f aca="false">ROUND(F1764*0.2,2)</f>
        <v>120.4</v>
      </c>
      <c r="H1764" s="4" t="str">
        <f aca="false">IF(F1764&gt;500,"Yüksek",IF(F1764&gt;100,"Orta","Düşük"))</f>
        <v>Yüksek</v>
      </c>
    </row>
    <row r="1765" customFormat="false" ht="12.8" hidden="false" customHeight="false" outlineLevel="0" collapsed="false">
      <c r="A1765" s="4" t="s">
        <v>14</v>
      </c>
      <c r="B1765" s="4" t="s">
        <v>15</v>
      </c>
      <c r="C1765" s="4" t="n">
        <v>35</v>
      </c>
      <c r="D1765" s="5" t="n">
        <v>24.25</v>
      </c>
      <c r="E1765" s="6" t="n">
        <f aca="false">DATE(2024,11,27)</f>
        <v>45623</v>
      </c>
      <c r="F1765" s="7" t="n">
        <f aca="false">C1765*D1765</f>
        <v>848.75</v>
      </c>
      <c r="G1765" s="7" t="n">
        <f aca="false">ROUND(F1765*0.2,2)</f>
        <v>169.75</v>
      </c>
      <c r="H1765" s="4" t="str">
        <f aca="false">IF(F1765&gt;500,"Yüksek",IF(F1765&gt;100,"Orta","Düşük"))</f>
        <v>Yüksek</v>
      </c>
    </row>
    <row r="1766" customFormat="false" ht="12.8" hidden="false" customHeight="false" outlineLevel="0" collapsed="false">
      <c r="A1766" s="4" t="s">
        <v>16</v>
      </c>
      <c r="B1766" s="4" t="s">
        <v>17</v>
      </c>
      <c r="C1766" s="4" t="n">
        <v>42</v>
      </c>
      <c r="D1766" s="5" t="n">
        <v>27</v>
      </c>
      <c r="E1766" s="6" t="n">
        <f aca="false">DATE(2024,12,28)</f>
        <v>45654</v>
      </c>
      <c r="F1766" s="7" t="n">
        <f aca="false">C1766*D1766</f>
        <v>1134</v>
      </c>
      <c r="G1766" s="7" t="n">
        <f aca="false">ROUND(F1766*0.2,2)</f>
        <v>226.8</v>
      </c>
      <c r="H1766" s="4" t="str">
        <f aca="false">IF(F1766&gt;500,"Yüksek",IF(F1766&gt;100,"Orta","Düşük"))</f>
        <v>Yüksek</v>
      </c>
    </row>
    <row r="1767" customFormat="false" ht="12.8" hidden="false" customHeight="false" outlineLevel="0" collapsed="false">
      <c r="A1767" s="4" t="s">
        <v>18</v>
      </c>
      <c r="B1767" s="4" t="s">
        <v>19</v>
      </c>
      <c r="C1767" s="4" t="n">
        <v>49</v>
      </c>
      <c r="D1767" s="5" t="n">
        <v>29.75</v>
      </c>
      <c r="E1767" s="6" t="n">
        <f aca="false">DATE(2024,1,1)</f>
        <v>45292</v>
      </c>
      <c r="F1767" s="7" t="n">
        <f aca="false">C1767*D1767</f>
        <v>1457.75</v>
      </c>
      <c r="G1767" s="7" t="n">
        <f aca="false">ROUND(F1767*0.2,2)</f>
        <v>291.55</v>
      </c>
      <c r="H1767" s="4" t="str">
        <f aca="false">IF(F1767&gt;500,"Yüksek",IF(F1767&gt;100,"Orta","Düşük"))</f>
        <v>Yüksek</v>
      </c>
    </row>
    <row r="1768" customFormat="false" ht="12.8" hidden="false" customHeight="false" outlineLevel="0" collapsed="false">
      <c r="A1768" s="4" t="s">
        <v>20</v>
      </c>
      <c r="B1768" s="4" t="s">
        <v>11</v>
      </c>
      <c r="C1768" s="4" t="n">
        <v>6</v>
      </c>
      <c r="D1768" s="5" t="n">
        <v>32.5</v>
      </c>
      <c r="E1768" s="6" t="n">
        <f aca="false">DATE(2024,2,2)</f>
        <v>45324</v>
      </c>
      <c r="F1768" s="7" t="n">
        <f aca="false">C1768*D1768</f>
        <v>195</v>
      </c>
      <c r="G1768" s="7" t="n">
        <f aca="false">ROUND(F1768*0.2,2)</f>
        <v>39</v>
      </c>
      <c r="H1768" s="4" t="str">
        <f aca="false">IF(F1768&gt;500,"Yüksek",IF(F1768&gt;100,"Orta","Düşük"))</f>
        <v>Orta</v>
      </c>
    </row>
    <row r="1769" customFormat="false" ht="12.8" hidden="false" customHeight="false" outlineLevel="0" collapsed="false">
      <c r="A1769" s="4" t="s">
        <v>21</v>
      </c>
      <c r="B1769" s="4" t="s">
        <v>13</v>
      </c>
      <c r="C1769" s="4" t="n">
        <v>13</v>
      </c>
      <c r="D1769" s="5" t="n">
        <v>35.25</v>
      </c>
      <c r="E1769" s="6" t="n">
        <f aca="false">DATE(2024,3,3)</f>
        <v>45354</v>
      </c>
      <c r="F1769" s="7" t="n">
        <f aca="false">C1769*D1769</f>
        <v>458.25</v>
      </c>
      <c r="G1769" s="7" t="n">
        <f aca="false">ROUND(F1769*0.2,2)</f>
        <v>91.65</v>
      </c>
      <c r="H1769" s="4" t="str">
        <f aca="false">IF(F1769&gt;500,"Yüksek",IF(F1769&gt;100,"Orta","Düşük"))</f>
        <v>Orta</v>
      </c>
    </row>
    <row r="1770" customFormat="false" ht="12.8" hidden="false" customHeight="false" outlineLevel="0" collapsed="false">
      <c r="A1770" s="4" t="s">
        <v>22</v>
      </c>
      <c r="B1770" s="4" t="s">
        <v>15</v>
      </c>
      <c r="C1770" s="4" t="n">
        <v>20</v>
      </c>
      <c r="D1770" s="5" t="n">
        <v>38</v>
      </c>
      <c r="E1770" s="6" t="n">
        <f aca="false">DATE(2024,4,4)</f>
        <v>45386</v>
      </c>
      <c r="F1770" s="7" t="n">
        <f aca="false">C1770*D1770</f>
        <v>760</v>
      </c>
      <c r="G1770" s="7" t="n">
        <f aca="false">ROUND(F1770*0.2,2)</f>
        <v>152</v>
      </c>
      <c r="H1770" s="4" t="str">
        <f aca="false">IF(F1770&gt;500,"Yüksek",IF(F1770&gt;100,"Orta","Düşük"))</f>
        <v>Yüksek</v>
      </c>
    </row>
    <row r="1771" customFormat="false" ht="12.8" hidden="false" customHeight="false" outlineLevel="0" collapsed="false">
      <c r="A1771" s="4" t="s">
        <v>23</v>
      </c>
      <c r="B1771" s="4" t="s">
        <v>17</v>
      </c>
      <c r="C1771" s="4" t="n">
        <v>27</v>
      </c>
      <c r="D1771" s="5" t="n">
        <v>5</v>
      </c>
      <c r="E1771" s="6" t="n">
        <f aca="false">DATE(2024,5,5)</f>
        <v>45417</v>
      </c>
      <c r="F1771" s="7" t="n">
        <f aca="false">C1771*D1771</f>
        <v>135</v>
      </c>
      <c r="G1771" s="7" t="n">
        <f aca="false">ROUND(F1771*0.2,2)</f>
        <v>27</v>
      </c>
      <c r="H1771" s="4" t="str">
        <f aca="false">IF(F1771&gt;500,"Yüksek",IF(F1771&gt;100,"Orta","Düşük"))</f>
        <v>Orta</v>
      </c>
    </row>
    <row r="1772" customFormat="false" ht="12.8" hidden="false" customHeight="false" outlineLevel="0" collapsed="false">
      <c r="A1772" s="4" t="s">
        <v>24</v>
      </c>
      <c r="B1772" s="4" t="s">
        <v>19</v>
      </c>
      <c r="C1772" s="4" t="n">
        <v>34</v>
      </c>
      <c r="D1772" s="5" t="n">
        <v>7.75</v>
      </c>
      <c r="E1772" s="6" t="n">
        <f aca="false">DATE(2024,6,6)</f>
        <v>45449</v>
      </c>
      <c r="F1772" s="7" t="n">
        <f aca="false">C1772*D1772</f>
        <v>263.5</v>
      </c>
      <c r="G1772" s="7" t="n">
        <f aca="false">ROUND(F1772*0.2,2)</f>
        <v>52.7</v>
      </c>
      <c r="H1772" s="4" t="str">
        <f aca="false">IF(F1772&gt;500,"Yüksek",IF(F1772&gt;100,"Orta","Düşük"))</f>
        <v>Orta</v>
      </c>
    </row>
    <row r="1773" customFormat="false" ht="12.8" hidden="false" customHeight="false" outlineLevel="0" collapsed="false">
      <c r="A1773" s="4" t="s">
        <v>10</v>
      </c>
      <c r="B1773" s="4" t="s">
        <v>11</v>
      </c>
      <c r="C1773" s="4" t="n">
        <v>41</v>
      </c>
      <c r="D1773" s="5" t="n">
        <v>10.5</v>
      </c>
      <c r="E1773" s="6" t="n">
        <f aca="false">DATE(2024,7,7)</f>
        <v>45480</v>
      </c>
      <c r="F1773" s="7" t="n">
        <f aca="false">C1773*D1773</f>
        <v>430.5</v>
      </c>
      <c r="G1773" s="7" t="n">
        <f aca="false">ROUND(F1773*0.2,2)</f>
        <v>86.1</v>
      </c>
      <c r="H1773" s="4" t="str">
        <f aca="false">IF(F1773&gt;500,"Yüksek",IF(F1773&gt;100,"Orta","Düşük"))</f>
        <v>Orta</v>
      </c>
    </row>
    <row r="1774" customFormat="false" ht="12.8" hidden="false" customHeight="false" outlineLevel="0" collapsed="false">
      <c r="A1774" s="4" t="s">
        <v>12</v>
      </c>
      <c r="B1774" s="4" t="s">
        <v>13</v>
      </c>
      <c r="C1774" s="4" t="n">
        <v>48</v>
      </c>
      <c r="D1774" s="5" t="n">
        <v>13.25</v>
      </c>
      <c r="E1774" s="6" t="n">
        <f aca="false">DATE(2024,8,8)</f>
        <v>45512</v>
      </c>
      <c r="F1774" s="7" t="n">
        <f aca="false">C1774*D1774</f>
        <v>636</v>
      </c>
      <c r="G1774" s="7" t="n">
        <f aca="false">ROUND(F1774*0.2,2)</f>
        <v>127.2</v>
      </c>
      <c r="H1774" s="4" t="str">
        <f aca="false">IF(F1774&gt;500,"Yüksek",IF(F1774&gt;100,"Orta","Düşük"))</f>
        <v>Yüksek</v>
      </c>
    </row>
    <row r="1775" customFormat="false" ht="12.8" hidden="false" customHeight="false" outlineLevel="0" collapsed="false">
      <c r="A1775" s="4" t="s">
        <v>14</v>
      </c>
      <c r="B1775" s="4" t="s">
        <v>15</v>
      </c>
      <c r="C1775" s="4" t="n">
        <v>5</v>
      </c>
      <c r="D1775" s="5" t="n">
        <v>16</v>
      </c>
      <c r="E1775" s="6" t="n">
        <f aca="false">DATE(2024,9,9)</f>
        <v>45544</v>
      </c>
      <c r="F1775" s="7" t="n">
        <f aca="false">C1775*D1775</f>
        <v>80</v>
      </c>
      <c r="G1775" s="7" t="n">
        <f aca="false">ROUND(F1775*0.2,2)</f>
        <v>16</v>
      </c>
      <c r="H1775" s="4" t="str">
        <f aca="false">IF(F1775&gt;500,"Yüksek",IF(F1775&gt;100,"Orta","Düşük"))</f>
        <v>Düşük</v>
      </c>
    </row>
    <row r="1776" customFormat="false" ht="12.8" hidden="false" customHeight="false" outlineLevel="0" collapsed="false">
      <c r="A1776" s="4" t="s">
        <v>16</v>
      </c>
      <c r="B1776" s="4" t="s">
        <v>17</v>
      </c>
      <c r="C1776" s="4" t="n">
        <v>12</v>
      </c>
      <c r="D1776" s="5" t="n">
        <v>18.75</v>
      </c>
      <c r="E1776" s="6" t="n">
        <f aca="false">DATE(2024,10,10)</f>
        <v>45575</v>
      </c>
      <c r="F1776" s="7" t="n">
        <f aca="false">C1776*D1776</f>
        <v>225</v>
      </c>
      <c r="G1776" s="7" t="n">
        <f aca="false">ROUND(F1776*0.2,2)</f>
        <v>45</v>
      </c>
      <c r="H1776" s="4" t="str">
        <f aca="false">IF(F1776&gt;500,"Yüksek",IF(F1776&gt;100,"Orta","Düşük"))</f>
        <v>Orta</v>
      </c>
    </row>
    <row r="1777" customFormat="false" ht="12.8" hidden="false" customHeight="false" outlineLevel="0" collapsed="false">
      <c r="A1777" s="4" t="s">
        <v>18</v>
      </c>
      <c r="B1777" s="4" t="s">
        <v>19</v>
      </c>
      <c r="C1777" s="4" t="n">
        <v>19</v>
      </c>
      <c r="D1777" s="5" t="n">
        <v>21.5</v>
      </c>
      <c r="E1777" s="6" t="n">
        <f aca="false">DATE(2024,11,11)</f>
        <v>45607</v>
      </c>
      <c r="F1777" s="7" t="n">
        <f aca="false">C1777*D1777</f>
        <v>408.5</v>
      </c>
      <c r="G1777" s="7" t="n">
        <f aca="false">ROUND(F1777*0.2,2)</f>
        <v>81.7</v>
      </c>
      <c r="H1777" s="4" t="str">
        <f aca="false">IF(F1777&gt;500,"Yüksek",IF(F1777&gt;100,"Orta","Düşük"))</f>
        <v>Orta</v>
      </c>
    </row>
    <row r="1778" customFormat="false" ht="12.8" hidden="false" customHeight="false" outlineLevel="0" collapsed="false">
      <c r="A1778" s="4" t="s">
        <v>20</v>
      </c>
      <c r="B1778" s="4" t="s">
        <v>11</v>
      </c>
      <c r="C1778" s="4" t="n">
        <v>26</v>
      </c>
      <c r="D1778" s="5" t="n">
        <v>24.25</v>
      </c>
      <c r="E1778" s="6" t="n">
        <f aca="false">DATE(2024,12,12)</f>
        <v>45638</v>
      </c>
      <c r="F1778" s="7" t="n">
        <f aca="false">C1778*D1778</f>
        <v>630.5</v>
      </c>
      <c r="G1778" s="7" t="n">
        <f aca="false">ROUND(F1778*0.2,2)</f>
        <v>126.1</v>
      </c>
      <c r="H1778" s="4" t="str">
        <f aca="false">IF(F1778&gt;500,"Yüksek",IF(F1778&gt;100,"Orta","Düşük"))</f>
        <v>Yüksek</v>
      </c>
    </row>
    <row r="1779" customFormat="false" ht="12.8" hidden="false" customHeight="false" outlineLevel="0" collapsed="false">
      <c r="A1779" s="4" t="s">
        <v>21</v>
      </c>
      <c r="B1779" s="4" t="s">
        <v>13</v>
      </c>
      <c r="C1779" s="4" t="n">
        <v>33</v>
      </c>
      <c r="D1779" s="5" t="n">
        <v>27</v>
      </c>
      <c r="E1779" s="6" t="n">
        <f aca="false">DATE(2024,1,13)</f>
        <v>45304</v>
      </c>
      <c r="F1779" s="7" t="n">
        <f aca="false">C1779*D1779</f>
        <v>891</v>
      </c>
      <c r="G1779" s="7" t="n">
        <f aca="false">ROUND(F1779*0.2,2)</f>
        <v>178.2</v>
      </c>
      <c r="H1779" s="4" t="str">
        <f aca="false">IF(F1779&gt;500,"Yüksek",IF(F1779&gt;100,"Orta","Düşük"))</f>
        <v>Yüksek</v>
      </c>
    </row>
    <row r="1780" customFormat="false" ht="12.8" hidden="false" customHeight="false" outlineLevel="0" collapsed="false">
      <c r="A1780" s="4" t="s">
        <v>22</v>
      </c>
      <c r="B1780" s="4" t="s">
        <v>15</v>
      </c>
      <c r="C1780" s="4" t="n">
        <v>40</v>
      </c>
      <c r="D1780" s="5" t="n">
        <v>29.75</v>
      </c>
      <c r="E1780" s="6" t="n">
        <f aca="false">DATE(2024,2,14)</f>
        <v>45336</v>
      </c>
      <c r="F1780" s="7" t="n">
        <f aca="false">C1780*D1780</f>
        <v>1190</v>
      </c>
      <c r="G1780" s="7" t="n">
        <f aca="false">ROUND(F1780*0.2,2)</f>
        <v>238</v>
      </c>
      <c r="H1780" s="4" t="str">
        <f aca="false">IF(F1780&gt;500,"Yüksek",IF(F1780&gt;100,"Orta","Düşük"))</f>
        <v>Yüksek</v>
      </c>
    </row>
    <row r="1781" customFormat="false" ht="12.8" hidden="false" customHeight="false" outlineLevel="0" collapsed="false">
      <c r="A1781" s="4" t="s">
        <v>23</v>
      </c>
      <c r="B1781" s="4" t="s">
        <v>17</v>
      </c>
      <c r="C1781" s="4" t="n">
        <v>47</v>
      </c>
      <c r="D1781" s="5" t="n">
        <v>32.5</v>
      </c>
      <c r="E1781" s="6" t="n">
        <f aca="false">DATE(2024,3,15)</f>
        <v>45366</v>
      </c>
      <c r="F1781" s="7" t="n">
        <f aca="false">C1781*D1781</f>
        <v>1527.5</v>
      </c>
      <c r="G1781" s="7" t="n">
        <f aca="false">ROUND(F1781*0.2,2)</f>
        <v>305.5</v>
      </c>
      <c r="H1781" s="4" t="str">
        <f aca="false">IF(F1781&gt;500,"Yüksek",IF(F1781&gt;100,"Orta","Düşük"))</f>
        <v>Yüksek</v>
      </c>
    </row>
    <row r="1782" customFormat="false" ht="12.8" hidden="false" customHeight="false" outlineLevel="0" collapsed="false">
      <c r="A1782" s="4" t="s">
        <v>24</v>
      </c>
      <c r="B1782" s="4" t="s">
        <v>19</v>
      </c>
      <c r="C1782" s="4" t="n">
        <v>4</v>
      </c>
      <c r="D1782" s="5" t="n">
        <v>35.25</v>
      </c>
      <c r="E1782" s="6" t="n">
        <f aca="false">DATE(2024,4,16)</f>
        <v>45398</v>
      </c>
      <c r="F1782" s="7" t="n">
        <f aca="false">C1782*D1782</f>
        <v>141</v>
      </c>
      <c r="G1782" s="7" t="n">
        <f aca="false">ROUND(F1782*0.2,2)</f>
        <v>28.2</v>
      </c>
      <c r="H1782" s="4" t="str">
        <f aca="false">IF(F1782&gt;500,"Yüksek",IF(F1782&gt;100,"Orta","Düşük"))</f>
        <v>Orta</v>
      </c>
    </row>
    <row r="1783" customFormat="false" ht="12.8" hidden="false" customHeight="false" outlineLevel="0" collapsed="false">
      <c r="A1783" s="4" t="s">
        <v>10</v>
      </c>
      <c r="B1783" s="4" t="s">
        <v>11</v>
      </c>
      <c r="C1783" s="4" t="n">
        <v>11</v>
      </c>
      <c r="D1783" s="5" t="n">
        <v>38</v>
      </c>
      <c r="E1783" s="6" t="n">
        <f aca="false">DATE(2024,5,17)</f>
        <v>45429</v>
      </c>
      <c r="F1783" s="7" t="n">
        <f aca="false">C1783*D1783</f>
        <v>418</v>
      </c>
      <c r="G1783" s="7" t="n">
        <f aca="false">ROUND(F1783*0.2,2)</f>
        <v>83.6</v>
      </c>
      <c r="H1783" s="4" t="str">
        <f aca="false">IF(F1783&gt;500,"Yüksek",IF(F1783&gt;100,"Orta","Düşük"))</f>
        <v>Orta</v>
      </c>
    </row>
    <row r="1784" customFormat="false" ht="12.8" hidden="false" customHeight="false" outlineLevel="0" collapsed="false">
      <c r="A1784" s="4" t="s">
        <v>12</v>
      </c>
      <c r="B1784" s="4" t="s">
        <v>13</v>
      </c>
      <c r="C1784" s="4" t="n">
        <v>18</v>
      </c>
      <c r="D1784" s="5" t="n">
        <v>5</v>
      </c>
      <c r="E1784" s="6" t="n">
        <f aca="false">DATE(2024,6,18)</f>
        <v>45461</v>
      </c>
      <c r="F1784" s="7" t="n">
        <f aca="false">C1784*D1784</f>
        <v>90</v>
      </c>
      <c r="G1784" s="7" t="n">
        <f aca="false">ROUND(F1784*0.2,2)</f>
        <v>18</v>
      </c>
      <c r="H1784" s="4" t="str">
        <f aca="false">IF(F1784&gt;500,"Yüksek",IF(F1784&gt;100,"Orta","Düşük"))</f>
        <v>Düşük</v>
      </c>
    </row>
    <row r="1785" customFormat="false" ht="12.8" hidden="false" customHeight="false" outlineLevel="0" collapsed="false">
      <c r="A1785" s="4" t="s">
        <v>14</v>
      </c>
      <c r="B1785" s="4" t="s">
        <v>15</v>
      </c>
      <c r="C1785" s="4" t="n">
        <v>25</v>
      </c>
      <c r="D1785" s="5" t="n">
        <v>7.75</v>
      </c>
      <c r="E1785" s="6" t="n">
        <f aca="false">DATE(2024,7,19)</f>
        <v>45492</v>
      </c>
      <c r="F1785" s="7" t="n">
        <f aca="false">C1785*D1785</f>
        <v>193.75</v>
      </c>
      <c r="G1785" s="7" t="n">
        <f aca="false">ROUND(F1785*0.2,2)</f>
        <v>38.75</v>
      </c>
      <c r="H1785" s="4" t="str">
        <f aca="false">IF(F1785&gt;500,"Yüksek",IF(F1785&gt;100,"Orta","Düşük"))</f>
        <v>Orta</v>
      </c>
    </row>
    <row r="1786" customFormat="false" ht="12.8" hidden="false" customHeight="false" outlineLevel="0" collapsed="false">
      <c r="A1786" s="4" t="s">
        <v>16</v>
      </c>
      <c r="B1786" s="4" t="s">
        <v>17</v>
      </c>
      <c r="C1786" s="4" t="n">
        <v>32</v>
      </c>
      <c r="D1786" s="5" t="n">
        <v>10.5</v>
      </c>
      <c r="E1786" s="6" t="n">
        <f aca="false">DATE(2024,8,20)</f>
        <v>45524</v>
      </c>
      <c r="F1786" s="7" t="n">
        <f aca="false">C1786*D1786</f>
        <v>336</v>
      </c>
      <c r="G1786" s="7" t="n">
        <f aca="false">ROUND(F1786*0.2,2)</f>
        <v>67.2</v>
      </c>
      <c r="H1786" s="4" t="str">
        <f aca="false">IF(F1786&gt;500,"Yüksek",IF(F1786&gt;100,"Orta","Düşük"))</f>
        <v>Orta</v>
      </c>
    </row>
    <row r="1787" customFormat="false" ht="12.8" hidden="false" customHeight="false" outlineLevel="0" collapsed="false">
      <c r="A1787" s="4" t="s">
        <v>18</v>
      </c>
      <c r="B1787" s="4" t="s">
        <v>19</v>
      </c>
      <c r="C1787" s="4" t="n">
        <v>39</v>
      </c>
      <c r="D1787" s="5" t="n">
        <v>13.25</v>
      </c>
      <c r="E1787" s="6" t="n">
        <f aca="false">DATE(2024,9,21)</f>
        <v>45556</v>
      </c>
      <c r="F1787" s="7" t="n">
        <f aca="false">C1787*D1787</f>
        <v>516.75</v>
      </c>
      <c r="G1787" s="7" t="n">
        <f aca="false">ROUND(F1787*0.2,2)</f>
        <v>103.35</v>
      </c>
      <c r="H1787" s="4" t="str">
        <f aca="false">IF(F1787&gt;500,"Yüksek",IF(F1787&gt;100,"Orta","Düşük"))</f>
        <v>Yüksek</v>
      </c>
    </row>
    <row r="1788" customFormat="false" ht="12.8" hidden="false" customHeight="false" outlineLevel="0" collapsed="false">
      <c r="A1788" s="4" t="s">
        <v>20</v>
      </c>
      <c r="B1788" s="4" t="s">
        <v>11</v>
      </c>
      <c r="C1788" s="4" t="n">
        <v>46</v>
      </c>
      <c r="D1788" s="5" t="n">
        <v>16</v>
      </c>
      <c r="E1788" s="6" t="n">
        <f aca="false">DATE(2024,10,22)</f>
        <v>45587</v>
      </c>
      <c r="F1788" s="7" t="n">
        <f aca="false">C1788*D1788</f>
        <v>736</v>
      </c>
      <c r="G1788" s="7" t="n">
        <f aca="false">ROUND(F1788*0.2,2)</f>
        <v>147.2</v>
      </c>
      <c r="H1788" s="4" t="str">
        <f aca="false">IF(F1788&gt;500,"Yüksek",IF(F1788&gt;100,"Orta","Düşük"))</f>
        <v>Yüksek</v>
      </c>
    </row>
    <row r="1789" customFormat="false" ht="12.8" hidden="false" customHeight="false" outlineLevel="0" collapsed="false">
      <c r="A1789" s="4" t="s">
        <v>21</v>
      </c>
      <c r="B1789" s="4" t="s">
        <v>13</v>
      </c>
      <c r="C1789" s="4" t="n">
        <v>3</v>
      </c>
      <c r="D1789" s="5" t="n">
        <v>18.75</v>
      </c>
      <c r="E1789" s="6" t="n">
        <f aca="false">DATE(2024,11,23)</f>
        <v>45619</v>
      </c>
      <c r="F1789" s="7" t="n">
        <f aca="false">C1789*D1789</f>
        <v>56.25</v>
      </c>
      <c r="G1789" s="7" t="n">
        <f aca="false">ROUND(F1789*0.2,2)</f>
        <v>11.25</v>
      </c>
      <c r="H1789" s="4" t="str">
        <f aca="false">IF(F1789&gt;500,"Yüksek",IF(F1789&gt;100,"Orta","Düşük"))</f>
        <v>Düşük</v>
      </c>
    </row>
    <row r="1790" customFormat="false" ht="12.8" hidden="false" customHeight="false" outlineLevel="0" collapsed="false">
      <c r="A1790" s="4" t="s">
        <v>22</v>
      </c>
      <c r="B1790" s="4" t="s">
        <v>15</v>
      </c>
      <c r="C1790" s="4" t="n">
        <v>10</v>
      </c>
      <c r="D1790" s="5" t="n">
        <v>21.5</v>
      </c>
      <c r="E1790" s="6" t="n">
        <f aca="false">DATE(2024,12,24)</f>
        <v>45650</v>
      </c>
      <c r="F1790" s="7" t="n">
        <f aca="false">C1790*D1790</f>
        <v>215</v>
      </c>
      <c r="G1790" s="7" t="n">
        <f aca="false">ROUND(F1790*0.2,2)</f>
        <v>43</v>
      </c>
      <c r="H1790" s="4" t="str">
        <f aca="false">IF(F1790&gt;500,"Yüksek",IF(F1790&gt;100,"Orta","Düşük"))</f>
        <v>Orta</v>
      </c>
    </row>
    <row r="1791" customFormat="false" ht="12.8" hidden="false" customHeight="false" outlineLevel="0" collapsed="false">
      <c r="A1791" s="4" t="s">
        <v>23</v>
      </c>
      <c r="B1791" s="4" t="s">
        <v>17</v>
      </c>
      <c r="C1791" s="4" t="n">
        <v>17</v>
      </c>
      <c r="D1791" s="5" t="n">
        <v>24.25</v>
      </c>
      <c r="E1791" s="6" t="n">
        <f aca="false">DATE(2024,1,25)</f>
        <v>45316</v>
      </c>
      <c r="F1791" s="7" t="n">
        <f aca="false">C1791*D1791</f>
        <v>412.25</v>
      </c>
      <c r="G1791" s="7" t="n">
        <f aca="false">ROUND(F1791*0.2,2)</f>
        <v>82.45</v>
      </c>
      <c r="H1791" s="4" t="str">
        <f aca="false">IF(F1791&gt;500,"Yüksek",IF(F1791&gt;100,"Orta","Düşük"))</f>
        <v>Orta</v>
      </c>
    </row>
    <row r="1792" customFormat="false" ht="12.8" hidden="false" customHeight="false" outlineLevel="0" collapsed="false">
      <c r="A1792" s="4" t="s">
        <v>24</v>
      </c>
      <c r="B1792" s="4" t="s">
        <v>19</v>
      </c>
      <c r="C1792" s="4" t="n">
        <v>24</v>
      </c>
      <c r="D1792" s="5" t="n">
        <v>27</v>
      </c>
      <c r="E1792" s="6" t="n">
        <f aca="false">DATE(2024,2,26)</f>
        <v>45348</v>
      </c>
      <c r="F1792" s="7" t="n">
        <f aca="false">C1792*D1792</f>
        <v>648</v>
      </c>
      <c r="G1792" s="7" t="n">
        <f aca="false">ROUND(F1792*0.2,2)</f>
        <v>129.6</v>
      </c>
      <c r="H1792" s="4" t="str">
        <f aca="false">IF(F1792&gt;500,"Yüksek",IF(F1792&gt;100,"Orta","Düşük"))</f>
        <v>Yüksek</v>
      </c>
    </row>
    <row r="1793" customFormat="false" ht="12.8" hidden="false" customHeight="false" outlineLevel="0" collapsed="false">
      <c r="A1793" s="4" t="s">
        <v>10</v>
      </c>
      <c r="B1793" s="4" t="s">
        <v>11</v>
      </c>
      <c r="C1793" s="4" t="n">
        <v>31</v>
      </c>
      <c r="D1793" s="5" t="n">
        <v>29.75</v>
      </c>
      <c r="E1793" s="6" t="n">
        <f aca="false">DATE(2024,3,27)</f>
        <v>45378</v>
      </c>
      <c r="F1793" s="7" t="n">
        <f aca="false">C1793*D1793</f>
        <v>922.25</v>
      </c>
      <c r="G1793" s="7" t="n">
        <f aca="false">ROUND(F1793*0.2,2)</f>
        <v>184.45</v>
      </c>
      <c r="H1793" s="4" t="str">
        <f aca="false">IF(F1793&gt;500,"Yüksek",IF(F1793&gt;100,"Orta","Düşük"))</f>
        <v>Yüksek</v>
      </c>
    </row>
    <row r="1794" customFormat="false" ht="12.8" hidden="false" customHeight="false" outlineLevel="0" collapsed="false">
      <c r="A1794" s="4" t="s">
        <v>12</v>
      </c>
      <c r="B1794" s="4" t="s">
        <v>13</v>
      </c>
      <c r="C1794" s="4" t="n">
        <v>38</v>
      </c>
      <c r="D1794" s="5" t="n">
        <v>32.5</v>
      </c>
      <c r="E1794" s="6" t="n">
        <f aca="false">DATE(2024,4,28)</f>
        <v>45410</v>
      </c>
      <c r="F1794" s="7" t="n">
        <f aca="false">C1794*D1794</f>
        <v>1235</v>
      </c>
      <c r="G1794" s="7" t="n">
        <f aca="false">ROUND(F1794*0.2,2)</f>
        <v>247</v>
      </c>
      <c r="H1794" s="4" t="str">
        <f aca="false">IF(F1794&gt;500,"Yüksek",IF(F1794&gt;100,"Orta","Düşük"))</f>
        <v>Yüksek</v>
      </c>
    </row>
    <row r="1795" customFormat="false" ht="12.8" hidden="false" customHeight="false" outlineLevel="0" collapsed="false">
      <c r="A1795" s="4" t="s">
        <v>14</v>
      </c>
      <c r="B1795" s="4" t="s">
        <v>15</v>
      </c>
      <c r="C1795" s="4" t="n">
        <v>45</v>
      </c>
      <c r="D1795" s="5" t="n">
        <v>35.25</v>
      </c>
      <c r="E1795" s="6" t="n">
        <f aca="false">DATE(2024,5,1)</f>
        <v>45413</v>
      </c>
      <c r="F1795" s="7" t="n">
        <f aca="false">C1795*D1795</f>
        <v>1586.25</v>
      </c>
      <c r="G1795" s="7" t="n">
        <f aca="false">ROUND(F1795*0.2,2)</f>
        <v>317.25</v>
      </c>
      <c r="H1795" s="4" t="str">
        <f aca="false">IF(F1795&gt;500,"Yüksek",IF(F1795&gt;100,"Orta","Düşük"))</f>
        <v>Yüksek</v>
      </c>
    </row>
    <row r="1796" customFormat="false" ht="12.8" hidden="false" customHeight="false" outlineLevel="0" collapsed="false">
      <c r="A1796" s="4" t="s">
        <v>16</v>
      </c>
      <c r="B1796" s="4" t="s">
        <v>17</v>
      </c>
      <c r="C1796" s="4" t="n">
        <v>2</v>
      </c>
      <c r="D1796" s="5" t="n">
        <v>38</v>
      </c>
      <c r="E1796" s="6" t="n">
        <f aca="false">DATE(2024,6,2)</f>
        <v>45445</v>
      </c>
      <c r="F1796" s="7" t="n">
        <f aca="false">C1796*D1796</f>
        <v>76</v>
      </c>
      <c r="G1796" s="7" t="n">
        <f aca="false">ROUND(F1796*0.2,2)</f>
        <v>15.2</v>
      </c>
      <c r="H1796" s="4" t="str">
        <f aca="false">IF(F1796&gt;500,"Yüksek",IF(F1796&gt;100,"Orta","Düşük"))</f>
        <v>Düşük</v>
      </c>
    </row>
    <row r="1797" customFormat="false" ht="12.8" hidden="false" customHeight="false" outlineLevel="0" collapsed="false">
      <c r="A1797" s="4" t="s">
        <v>18</v>
      </c>
      <c r="B1797" s="4" t="s">
        <v>19</v>
      </c>
      <c r="C1797" s="4" t="n">
        <v>9</v>
      </c>
      <c r="D1797" s="5" t="n">
        <v>5</v>
      </c>
      <c r="E1797" s="6" t="n">
        <f aca="false">DATE(2024,7,3)</f>
        <v>45476</v>
      </c>
      <c r="F1797" s="7" t="n">
        <f aca="false">C1797*D1797</f>
        <v>45</v>
      </c>
      <c r="G1797" s="7" t="n">
        <f aca="false">ROUND(F1797*0.2,2)</f>
        <v>9</v>
      </c>
      <c r="H1797" s="4" t="str">
        <f aca="false">IF(F1797&gt;500,"Yüksek",IF(F1797&gt;100,"Orta","Düşük"))</f>
        <v>Düşük</v>
      </c>
    </row>
    <row r="1798" customFormat="false" ht="12.8" hidden="false" customHeight="false" outlineLevel="0" collapsed="false">
      <c r="A1798" s="4" t="s">
        <v>20</v>
      </c>
      <c r="B1798" s="4" t="s">
        <v>11</v>
      </c>
      <c r="C1798" s="4" t="n">
        <v>16</v>
      </c>
      <c r="D1798" s="5" t="n">
        <v>7.75</v>
      </c>
      <c r="E1798" s="6" t="n">
        <f aca="false">DATE(2024,8,4)</f>
        <v>45508</v>
      </c>
      <c r="F1798" s="7" t="n">
        <f aca="false">C1798*D1798</f>
        <v>124</v>
      </c>
      <c r="G1798" s="7" t="n">
        <f aca="false">ROUND(F1798*0.2,2)</f>
        <v>24.8</v>
      </c>
      <c r="H1798" s="4" t="str">
        <f aca="false">IF(F1798&gt;500,"Yüksek",IF(F1798&gt;100,"Orta","Düşük"))</f>
        <v>Orta</v>
      </c>
    </row>
    <row r="1799" customFormat="false" ht="12.8" hidden="false" customHeight="false" outlineLevel="0" collapsed="false">
      <c r="A1799" s="4" t="s">
        <v>21</v>
      </c>
      <c r="B1799" s="4" t="s">
        <v>13</v>
      </c>
      <c r="C1799" s="4" t="n">
        <v>23</v>
      </c>
      <c r="D1799" s="5" t="n">
        <v>10.5</v>
      </c>
      <c r="E1799" s="6" t="n">
        <f aca="false">DATE(2024,9,5)</f>
        <v>45540</v>
      </c>
      <c r="F1799" s="7" t="n">
        <f aca="false">C1799*D1799</f>
        <v>241.5</v>
      </c>
      <c r="G1799" s="7" t="n">
        <f aca="false">ROUND(F1799*0.2,2)</f>
        <v>48.3</v>
      </c>
      <c r="H1799" s="4" t="str">
        <f aca="false">IF(F1799&gt;500,"Yüksek",IF(F1799&gt;100,"Orta","Düşük"))</f>
        <v>Orta</v>
      </c>
    </row>
    <row r="1800" customFormat="false" ht="12.8" hidden="false" customHeight="false" outlineLevel="0" collapsed="false">
      <c r="A1800" s="4" t="s">
        <v>22</v>
      </c>
      <c r="B1800" s="4" t="s">
        <v>15</v>
      </c>
      <c r="C1800" s="4" t="n">
        <v>30</v>
      </c>
      <c r="D1800" s="5" t="n">
        <v>13.25</v>
      </c>
      <c r="E1800" s="6" t="n">
        <f aca="false">DATE(2024,10,6)</f>
        <v>45571</v>
      </c>
      <c r="F1800" s="7" t="n">
        <f aca="false">C1800*D1800</f>
        <v>397.5</v>
      </c>
      <c r="G1800" s="7" t="n">
        <f aca="false">ROUND(F1800*0.2,2)</f>
        <v>79.5</v>
      </c>
      <c r="H1800" s="4" t="str">
        <f aca="false">IF(F1800&gt;500,"Yüksek",IF(F1800&gt;100,"Orta","Düşük"))</f>
        <v>Orta</v>
      </c>
    </row>
    <row r="1801" customFormat="false" ht="12.8" hidden="false" customHeight="false" outlineLevel="0" collapsed="false">
      <c r="A1801" s="4" t="s">
        <v>23</v>
      </c>
      <c r="B1801" s="4" t="s">
        <v>17</v>
      </c>
      <c r="C1801" s="4" t="n">
        <v>37</v>
      </c>
      <c r="D1801" s="5" t="n">
        <v>16</v>
      </c>
      <c r="E1801" s="6" t="n">
        <f aca="false">DATE(2024,11,7)</f>
        <v>45603</v>
      </c>
      <c r="F1801" s="7" t="n">
        <f aca="false">C1801*D1801</f>
        <v>592</v>
      </c>
      <c r="G1801" s="7" t="n">
        <f aca="false">ROUND(F1801*0.2,2)</f>
        <v>118.4</v>
      </c>
      <c r="H1801" s="4" t="str">
        <f aca="false">IF(F1801&gt;500,"Yüksek",IF(F1801&gt;100,"Orta","Düşük"))</f>
        <v>Yüksek</v>
      </c>
    </row>
    <row r="1802" customFormat="false" ht="12.8" hidden="false" customHeight="false" outlineLevel="0" collapsed="false">
      <c r="A1802" s="4" t="s">
        <v>24</v>
      </c>
      <c r="B1802" s="4" t="s">
        <v>19</v>
      </c>
      <c r="C1802" s="4" t="n">
        <v>44</v>
      </c>
      <c r="D1802" s="5" t="n">
        <v>18.75</v>
      </c>
      <c r="E1802" s="6" t="n">
        <f aca="false">DATE(2024,12,8)</f>
        <v>45634</v>
      </c>
      <c r="F1802" s="7" t="n">
        <f aca="false">C1802*D1802</f>
        <v>825</v>
      </c>
      <c r="G1802" s="7" t="n">
        <f aca="false">ROUND(F1802*0.2,2)</f>
        <v>165</v>
      </c>
      <c r="H1802" s="4" t="str">
        <f aca="false">IF(F1802&gt;500,"Yüksek",IF(F1802&gt;100,"Orta","Düşük"))</f>
        <v>Yüksek</v>
      </c>
    </row>
    <row r="1803" customFormat="false" ht="12.8" hidden="false" customHeight="false" outlineLevel="0" collapsed="false">
      <c r="A1803" s="4" t="s">
        <v>10</v>
      </c>
      <c r="B1803" s="4" t="s">
        <v>11</v>
      </c>
      <c r="C1803" s="4" t="n">
        <v>1</v>
      </c>
      <c r="D1803" s="5" t="n">
        <v>21.5</v>
      </c>
      <c r="E1803" s="6" t="n">
        <f aca="false">DATE(2024,1,9)</f>
        <v>45300</v>
      </c>
      <c r="F1803" s="7" t="n">
        <f aca="false">C1803*D1803</f>
        <v>21.5</v>
      </c>
      <c r="G1803" s="7" t="n">
        <f aca="false">ROUND(F1803*0.2,2)</f>
        <v>4.3</v>
      </c>
      <c r="H1803" s="4" t="str">
        <f aca="false">IF(F1803&gt;500,"Yüksek",IF(F1803&gt;100,"Orta","Düşük"))</f>
        <v>Düşük</v>
      </c>
    </row>
    <row r="1804" customFormat="false" ht="12.8" hidden="false" customHeight="false" outlineLevel="0" collapsed="false">
      <c r="A1804" s="4" t="s">
        <v>12</v>
      </c>
      <c r="B1804" s="4" t="s">
        <v>13</v>
      </c>
      <c r="C1804" s="4" t="n">
        <v>8</v>
      </c>
      <c r="D1804" s="5" t="n">
        <v>24.25</v>
      </c>
      <c r="E1804" s="6" t="n">
        <f aca="false">DATE(2024,2,10)</f>
        <v>45332</v>
      </c>
      <c r="F1804" s="7" t="n">
        <f aca="false">C1804*D1804</f>
        <v>194</v>
      </c>
      <c r="G1804" s="7" t="n">
        <f aca="false">ROUND(F1804*0.2,2)</f>
        <v>38.8</v>
      </c>
      <c r="H1804" s="4" t="str">
        <f aca="false">IF(F1804&gt;500,"Yüksek",IF(F1804&gt;100,"Orta","Düşük"))</f>
        <v>Orta</v>
      </c>
    </row>
    <row r="1805" customFormat="false" ht="12.8" hidden="false" customHeight="false" outlineLevel="0" collapsed="false">
      <c r="A1805" s="4" t="s">
        <v>14</v>
      </c>
      <c r="B1805" s="4" t="s">
        <v>15</v>
      </c>
      <c r="C1805" s="4" t="n">
        <v>15</v>
      </c>
      <c r="D1805" s="5" t="n">
        <v>27</v>
      </c>
      <c r="E1805" s="6" t="n">
        <f aca="false">DATE(2024,3,11)</f>
        <v>45362</v>
      </c>
      <c r="F1805" s="7" t="n">
        <f aca="false">C1805*D1805</f>
        <v>405</v>
      </c>
      <c r="G1805" s="7" t="n">
        <f aca="false">ROUND(F1805*0.2,2)</f>
        <v>81</v>
      </c>
      <c r="H1805" s="4" t="str">
        <f aca="false">IF(F1805&gt;500,"Yüksek",IF(F1805&gt;100,"Orta","Düşük"))</f>
        <v>Orta</v>
      </c>
    </row>
    <row r="1806" customFormat="false" ht="12.8" hidden="false" customHeight="false" outlineLevel="0" collapsed="false">
      <c r="A1806" s="4" t="s">
        <v>16</v>
      </c>
      <c r="B1806" s="4" t="s">
        <v>17</v>
      </c>
      <c r="C1806" s="4" t="n">
        <v>22</v>
      </c>
      <c r="D1806" s="5" t="n">
        <v>29.75</v>
      </c>
      <c r="E1806" s="6" t="n">
        <f aca="false">DATE(2024,4,12)</f>
        <v>45394</v>
      </c>
      <c r="F1806" s="7" t="n">
        <f aca="false">C1806*D1806</f>
        <v>654.5</v>
      </c>
      <c r="G1806" s="7" t="n">
        <f aca="false">ROUND(F1806*0.2,2)</f>
        <v>130.9</v>
      </c>
      <c r="H1806" s="4" t="str">
        <f aca="false">IF(F1806&gt;500,"Yüksek",IF(F1806&gt;100,"Orta","Düşük"))</f>
        <v>Yüksek</v>
      </c>
    </row>
    <row r="1807" customFormat="false" ht="12.8" hidden="false" customHeight="false" outlineLevel="0" collapsed="false">
      <c r="A1807" s="4" t="s">
        <v>18</v>
      </c>
      <c r="B1807" s="4" t="s">
        <v>19</v>
      </c>
      <c r="C1807" s="4" t="n">
        <v>29</v>
      </c>
      <c r="D1807" s="5" t="n">
        <v>32.5</v>
      </c>
      <c r="E1807" s="6" t="n">
        <f aca="false">DATE(2024,5,13)</f>
        <v>45425</v>
      </c>
      <c r="F1807" s="7" t="n">
        <f aca="false">C1807*D1807</f>
        <v>942.5</v>
      </c>
      <c r="G1807" s="7" t="n">
        <f aca="false">ROUND(F1807*0.2,2)</f>
        <v>188.5</v>
      </c>
      <c r="H1807" s="4" t="str">
        <f aca="false">IF(F1807&gt;500,"Yüksek",IF(F1807&gt;100,"Orta","Düşük"))</f>
        <v>Yüksek</v>
      </c>
    </row>
    <row r="1808" customFormat="false" ht="12.8" hidden="false" customHeight="false" outlineLevel="0" collapsed="false">
      <c r="A1808" s="4" t="s">
        <v>20</v>
      </c>
      <c r="B1808" s="4" t="s">
        <v>11</v>
      </c>
      <c r="C1808" s="4" t="n">
        <v>36</v>
      </c>
      <c r="D1808" s="5" t="n">
        <v>35.25</v>
      </c>
      <c r="E1808" s="6" t="n">
        <f aca="false">DATE(2024,6,14)</f>
        <v>45457</v>
      </c>
      <c r="F1808" s="7" t="n">
        <f aca="false">C1808*D1808</f>
        <v>1269</v>
      </c>
      <c r="G1808" s="7" t="n">
        <f aca="false">ROUND(F1808*0.2,2)</f>
        <v>253.8</v>
      </c>
      <c r="H1808" s="4" t="str">
        <f aca="false">IF(F1808&gt;500,"Yüksek",IF(F1808&gt;100,"Orta","Düşük"))</f>
        <v>Yüksek</v>
      </c>
    </row>
    <row r="1809" customFormat="false" ht="12.8" hidden="false" customHeight="false" outlineLevel="0" collapsed="false">
      <c r="A1809" s="4" t="s">
        <v>21</v>
      </c>
      <c r="B1809" s="4" t="s">
        <v>13</v>
      </c>
      <c r="C1809" s="4" t="n">
        <v>43</v>
      </c>
      <c r="D1809" s="5" t="n">
        <v>38</v>
      </c>
      <c r="E1809" s="6" t="n">
        <f aca="false">DATE(2024,7,15)</f>
        <v>45488</v>
      </c>
      <c r="F1809" s="7" t="n">
        <f aca="false">C1809*D1809</f>
        <v>1634</v>
      </c>
      <c r="G1809" s="7" t="n">
        <f aca="false">ROUND(F1809*0.2,2)</f>
        <v>326.8</v>
      </c>
      <c r="H1809" s="4" t="str">
        <f aca="false">IF(F1809&gt;500,"Yüksek",IF(F1809&gt;100,"Orta","Düşük"))</f>
        <v>Yüksek</v>
      </c>
    </row>
    <row r="1810" customFormat="false" ht="12.8" hidden="false" customHeight="false" outlineLevel="0" collapsed="false">
      <c r="A1810" s="4" t="s">
        <v>22</v>
      </c>
      <c r="B1810" s="4" t="s">
        <v>15</v>
      </c>
      <c r="C1810" s="4" t="n">
        <v>50</v>
      </c>
      <c r="D1810" s="5" t="n">
        <v>5</v>
      </c>
      <c r="E1810" s="6" t="n">
        <f aca="false">DATE(2024,8,16)</f>
        <v>45520</v>
      </c>
      <c r="F1810" s="7" t="n">
        <f aca="false">C1810*D1810</f>
        <v>250</v>
      </c>
      <c r="G1810" s="7" t="n">
        <f aca="false">ROUND(F1810*0.2,2)</f>
        <v>50</v>
      </c>
      <c r="H1810" s="4" t="str">
        <f aca="false">IF(F1810&gt;500,"Yüksek",IF(F1810&gt;100,"Orta","Düşük"))</f>
        <v>Orta</v>
      </c>
    </row>
    <row r="1811" customFormat="false" ht="12.8" hidden="false" customHeight="false" outlineLevel="0" collapsed="false">
      <c r="A1811" s="4" t="s">
        <v>23</v>
      </c>
      <c r="B1811" s="4" t="s">
        <v>17</v>
      </c>
      <c r="C1811" s="4" t="n">
        <v>7</v>
      </c>
      <c r="D1811" s="5" t="n">
        <v>7.75</v>
      </c>
      <c r="E1811" s="6" t="n">
        <f aca="false">DATE(2024,9,17)</f>
        <v>45552</v>
      </c>
      <c r="F1811" s="7" t="n">
        <f aca="false">C1811*D1811</f>
        <v>54.25</v>
      </c>
      <c r="G1811" s="7" t="n">
        <f aca="false">ROUND(F1811*0.2,2)</f>
        <v>10.85</v>
      </c>
      <c r="H1811" s="4" t="str">
        <f aca="false">IF(F1811&gt;500,"Yüksek",IF(F1811&gt;100,"Orta","Düşük"))</f>
        <v>Düşük</v>
      </c>
    </row>
    <row r="1812" customFormat="false" ht="12.8" hidden="false" customHeight="false" outlineLevel="0" collapsed="false">
      <c r="A1812" s="4" t="s">
        <v>24</v>
      </c>
      <c r="B1812" s="4" t="s">
        <v>19</v>
      </c>
      <c r="C1812" s="4" t="n">
        <v>14</v>
      </c>
      <c r="D1812" s="5" t="n">
        <v>10.5</v>
      </c>
      <c r="E1812" s="6" t="n">
        <f aca="false">DATE(2024,10,18)</f>
        <v>45583</v>
      </c>
      <c r="F1812" s="7" t="n">
        <f aca="false">C1812*D1812</f>
        <v>147</v>
      </c>
      <c r="G1812" s="7" t="n">
        <f aca="false">ROUND(F1812*0.2,2)</f>
        <v>29.4</v>
      </c>
      <c r="H1812" s="4" t="str">
        <f aca="false">IF(F1812&gt;500,"Yüksek",IF(F1812&gt;100,"Orta","Düşük"))</f>
        <v>Orta</v>
      </c>
    </row>
    <row r="1813" customFormat="false" ht="12.8" hidden="false" customHeight="false" outlineLevel="0" collapsed="false">
      <c r="A1813" s="4" t="s">
        <v>10</v>
      </c>
      <c r="B1813" s="4" t="s">
        <v>11</v>
      </c>
      <c r="C1813" s="4" t="n">
        <v>21</v>
      </c>
      <c r="D1813" s="5" t="n">
        <v>13.25</v>
      </c>
      <c r="E1813" s="6" t="n">
        <f aca="false">DATE(2024,11,19)</f>
        <v>45615</v>
      </c>
      <c r="F1813" s="7" t="n">
        <f aca="false">C1813*D1813</f>
        <v>278.25</v>
      </c>
      <c r="G1813" s="7" t="n">
        <f aca="false">ROUND(F1813*0.2,2)</f>
        <v>55.65</v>
      </c>
      <c r="H1813" s="4" t="str">
        <f aca="false">IF(F1813&gt;500,"Yüksek",IF(F1813&gt;100,"Orta","Düşük"))</f>
        <v>Orta</v>
      </c>
    </row>
    <row r="1814" customFormat="false" ht="12.8" hidden="false" customHeight="false" outlineLevel="0" collapsed="false">
      <c r="A1814" s="4" t="s">
        <v>12</v>
      </c>
      <c r="B1814" s="4" t="s">
        <v>13</v>
      </c>
      <c r="C1814" s="4" t="n">
        <v>28</v>
      </c>
      <c r="D1814" s="5" t="n">
        <v>16</v>
      </c>
      <c r="E1814" s="6" t="n">
        <f aca="false">DATE(2024,12,20)</f>
        <v>45646</v>
      </c>
      <c r="F1814" s="7" t="n">
        <f aca="false">C1814*D1814</f>
        <v>448</v>
      </c>
      <c r="G1814" s="7" t="n">
        <f aca="false">ROUND(F1814*0.2,2)</f>
        <v>89.6</v>
      </c>
      <c r="H1814" s="4" t="str">
        <f aca="false">IF(F1814&gt;500,"Yüksek",IF(F1814&gt;100,"Orta","Düşük"))</f>
        <v>Orta</v>
      </c>
    </row>
    <row r="1815" customFormat="false" ht="12.8" hidden="false" customHeight="false" outlineLevel="0" collapsed="false">
      <c r="A1815" s="4" t="s">
        <v>14</v>
      </c>
      <c r="B1815" s="4" t="s">
        <v>15</v>
      </c>
      <c r="C1815" s="4" t="n">
        <v>35</v>
      </c>
      <c r="D1815" s="5" t="n">
        <v>18.75</v>
      </c>
      <c r="E1815" s="6" t="n">
        <f aca="false">DATE(2024,1,21)</f>
        <v>45312</v>
      </c>
      <c r="F1815" s="7" t="n">
        <f aca="false">C1815*D1815</f>
        <v>656.25</v>
      </c>
      <c r="G1815" s="7" t="n">
        <f aca="false">ROUND(F1815*0.2,2)</f>
        <v>131.25</v>
      </c>
      <c r="H1815" s="4" t="str">
        <f aca="false">IF(F1815&gt;500,"Yüksek",IF(F1815&gt;100,"Orta","Düşük"))</f>
        <v>Yüksek</v>
      </c>
    </row>
    <row r="1816" customFormat="false" ht="12.8" hidden="false" customHeight="false" outlineLevel="0" collapsed="false">
      <c r="A1816" s="4" t="s">
        <v>16</v>
      </c>
      <c r="B1816" s="4" t="s">
        <v>17</v>
      </c>
      <c r="C1816" s="4" t="n">
        <v>42</v>
      </c>
      <c r="D1816" s="5" t="n">
        <v>21.5</v>
      </c>
      <c r="E1816" s="6" t="n">
        <f aca="false">DATE(2024,2,22)</f>
        <v>45344</v>
      </c>
      <c r="F1816" s="7" t="n">
        <f aca="false">C1816*D1816</f>
        <v>903</v>
      </c>
      <c r="G1816" s="7" t="n">
        <f aca="false">ROUND(F1816*0.2,2)</f>
        <v>180.6</v>
      </c>
      <c r="H1816" s="4" t="str">
        <f aca="false">IF(F1816&gt;500,"Yüksek",IF(F1816&gt;100,"Orta","Düşük"))</f>
        <v>Yüksek</v>
      </c>
    </row>
    <row r="1817" customFormat="false" ht="12.8" hidden="false" customHeight="false" outlineLevel="0" collapsed="false">
      <c r="A1817" s="4" t="s">
        <v>18</v>
      </c>
      <c r="B1817" s="4" t="s">
        <v>19</v>
      </c>
      <c r="C1817" s="4" t="n">
        <v>49</v>
      </c>
      <c r="D1817" s="5" t="n">
        <v>24.25</v>
      </c>
      <c r="E1817" s="6" t="n">
        <f aca="false">DATE(2024,3,23)</f>
        <v>45374</v>
      </c>
      <c r="F1817" s="7" t="n">
        <f aca="false">C1817*D1817</f>
        <v>1188.25</v>
      </c>
      <c r="G1817" s="7" t="n">
        <f aca="false">ROUND(F1817*0.2,2)</f>
        <v>237.65</v>
      </c>
      <c r="H1817" s="4" t="str">
        <f aca="false">IF(F1817&gt;500,"Yüksek",IF(F1817&gt;100,"Orta","Düşük"))</f>
        <v>Yüksek</v>
      </c>
    </row>
    <row r="1818" customFormat="false" ht="12.8" hidden="false" customHeight="false" outlineLevel="0" collapsed="false">
      <c r="A1818" s="4" t="s">
        <v>20</v>
      </c>
      <c r="B1818" s="4" t="s">
        <v>11</v>
      </c>
      <c r="C1818" s="4" t="n">
        <v>6</v>
      </c>
      <c r="D1818" s="5" t="n">
        <v>27</v>
      </c>
      <c r="E1818" s="6" t="n">
        <f aca="false">DATE(2024,4,24)</f>
        <v>45406</v>
      </c>
      <c r="F1818" s="7" t="n">
        <f aca="false">C1818*D1818</f>
        <v>162</v>
      </c>
      <c r="G1818" s="7" t="n">
        <f aca="false">ROUND(F1818*0.2,2)</f>
        <v>32.4</v>
      </c>
      <c r="H1818" s="4" t="str">
        <f aca="false">IF(F1818&gt;500,"Yüksek",IF(F1818&gt;100,"Orta","Düşük"))</f>
        <v>Orta</v>
      </c>
    </row>
    <row r="1819" customFormat="false" ht="12.8" hidden="false" customHeight="false" outlineLevel="0" collapsed="false">
      <c r="A1819" s="4" t="s">
        <v>21</v>
      </c>
      <c r="B1819" s="4" t="s">
        <v>13</v>
      </c>
      <c r="C1819" s="4" t="n">
        <v>13</v>
      </c>
      <c r="D1819" s="5" t="n">
        <v>29.75</v>
      </c>
      <c r="E1819" s="6" t="n">
        <f aca="false">DATE(2024,5,25)</f>
        <v>45437</v>
      </c>
      <c r="F1819" s="7" t="n">
        <f aca="false">C1819*D1819</f>
        <v>386.75</v>
      </c>
      <c r="G1819" s="7" t="n">
        <f aca="false">ROUND(F1819*0.2,2)</f>
        <v>77.35</v>
      </c>
      <c r="H1819" s="4" t="str">
        <f aca="false">IF(F1819&gt;500,"Yüksek",IF(F1819&gt;100,"Orta","Düşük"))</f>
        <v>Orta</v>
      </c>
    </row>
    <row r="1820" customFormat="false" ht="12.8" hidden="false" customHeight="false" outlineLevel="0" collapsed="false">
      <c r="A1820" s="4" t="s">
        <v>22</v>
      </c>
      <c r="B1820" s="4" t="s">
        <v>15</v>
      </c>
      <c r="C1820" s="4" t="n">
        <v>20</v>
      </c>
      <c r="D1820" s="5" t="n">
        <v>32.5</v>
      </c>
      <c r="E1820" s="6" t="n">
        <f aca="false">DATE(2024,6,26)</f>
        <v>45469</v>
      </c>
      <c r="F1820" s="7" t="n">
        <f aca="false">C1820*D1820</f>
        <v>650</v>
      </c>
      <c r="G1820" s="7" t="n">
        <f aca="false">ROUND(F1820*0.2,2)</f>
        <v>130</v>
      </c>
      <c r="H1820" s="4" t="str">
        <f aca="false">IF(F1820&gt;500,"Yüksek",IF(F1820&gt;100,"Orta","Düşük"))</f>
        <v>Yüksek</v>
      </c>
    </row>
    <row r="1821" customFormat="false" ht="12.8" hidden="false" customHeight="false" outlineLevel="0" collapsed="false">
      <c r="A1821" s="4" t="s">
        <v>23</v>
      </c>
      <c r="B1821" s="4" t="s">
        <v>17</v>
      </c>
      <c r="C1821" s="4" t="n">
        <v>27</v>
      </c>
      <c r="D1821" s="5" t="n">
        <v>35.25</v>
      </c>
      <c r="E1821" s="6" t="n">
        <f aca="false">DATE(2024,7,27)</f>
        <v>45500</v>
      </c>
      <c r="F1821" s="7" t="n">
        <f aca="false">C1821*D1821</f>
        <v>951.75</v>
      </c>
      <c r="G1821" s="7" t="n">
        <f aca="false">ROUND(F1821*0.2,2)</f>
        <v>190.35</v>
      </c>
      <c r="H1821" s="4" t="str">
        <f aca="false">IF(F1821&gt;500,"Yüksek",IF(F1821&gt;100,"Orta","Düşük"))</f>
        <v>Yüksek</v>
      </c>
    </row>
    <row r="1822" customFormat="false" ht="12.8" hidden="false" customHeight="false" outlineLevel="0" collapsed="false">
      <c r="A1822" s="4" t="s">
        <v>24</v>
      </c>
      <c r="B1822" s="4" t="s">
        <v>19</v>
      </c>
      <c r="C1822" s="4" t="n">
        <v>34</v>
      </c>
      <c r="D1822" s="5" t="n">
        <v>38</v>
      </c>
      <c r="E1822" s="6" t="n">
        <f aca="false">DATE(2024,8,28)</f>
        <v>45532</v>
      </c>
      <c r="F1822" s="7" t="n">
        <f aca="false">C1822*D1822</f>
        <v>1292</v>
      </c>
      <c r="G1822" s="7" t="n">
        <f aca="false">ROUND(F1822*0.2,2)</f>
        <v>258.4</v>
      </c>
      <c r="H1822" s="4" t="str">
        <f aca="false">IF(F1822&gt;500,"Yüksek",IF(F1822&gt;100,"Orta","Düşük"))</f>
        <v>Yüksek</v>
      </c>
    </row>
    <row r="1823" customFormat="false" ht="12.8" hidden="false" customHeight="false" outlineLevel="0" collapsed="false">
      <c r="A1823" s="4" t="s">
        <v>10</v>
      </c>
      <c r="B1823" s="4" t="s">
        <v>11</v>
      </c>
      <c r="C1823" s="4" t="n">
        <v>41</v>
      </c>
      <c r="D1823" s="5" t="n">
        <v>5</v>
      </c>
      <c r="E1823" s="6" t="n">
        <f aca="false">DATE(2024,9,1)</f>
        <v>45536</v>
      </c>
      <c r="F1823" s="7" t="n">
        <f aca="false">C1823*D1823</f>
        <v>205</v>
      </c>
      <c r="G1823" s="7" t="n">
        <f aca="false">ROUND(F1823*0.2,2)</f>
        <v>41</v>
      </c>
      <c r="H1823" s="4" t="str">
        <f aca="false">IF(F1823&gt;500,"Yüksek",IF(F1823&gt;100,"Orta","Düşük"))</f>
        <v>Orta</v>
      </c>
    </row>
    <row r="1824" customFormat="false" ht="12.8" hidden="false" customHeight="false" outlineLevel="0" collapsed="false">
      <c r="A1824" s="4" t="s">
        <v>12</v>
      </c>
      <c r="B1824" s="4" t="s">
        <v>13</v>
      </c>
      <c r="C1824" s="4" t="n">
        <v>48</v>
      </c>
      <c r="D1824" s="5" t="n">
        <v>7.75</v>
      </c>
      <c r="E1824" s="6" t="n">
        <f aca="false">DATE(2024,10,2)</f>
        <v>45567</v>
      </c>
      <c r="F1824" s="7" t="n">
        <f aca="false">C1824*D1824</f>
        <v>372</v>
      </c>
      <c r="G1824" s="7" t="n">
        <f aca="false">ROUND(F1824*0.2,2)</f>
        <v>74.4</v>
      </c>
      <c r="H1824" s="4" t="str">
        <f aca="false">IF(F1824&gt;500,"Yüksek",IF(F1824&gt;100,"Orta","Düşük"))</f>
        <v>Orta</v>
      </c>
    </row>
    <row r="1825" customFormat="false" ht="12.8" hidden="false" customHeight="false" outlineLevel="0" collapsed="false">
      <c r="A1825" s="4" t="s">
        <v>14</v>
      </c>
      <c r="B1825" s="4" t="s">
        <v>15</v>
      </c>
      <c r="C1825" s="4" t="n">
        <v>5</v>
      </c>
      <c r="D1825" s="5" t="n">
        <v>10.5</v>
      </c>
      <c r="E1825" s="6" t="n">
        <f aca="false">DATE(2024,11,3)</f>
        <v>45599</v>
      </c>
      <c r="F1825" s="7" t="n">
        <f aca="false">C1825*D1825</f>
        <v>52.5</v>
      </c>
      <c r="G1825" s="7" t="n">
        <f aca="false">ROUND(F1825*0.2,2)</f>
        <v>10.5</v>
      </c>
      <c r="H1825" s="4" t="str">
        <f aca="false">IF(F1825&gt;500,"Yüksek",IF(F1825&gt;100,"Orta","Düşük"))</f>
        <v>Düşük</v>
      </c>
    </row>
    <row r="1826" customFormat="false" ht="12.8" hidden="false" customHeight="false" outlineLevel="0" collapsed="false">
      <c r="A1826" s="4" t="s">
        <v>16</v>
      </c>
      <c r="B1826" s="4" t="s">
        <v>17</v>
      </c>
      <c r="C1826" s="4" t="n">
        <v>12</v>
      </c>
      <c r="D1826" s="5" t="n">
        <v>13.25</v>
      </c>
      <c r="E1826" s="6" t="n">
        <f aca="false">DATE(2024,12,4)</f>
        <v>45630</v>
      </c>
      <c r="F1826" s="7" t="n">
        <f aca="false">C1826*D1826</f>
        <v>159</v>
      </c>
      <c r="G1826" s="7" t="n">
        <f aca="false">ROUND(F1826*0.2,2)</f>
        <v>31.8</v>
      </c>
      <c r="H1826" s="4" t="str">
        <f aca="false">IF(F1826&gt;500,"Yüksek",IF(F1826&gt;100,"Orta","Düşük"))</f>
        <v>Orta</v>
      </c>
    </row>
    <row r="1827" customFormat="false" ht="12.8" hidden="false" customHeight="false" outlineLevel="0" collapsed="false">
      <c r="A1827" s="4" t="s">
        <v>18</v>
      </c>
      <c r="B1827" s="4" t="s">
        <v>19</v>
      </c>
      <c r="C1827" s="4" t="n">
        <v>19</v>
      </c>
      <c r="D1827" s="5" t="n">
        <v>16</v>
      </c>
      <c r="E1827" s="6" t="n">
        <f aca="false">DATE(2024,1,5)</f>
        <v>45296</v>
      </c>
      <c r="F1827" s="7" t="n">
        <f aca="false">C1827*D1827</f>
        <v>304</v>
      </c>
      <c r="G1827" s="7" t="n">
        <f aca="false">ROUND(F1827*0.2,2)</f>
        <v>60.8</v>
      </c>
      <c r="H1827" s="4" t="str">
        <f aca="false">IF(F1827&gt;500,"Yüksek",IF(F1827&gt;100,"Orta","Düşük"))</f>
        <v>Orta</v>
      </c>
    </row>
    <row r="1828" customFormat="false" ht="12.8" hidden="false" customHeight="false" outlineLevel="0" collapsed="false">
      <c r="A1828" s="4" t="s">
        <v>20</v>
      </c>
      <c r="B1828" s="4" t="s">
        <v>11</v>
      </c>
      <c r="C1828" s="4" t="n">
        <v>26</v>
      </c>
      <c r="D1828" s="5" t="n">
        <v>18.75</v>
      </c>
      <c r="E1828" s="6" t="n">
        <f aca="false">DATE(2024,2,6)</f>
        <v>45328</v>
      </c>
      <c r="F1828" s="7" t="n">
        <f aca="false">C1828*D1828</f>
        <v>487.5</v>
      </c>
      <c r="G1828" s="7" t="n">
        <f aca="false">ROUND(F1828*0.2,2)</f>
        <v>97.5</v>
      </c>
      <c r="H1828" s="4" t="str">
        <f aca="false">IF(F1828&gt;500,"Yüksek",IF(F1828&gt;100,"Orta","Düşük"))</f>
        <v>Orta</v>
      </c>
    </row>
    <row r="1829" customFormat="false" ht="12.8" hidden="false" customHeight="false" outlineLevel="0" collapsed="false">
      <c r="A1829" s="4" t="s">
        <v>21</v>
      </c>
      <c r="B1829" s="4" t="s">
        <v>13</v>
      </c>
      <c r="C1829" s="4" t="n">
        <v>33</v>
      </c>
      <c r="D1829" s="5" t="n">
        <v>21.5</v>
      </c>
      <c r="E1829" s="6" t="n">
        <f aca="false">DATE(2024,3,7)</f>
        <v>45358</v>
      </c>
      <c r="F1829" s="7" t="n">
        <f aca="false">C1829*D1829</f>
        <v>709.5</v>
      </c>
      <c r="G1829" s="7" t="n">
        <f aca="false">ROUND(F1829*0.2,2)</f>
        <v>141.9</v>
      </c>
      <c r="H1829" s="4" t="str">
        <f aca="false">IF(F1829&gt;500,"Yüksek",IF(F1829&gt;100,"Orta","Düşük"))</f>
        <v>Yüksek</v>
      </c>
    </row>
    <row r="1830" customFormat="false" ht="12.8" hidden="false" customHeight="false" outlineLevel="0" collapsed="false">
      <c r="A1830" s="4" t="s">
        <v>22</v>
      </c>
      <c r="B1830" s="4" t="s">
        <v>15</v>
      </c>
      <c r="C1830" s="4" t="n">
        <v>40</v>
      </c>
      <c r="D1830" s="5" t="n">
        <v>24.25</v>
      </c>
      <c r="E1830" s="6" t="n">
        <f aca="false">DATE(2024,4,8)</f>
        <v>45390</v>
      </c>
      <c r="F1830" s="7" t="n">
        <f aca="false">C1830*D1830</f>
        <v>970</v>
      </c>
      <c r="G1830" s="7" t="n">
        <f aca="false">ROUND(F1830*0.2,2)</f>
        <v>194</v>
      </c>
      <c r="H1830" s="4" t="str">
        <f aca="false">IF(F1830&gt;500,"Yüksek",IF(F1830&gt;100,"Orta","Düşük"))</f>
        <v>Yüksek</v>
      </c>
    </row>
    <row r="1831" customFormat="false" ht="12.8" hidden="false" customHeight="false" outlineLevel="0" collapsed="false">
      <c r="A1831" s="4" t="s">
        <v>23</v>
      </c>
      <c r="B1831" s="4" t="s">
        <v>17</v>
      </c>
      <c r="C1831" s="4" t="n">
        <v>47</v>
      </c>
      <c r="D1831" s="5" t="n">
        <v>27</v>
      </c>
      <c r="E1831" s="6" t="n">
        <f aca="false">DATE(2024,5,9)</f>
        <v>45421</v>
      </c>
      <c r="F1831" s="7" t="n">
        <f aca="false">C1831*D1831</f>
        <v>1269</v>
      </c>
      <c r="G1831" s="7" t="n">
        <f aca="false">ROUND(F1831*0.2,2)</f>
        <v>253.8</v>
      </c>
      <c r="H1831" s="4" t="str">
        <f aca="false">IF(F1831&gt;500,"Yüksek",IF(F1831&gt;100,"Orta","Düşük"))</f>
        <v>Yüksek</v>
      </c>
    </row>
    <row r="1832" customFormat="false" ht="12.8" hidden="false" customHeight="false" outlineLevel="0" collapsed="false">
      <c r="A1832" s="4" t="s">
        <v>24</v>
      </c>
      <c r="B1832" s="4" t="s">
        <v>19</v>
      </c>
      <c r="C1832" s="4" t="n">
        <v>4</v>
      </c>
      <c r="D1832" s="5" t="n">
        <v>29.75</v>
      </c>
      <c r="E1832" s="6" t="n">
        <f aca="false">DATE(2024,6,10)</f>
        <v>45453</v>
      </c>
      <c r="F1832" s="7" t="n">
        <f aca="false">C1832*D1832</f>
        <v>119</v>
      </c>
      <c r="G1832" s="7" t="n">
        <f aca="false">ROUND(F1832*0.2,2)</f>
        <v>23.8</v>
      </c>
      <c r="H1832" s="4" t="str">
        <f aca="false">IF(F1832&gt;500,"Yüksek",IF(F1832&gt;100,"Orta","Düşük"))</f>
        <v>Orta</v>
      </c>
    </row>
    <row r="1833" customFormat="false" ht="12.8" hidden="false" customHeight="false" outlineLevel="0" collapsed="false">
      <c r="A1833" s="4" t="s">
        <v>10</v>
      </c>
      <c r="B1833" s="4" t="s">
        <v>11</v>
      </c>
      <c r="C1833" s="4" t="n">
        <v>11</v>
      </c>
      <c r="D1833" s="5" t="n">
        <v>32.5</v>
      </c>
      <c r="E1833" s="6" t="n">
        <f aca="false">DATE(2024,7,11)</f>
        <v>45484</v>
      </c>
      <c r="F1833" s="7" t="n">
        <f aca="false">C1833*D1833</f>
        <v>357.5</v>
      </c>
      <c r="G1833" s="7" t="n">
        <f aca="false">ROUND(F1833*0.2,2)</f>
        <v>71.5</v>
      </c>
      <c r="H1833" s="4" t="str">
        <f aca="false">IF(F1833&gt;500,"Yüksek",IF(F1833&gt;100,"Orta","Düşük"))</f>
        <v>Orta</v>
      </c>
    </row>
    <row r="1834" customFormat="false" ht="12.8" hidden="false" customHeight="false" outlineLevel="0" collapsed="false">
      <c r="A1834" s="4" t="s">
        <v>12</v>
      </c>
      <c r="B1834" s="4" t="s">
        <v>13</v>
      </c>
      <c r="C1834" s="4" t="n">
        <v>18</v>
      </c>
      <c r="D1834" s="5" t="n">
        <v>35.25</v>
      </c>
      <c r="E1834" s="6" t="n">
        <f aca="false">DATE(2024,8,12)</f>
        <v>45516</v>
      </c>
      <c r="F1834" s="7" t="n">
        <f aca="false">C1834*D1834</f>
        <v>634.5</v>
      </c>
      <c r="G1834" s="7" t="n">
        <f aca="false">ROUND(F1834*0.2,2)</f>
        <v>126.9</v>
      </c>
      <c r="H1834" s="4" t="str">
        <f aca="false">IF(F1834&gt;500,"Yüksek",IF(F1834&gt;100,"Orta","Düşük"))</f>
        <v>Yüksek</v>
      </c>
    </row>
    <row r="1835" customFormat="false" ht="12.8" hidden="false" customHeight="false" outlineLevel="0" collapsed="false">
      <c r="A1835" s="4" t="s">
        <v>14</v>
      </c>
      <c r="B1835" s="4" t="s">
        <v>15</v>
      </c>
      <c r="C1835" s="4" t="n">
        <v>25</v>
      </c>
      <c r="D1835" s="5" t="n">
        <v>38</v>
      </c>
      <c r="E1835" s="6" t="n">
        <f aca="false">DATE(2024,9,13)</f>
        <v>45548</v>
      </c>
      <c r="F1835" s="7" t="n">
        <f aca="false">C1835*D1835</f>
        <v>950</v>
      </c>
      <c r="G1835" s="7" t="n">
        <f aca="false">ROUND(F1835*0.2,2)</f>
        <v>190</v>
      </c>
      <c r="H1835" s="4" t="str">
        <f aca="false">IF(F1835&gt;500,"Yüksek",IF(F1835&gt;100,"Orta","Düşük"))</f>
        <v>Yüksek</v>
      </c>
    </row>
    <row r="1836" customFormat="false" ht="12.8" hidden="false" customHeight="false" outlineLevel="0" collapsed="false">
      <c r="A1836" s="4" t="s">
        <v>16</v>
      </c>
      <c r="B1836" s="4" t="s">
        <v>17</v>
      </c>
      <c r="C1836" s="4" t="n">
        <v>32</v>
      </c>
      <c r="D1836" s="5" t="n">
        <v>5</v>
      </c>
      <c r="E1836" s="6" t="n">
        <f aca="false">DATE(2024,10,14)</f>
        <v>45579</v>
      </c>
      <c r="F1836" s="7" t="n">
        <f aca="false">C1836*D1836</f>
        <v>160</v>
      </c>
      <c r="G1836" s="7" t="n">
        <f aca="false">ROUND(F1836*0.2,2)</f>
        <v>32</v>
      </c>
      <c r="H1836" s="4" t="str">
        <f aca="false">IF(F1836&gt;500,"Yüksek",IF(F1836&gt;100,"Orta","Düşük"))</f>
        <v>Orta</v>
      </c>
    </row>
    <row r="1837" customFormat="false" ht="12.8" hidden="false" customHeight="false" outlineLevel="0" collapsed="false">
      <c r="A1837" s="4" t="s">
        <v>18</v>
      </c>
      <c r="B1837" s="4" t="s">
        <v>19</v>
      </c>
      <c r="C1837" s="4" t="n">
        <v>39</v>
      </c>
      <c r="D1837" s="5" t="n">
        <v>7.75</v>
      </c>
      <c r="E1837" s="6" t="n">
        <f aca="false">DATE(2024,11,15)</f>
        <v>45611</v>
      </c>
      <c r="F1837" s="7" t="n">
        <f aca="false">C1837*D1837</f>
        <v>302.25</v>
      </c>
      <c r="G1837" s="7" t="n">
        <f aca="false">ROUND(F1837*0.2,2)</f>
        <v>60.45</v>
      </c>
      <c r="H1837" s="4" t="str">
        <f aca="false">IF(F1837&gt;500,"Yüksek",IF(F1837&gt;100,"Orta","Düşük"))</f>
        <v>Orta</v>
      </c>
    </row>
    <row r="1838" customFormat="false" ht="12.8" hidden="false" customHeight="false" outlineLevel="0" collapsed="false">
      <c r="A1838" s="4" t="s">
        <v>20</v>
      </c>
      <c r="B1838" s="4" t="s">
        <v>11</v>
      </c>
      <c r="C1838" s="4" t="n">
        <v>46</v>
      </c>
      <c r="D1838" s="5" t="n">
        <v>10.5</v>
      </c>
      <c r="E1838" s="6" t="n">
        <f aca="false">DATE(2024,12,16)</f>
        <v>45642</v>
      </c>
      <c r="F1838" s="7" t="n">
        <f aca="false">C1838*D1838</f>
        <v>483</v>
      </c>
      <c r="G1838" s="7" t="n">
        <f aca="false">ROUND(F1838*0.2,2)</f>
        <v>96.6</v>
      </c>
      <c r="H1838" s="4" t="str">
        <f aca="false">IF(F1838&gt;500,"Yüksek",IF(F1838&gt;100,"Orta","Düşük"))</f>
        <v>Orta</v>
      </c>
    </row>
    <row r="1839" customFormat="false" ht="12.8" hidden="false" customHeight="false" outlineLevel="0" collapsed="false">
      <c r="A1839" s="4" t="s">
        <v>21</v>
      </c>
      <c r="B1839" s="4" t="s">
        <v>13</v>
      </c>
      <c r="C1839" s="4" t="n">
        <v>3</v>
      </c>
      <c r="D1839" s="5" t="n">
        <v>13.25</v>
      </c>
      <c r="E1839" s="6" t="n">
        <f aca="false">DATE(2024,1,17)</f>
        <v>45308</v>
      </c>
      <c r="F1839" s="7" t="n">
        <f aca="false">C1839*D1839</f>
        <v>39.75</v>
      </c>
      <c r="G1839" s="7" t="n">
        <f aca="false">ROUND(F1839*0.2,2)</f>
        <v>7.95</v>
      </c>
      <c r="H1839" s="4" t="str">
        <f aca="false">IF(F1839&gt;500,"Yüksek",IF(F1839&gt;100,"Orta","Düşük"))</f>
        <v>Düşük</v>
      </c>
    </row>
    <row r="1840" customFormat="false" ht="12.8" hidden="false" customHeight="false" outlineLevel="0" collapsed="false">
      <c r="A1840" s="4" t="s">
        <v>22</v>
      </c>
      <c r="B1840" s="4" t="s">
        <v>15</v>
      </c>
      <c r="C1840" s="4" t="n">
        <v>10</v>
      </c>
      <c r="D1840" s="5" t="n">
        <v>16</v>
      </c>
      <c r="E1840" s="6" t="n">
        <f aca="false">DATE(2024,2,18)</f>
        <v>45340</v>
      </c>
      <c r="F1840" s="7" t="n">
        <f aca="false">C1840*D1840</f>
        <v>160</v>
      </c>
      <c r="G1840" s="7" t="n">
        <f aca="false">ROUND(F1840*0.2,2)</f>
        <v>32</v>
      </c>
      <c r="H1840" s="4" t="str">
        <f aca="false">IF(F1840&gt;500,"Yüksek",IF(F1840&gt;100,"Orta","Düşük"))</f>
        <v>Orta</v>
      </c>
    </row>
    <row r="1841" customFormat="false" ht="12.8" hidden="false" customHeight="false" outlineLevel="0" collapsed="false">
      <c r="A1841" s="4" t="s">
        <v>23</v>
      </c>
      <c r="B1841" s="4" t="s">
        <v>17</v>
      </c>
      <c r="C1841" s="4" t="n">
        <v>17</v>
      </c>
      <c r="D1841" s="5" t="n">
        <v>18.75</v>
      </c>
      <c r="E1841" s="6" t="n">
        <f aca="false">DATE(2024,3,19)</f>
        <v>45370</v>
      </c>
      <c r="F1841" s="7" t="n">
        <f aca="false">C1841*D1841</f>
        <v>318.75</v>
      </c>
      <c r="G1841" s="7" t="n">
        <f aca="false">ROUND(F1841*0.2,2)</f>
        <v>63.75</v>
      </c>
      <c r="H1841" s="4" t="str">
        <f aca="false">IF(F1841&gt;500,"Yüksek",IF(F1841&gt;100,"Orta","Düşük"))</f>
        <v>Orta</v>
      </c>
    </row>
    <row r="1842" customFormat="false" ht="12.8" hidden="false" customHeight="false" outlineLevel="0" collapsed="false">
      <c r="A1842" s="4" t="s">
        <v>24</v>
      </c>
      <c r="B1842" s="4" t="s">
        <v>19</v>
      </c>
      <c r="C1842" s="4" t="n">
        <v>24</v>
      </c>
      <c r="D1842" s="5" t="n">
        <v>21.5</v>
      </c>
      <c r="E1842" s="6" t="n">
        <f aca="false">DATE(2024,4,20)</f>
        <v>45402</v>
      </c>
      <c r="F1842" s="7" t="n">
        <f aca="false">C1842*D1842</f>
        <v>516</v>
      </c>
      <c r="G1842" s="7" t="n">
        <f aca="false">ROUND(F1842*0.2,2)</f>
        <v>103.2</v>
      </c>
      <c r="H1842" s="4" t="str">
        <f aca="false">IF(F1842&gt;500,"Yüksek",IF(F1842&gt;100,"Orta","Düşük"))</f>
        <v>Yüksek</v>
      </c>
    </row>
    <row r="1843" customFormat="false" ht="12.8" hidden="false" customHeight="false" outlineLevel="0" collapsed="false">
      <c r="A1843" s="4" t="s">
        <v>10</v>
      </c>
      <c r="B1843" s="4" t="s">
        <v>11</v>
      </c>
      <c r="C1843" s="4" t="n">
        <v>31</v>
      </c>
      <c r="D1843" s="5" t="n">
        <v>24.25</v>
      </c>
      <c r="E1843" s="6" t="n">
        <f aca="false">DATE(2024,5,21)</f>
        <v>45433</v>
      </c>
      <c r="F1843" s="7" t="n">
        <f aca="false">C1843*D1843</f>
        <v>751.75</v>
      </c>
      <c r="G1843" s="7" t="n">
        <f aca="false">ROUND(F1843*0.2,2)</f>
        <v>150.35</v>
      </c>
      <c r="H1843" s="4" t="str">
        <f aca="false">IF(F1843&gt;500,"Yüksek",IF(F1843&gt;100,"Orta","Düşük"))</f>
        <v>Yüksek</v>
      </c>
    </row>
    <row r="1844" customFormat="false" ht="12.8" hidden="false" customHeight="false" outlineLevel="0" collapsed="false">
      <c r="A1844" s="4" t="s">
        <v>12</v>
      </c>
      <c r="B1844" s="4" t="s">
        <v>13</v>
      </c>
      <c r="C1844" s="4" t="n">
        <v>38</v>
      </c>
      <c r="D1844" s="5" t="n">
        <v>27</v>
      </c>
      <c r="E1844" s="6" t="n">
        <f aca="false">DATE(2024,6,22)</f>
        <v>45465</v>
      </c>
      <c r="F1844" s="7" t="n">
        <f aca="false">C1844*D1844</f>
        <v>1026</v>
      </c>
      <c r="G1844" s="7" t="n">
        <f aca="false">ROUND(F1844*0.2,2)</f>
        <v>205.2</v>
      </c>
      <c r="H1844" s="4" t="str">
        <f aca="false">IF(F1844&gt;500,"Yüksek",IF(F1844&gt;100,"Orta","Düşük"))</f>
        <v>Yüksek</v>
      </c>
    </row>
    <row r="1845" customFormat="false" ht="12.8" hidden="false" customHeight="false" outlineLevel="0" collapsed="false">
      <c r="A1845" s="4" t="s">
        <v>14</v>
      </c>
      <c r="B1845" s="4" t="s">
        <v>15</v>
      </c>
      <c r="C1845" s="4" t="n">
        <v>45</v>
      </c>
      <c r="D1845" s="5" t="n">
        <v>29.75</v>
      </c>
      <c r="E1845" s="6" t="n">
        <f aca="false">DATE(2024,7,23)</f>
        <v>45496</v>
      </c>
      <c r="F1845" s="7" t="n">
        <f aca="false">C1845*D1845</f>
        <v>1338.75</v>
      </c>
      <c r="G1845" s="7" t="n">
        <f aca="false">ROUND(F1845*0.2,2)</f>
        <v>267.75</v>
      </c>
      <c r="H1845" s="4" t="str">
        <f aca="false">IF(F1845&gt;500,"Yüksek",IF(F1845&gt;100,"Orta","Düşük"))</f>
        <v>Yüksek</v>
      </c>
    </row>
    <row r="1846" customFormat="false" ht="12.8" hidden="false" customHeight="false" outlineLevel="0" collapsed="false">
      <c r="A1846" s="4" t="s">
        <v>16</v>
      </c>
      <c r="B1846" s="4" t="s">
        <v>17</v>
      </c>
      <c r="C1846" s="4" t="n">
        <v>2</v>
      </c>
      <c r="D1846" s="5" t="n">
        <v>32.5</v>
      </c>
      <c r="E1846" s="6" t="n">
        <f aca="false">DATE(2024,8,24)</f>
        <v>45528</v>
      </c>
      <c r="F1846" s="7" t="n">
        <f aca="false">C1846*D1846</f>
        <v>65</v>
      </c>
      <c r="G1846" s="7" t="n">
        <f aca="false">ROUND(F1846*0.2,2)</f>
        <v>13</v>
      </c>
      <c r="H1846" s="4" t="str">
        <f aca="false">IF(F1846&gt;500,"Yüksek",IF(F1846&gt;100,"Orta","Düşük"))</f>
        <v>Düşük</v>
      </c>
    </row>
    <row r="1847" customFormat="false" ht="12.8" hidden="false" customHeight="false" outlineLevel="0" collapsed="false">
      <c r="A1847" s="4" t="s">
        <v>18</v>
      </c>
      <c r="B1847" s="4" t="s">
        <v>19</v>
      </c>
      <c r="C1847" s="4" t="n">
        <v>9</v>
      </c>
      <c r="D1847" s="5" t="n">
        <v>35.25</v>
      </c>
      <c r="E1847" s="6" t="n">
        <f aca="false">DATE(2024,9,25)</f>
        <v>45560</v>
      </c>
      <c r="F1847" s="7" t="n">
        <f aca="false">C1847*D1847</f>
        <v>317.25</v>
      </c>
      <c r="G1847" s="7" t="n">
        <f aca="false">ROUND(F1847*0.2,2)</f>
        <v>63.45</v>
      </c>
      <c r="H1847" s="4" t="str">
        <f aca="false">IF(F1847&gt;500,"Yüksek",IF(F1847&gt;100,"Orta","Düşük"))</f>
        <v>Orta</v>
      </c>
    </row>
    <row r="1848" customFormat="false" ht="12.8" hidden="false" customHeight="false" outlineLevel="0" collapsed="false">
      <c r="A1848" s="4" t="s">
        <v>20</v>
      </c>
      <c r="B1848" s="4" t="s">
        <v>11</v>
      </c>
      <c r="C1848" s="4" t="n">
        <v>16</v>
      </c>
      <c r="D1848" s="5" t="n">
        <v>38</v>
      </c>
      <c r="E1848" s="6" t="n">
        <f aca="false">DATE(2024,10,26)</f>
        <v>45591</v>
      </c>
      <c r="F1848" s="7" t="n">
        <f aca="false">C1848*D1848</f>
        <v>608</v>
      </c>
      <c r="G1848" s="7" t="n">
        <f aca="false">ROUND(F1848*0.2,2)</f>
        <v>121.6</v>
      </c>
      <c r="H1848" s="4" t="str">
        <f aca="false">IF(F1848&gt;500,"Yüksek",IF(F1848&gt;100,"Orta","Düşük"))</f>
        <v>Yüksek</v>
      </c>
    </row>
    <row r="1849" customFormat="false" ht="12.8" hidden="false" customHeight="false" outlineLevel="0" collapsed="false">
      <c r="A1849" s="4" t="s">
        <v>21</v>
      </c>
      <c r="B1849" s="4" t="s">
        <v>13</v>
      </c>
      <c r="C1849" s="4" t="n">
        <v>23</v>
      </c>
      <c r="D1849" s="5" t="n">
        <v>5</v>
      </c>
      <c r="E1849" s="6" t="n">
        <f aca="false">DATE(2024,11,27)</f>
        <v>45623</v>
      </c>
      <c r="F1849" s="7" t="n">
        <f aca="false">C1849*D1849</f>
        <v>115</v>
      </c>
      <c r="G1849" s="7" t="n">
        <f aca="false">ROUND(F1849*0.2,2)</f>
        <v>23</v>
      </c>
      <c r="H1849" s="4" t="str">
        <f aca="false">IF(F1849&gt;500,"Yüksek",IF(F1849&gt;100,"Orta","Düşük"))</f>
        <v>Orta</v>
      </c>
    </row>
    <row r="1850" customFormat="false" ht="12.8" hidden="false" customHeight="false" outlineLevel="0" collapsed="false">
      <c r="A1850" s="4" t="s">
        <v>22</v>
      </c>
      <c r="B1850" s="4" t="s">
        <v>15</v>
      </c>
      <c r="C1850" s="4" t="n">
        <v>30</v>
      </c>
      <c r="D1850" s="5" t="n">
        <v>7.75</v>
      </c>
      <c r="E1850" s="6" t="n">
        <f aca="false">DATE(2024,12,28)</f>
        <v>45654</v>
      </c>
      <c r="F1850" s="7" t="n">
        <f aca="false">C1850*D1850</f>
        <v>232.5</v>
      </c>
      <c r="G1850" s="7" t="n">
        <f aca="false">ROUND(F1850*0.2,2)</f>
        <v>46.5</v>
      </c>
      <c r="H1850" s="4" t="str">
        <f aca="false">IF(F1850&gt;500,"Yüksek",IF(F1850&gt;100,"Orta","Düşük"))</f>
        <v>Orta</v>
      </c>
    </row>
    <row r="1851" customFormat="false" ht="12.8" hidden="false" customHeight="false" outlineLevel="0" collapsed="false">
      <c r="A1851" s="4" t="s">
        <v>23</v>
      </c>
      <c r="B1851" s="4" t="s">
        <v>17</v>
      </c>
      <c r="C1851" s="4" t="n">
        <v>37</v>
      </c>
      <c r="D1851" s="5" t="n">
        <v>10.5</v>
      </c>
      <c r="E1851" s="6" t="n">
        <f aca="false">DATE(2024,1,1)</f>
        <v>45292</v>
      </c>
      <c r="F1851" s="7" t="n">
        <f aca="false">C1851*D1851</f>
        <v>388.5</v>
      </c>
      <c r="G1851" s="7" t="n">
        <f aca="false">ROUND(F1851*0.2,2)</f>
        <v>77.7</v>
      </c>
      <c r="H1851" s="4" t="str">
        <f aca="false">IF(F1851&gt;500,"Yüksek",IF(F1851&gt;100,"Orta","Düşük"))</f>
        <v>Orta</v>
      </c>
    </row>
    <row r="1852" customFormat="false" ht="12.8" hidden="false" customHeight="false" outlineLevel="0" collapsed="false">
      <c r="A1852" s="4" t="s">
        <v>24</v>
      </c>
      <c r="B1852" s="4" t="s">
        <v>19</v>
      </c>
      <c r="C1852" s="4" t="n">
        <v>44</v>
      </c>
      <c r="D1852" s="5" t="n">
        <v>13.25</v>
      </c>
      <c r="E1852" s="6" t="n">
        <f aca="false">DATE(2024,2,2)</f>
        <v>45324</v>
      </c>
      <c r="F1852" s="7" t="n">
        <f aca="false">C1852*D1852</f>
        <v>583</v>
      </c>
      <c r="G1852" s="7" t="n">
        <f aca="false">ROUND(F1852*0.2,2)</f>
        <v>116.6</v>
      </c>
      <c r="H1852" s="4" t="str">
        <f aca="false">IF(F1852&gt;500,"Yüksek",IF(F1852&gt;100,"Orta","Düşük"))</f>
        <v>Yüksek</v>
      </c>
    </row>
    <row r="1853" customFormat="false" ht="12.8" hidden="false" customHeight="false" outlineLevel="0" collapsed="false">
      <c r="A1853" s="4" t="s">
        <v>10</v>
      </c>
      <c r="B1853" s="4" t="s">
        <v>11</v>
      </c>
      <c r="C1853" s="4" t="n">
        <v>1</v>
      </c>
      <c r="D1853" s="5" t="n">
        <v>16</v>
      </c>
      <c r="E1853" s="6" t="n">
        <f aca="false">DATE(2024,3,3)</f>
        <v>45354</v>
      </c>
      <c r="F1853" s="7" t="n">
        <f aca="false">C1853*D1853</f>
        <v>16</v>
      </c>
      <c r="G1853" s="7" t="n">
        <f aca="false">ROUND(F1853*0.2,2)</f>
        <v>3.2</v>
      </c>
      <c r="H1853" s="4" t="str">
        <f aca="false">IF(F1853&gt;500,"Yüksek",IF(F1853&gt;100,"Orta","Düşük"))</f>
        <v>Düşük</v>
      </c>
    </row>
    <row r="1854" customFormat="false" ht="12.8" hidden="false" customHeight="false" outlineLevel="0" collapsed="false">
      <c r="A1854" s="4" t="s">
        <v>12</v>
      </c>
      <c r="B1854" s="4" t="s">
        <v>13</v>
      </c>
      <c r="C1854" s="4" t="n">
        <v>8</v>
      </c>
      <c r="D1854" s="5" t="n">
        <v>18.75</v>
      </c>
      <c r="E1854" s="6" t="n">
        <f aca="false">DATE(2024,4,4)</f>
        <v>45386</v>
      </c>
      <c r="F1854" s="7" t="n">
        <f aca="false">C1854*D1854</f>
        <v>150</v>
      </c>
      <c r="G1854" s="7" t="n">
        <f aca="false">ROUND(F1854*0.2,2)</f>
        <v>30</v>
      </c>
      <c r="H1854" s="4" t="str">
        <f aca="false">IF(F1854&gt;500,"Yüksek",IF(F1854&gt;100,"Orta","Düşük"))</f>
        <v>Orta</v>
      </c>
    </row>
    <row r="1855" customFormat="false" ht="12.8" hidden="false" customHeight="false" outlineLevel="0" collapsed="false">
      <c r="A1855" s="4" t="s">
        <v>14</v>
      </c>
      <c r="B1855" s="4" t="s">
        <v>15</v>
      </c>
      <c r="C1855" s="4" t="n">
        <v>15</v>
      </c>
      <c r="D1855" s="5" t="n">
        <v>21.5</v>
      </c>
      <c r="E1855" s="6" t="n">
        <f aca="false">DATE(2024,5,5)</f>
        <v>45417</v>
      </c>
      <c r="F1855" s="7" t="n">
        <f aca="false">C1855*D1855</f>
        <v>322.5</v>
      </c>
      <c r="G1855" s="7" t="n">
        <f aca="false">ROUND(F1855*0.2,2)</f>
        <v>64.5</v>
      </c>
      <c r="H1855" s="4" t="str">
        <f aca="false">IF(F1855&gt;500,"Yüksek",IF(F1855&gt;100,"Orta","Düşük"))</f>
        <v>Orta</v>
      </c>
    </row>
    <row r="1856" customFormat="false" ht="12.8" hidden="false" customHeight="false" outlineLevel="0" collapsed="false">
      <c r="A1856" s="4" t="s">
        <v>16</v>
      </c>
      <c r="B1856" s="4" t="s">
        <v>17</v>
      </c>
      <c r="C1856" s="4" t="n">
        <v>22</v>
      </c>
      <c r="D1856" s="5" t="n">
        <v>24.25</v>
      </c>
      <c r="E1856" s="6" t="n">
        <f aca="false">DATE(2024,6,6)</f>
        <v>45449</v>
      </c>
      <c r="F1856" s="7" t="n">
        <f aca="false">C1856*D1856</f>
        <v>533.5</v>
      </c>
      <c r="G1856" s="7" t="n">
        <f aca="false">ROUND(F1856*0.2,2)</f>
        <v>106.7</v>
      </c>
      <c r="H1856" s="4" t="str">
        <f aca="false">IF(F1856&gt;500,"Yüksek",IF(F1856&gt;100,"Orta","Düşük"))</f>
        <v>Yüksek</v>
      </c>
    </row>
    <row r="1857" customFormat="false" ht="12.8" hidden="false" customHeight="false" outlineLevel="0" collapsed="false">
      <c r="A1857" s="4" t="s">
        <v>18</v>
      </c>
      <c r="B1857" s="4" t="s">
        <v>19</v>
      </c>
      <c r="C1857" s="4" t="n">
        <v>29</v>
      </c>
      <c r="D1857" s="5" t="n">
        <v>27</v>
      </c>
      <c r="E1857" s="6" t="n">
        <f aca="false">DATE(2024,7,7)</f>
        <v>45480</v>
      </c>
      <c r="F1857" s="7" t="n">
        <f aca="false">C1857*D1857</f>
        <v>783</v>
      </c>
      <c r="G1857" s="7" t="n">
        <f aca="false">ROUND(F1857*0.2,2)</f>
        <v>156.6</v>
      </c>
      <c r="H1857" s="4" t="str">
        <f aca="false">IF(F1857&gt;500,"Yüksek",IF(F1857&gt;100,"Orta","Düşük"))</f>
        <v>Yüksek</v>
      </c>
    </row>
    <row r="1858" customFormat="false" ht="12.8" hidden="false" customHeight="false" outlineLevel="0" collapsed="false">
      <c r="A1858" s="4" t="s">
        <v>20</v>
      </c>
      <c r="B1858" s="4" t="s">
        <v>11</v>
      </c>
      <c r="C1858" s="4" t="n">
        <v>36</v>
      </c>
      <c r="D1858" s="5" t="n">
        <v>29.75</v>
      </c>
      <c r="E1858" s="6" t="n">
        <f aca="false">DATE(2024,8,8)</f>
        <v>45512</v>
      </c>
      <c r="F1858" s="7" t="n">
        <f aca="false">C1858*D1858</f>
        <v>1071</v>
      </c>
      <c r="G1858" s="7" t="n">
        <f aca="false">ROUND(F1858*0.2,2)</f>
        <v>214.2</v>
      </c>
      <c r="H1858" s="4" t="str">
        <f aca="false">IF(F1858&gt;500,"Yüksek",IF(F1858&gt;100,"Orta","Düşük"))</f>
        <v>Yüksek</v>
      </c>
    </row>
    <row r="1859" customFormat="false" ht="12.8" hidden="false" customHeight="false" outlineLevel="0" collapsed="false">
      <c r="A1859" s="4" t="s">
        <v>21</v>
      </c>
      <c r="B1859" s="4" t="s">
        <v>13</v>
      </c>
      <c r="C1859" s="4" t="n">
        <v>43</v>
      </c>
      <c r="D1859" s="5" t="n">
        <v>32.5</v>
      </c>
      <c r="E1859" s="6" t="n">
        <f aca="false">DATE(2024,9,9)</f>
        <v>45544</v>
      </c>
      <c r="F1859" s="7" t="n">
        <f aca="false">C1859*D1859</f>
        <v>1397.5</v>
      </c>
      <c r="G1859" s="7" t="n">
        <f aca="false">ROUND(F1859*0.2,2)</f>
        <v>279.5</v>
      </c>
      <c r="H1859" s="4" t="str">
        <f aca="false">IF(F1859&gt;500,"Yüksek",IF(F1859&gt;100,"Orta","Düşük"))</f>
        <v>Yüksek</v>
      </c>
    </row>
    <row r="1860" customFormat="false" ht="12.8" hidden="false" customHeight="false" outlineLevel="0" collapsed="false">
      <c r="A1860" s="4" t="s">
        <v>22</v>
      </c>
      <c r="B1860" s="4" t="s">
        <v>15</v>
      </c>
      <c r="C1860" s="4" t="n">
        <v>50</v>
      </c>
      <c r="D1860" s="5" t="n">
        <v>35.25</v>
      </c>
      <c r="E1860" s="6" t="n">
        <f aca="false">DATE(2024,10,10)</f>
        <v>45575</v>
      </c>
      <c r="F1860" s="7" t="n">
        <f aca="false">C1860*D1860</f>
        <v>1762.5</v>
      </c>
      <c r="G1860" s="7" t="n">
        <f aca="false">ROUND(F1860*0.2,2)</f>
        <v>352.5</v>
      </c>
      <c r="H1860" s="4" t="str">
        <f aca="false">IF(F1860&gt;500,"Yüksek",IF(F1860&gt;100,"Orta","Düşük"))</f>
        <v>Yüksek</v>
      </c>
    </row>
    <row r="1861" customFormat="false" ht="12.8" hidden="false" customHeight="false" outlineLevel="0" collapsed="false">
      <c r="A1861" s="4" t="s">
        <v>23</v>
      </c>
      <c r="B1861" s="4" t="s">
        <v>17</v>
      </c>
      <c r="C1861" s="4" t="n">
        <v>7</v>
      </c>
      <c r="D1861" s="5" t="n">
        <v>38</v>
      </c>
      <c r="E1861" s="6" t="n">
        <f aca="false">DATE(2024,11,11)</f>
        <v>45607</v>
      </c>
      <c r="F1861" s="7" t="n">
        <f aca="false">C1861*D1861</f>
        <v>266</v>
      </c>
      <c r="G1861" s="7" t="n">
        <f aca="false">ROUND(F1861*0.2,2)</f>
        <v>53.2</v>
      </c>
      <c r="H1861" s="4" t="str">
        <f aca="false">IF(F1861&gt;500,"Yüksek",IF(F1861&gt;100,"Orta","Düşük"))</f>
        <v>Orta</v>
      </c>
    </row>
    <row r="1862" customFormat="false" ht="12.8" hidden="false" customHeight="false" outlineLevel="0" collapsed="false">
      <c r="A1862" s="4" t="s">
        <v>24</v>
      </c>
      <c r="B1862" s="4" t="s">
        <v>19</v>
      </c>
      <c r="C1862" s="4" t="n">
        <v>14</v>
      </c>
      <c r="D1862" s="5" t="n">
        <v>5</v>
      </c>
      <c r="E1862" s="6" t="n">
        <f aca="false">DATE(2024,12,12)</f>
        <v>45638</v>
      </c>
      <c r="F1862" s="7" t="n">
        <f aca="false">C1862*D1862</f>
        <v>70</v>
      </c>
      <c r="G1862" s="7" t="n">
        <f aca="false">ROUND(F1862*0.2,2)</f>
        <v>14</v>
      </c>
      <c r="H1862" s="4" t="str">
        <f aca="false">IF(F1862&gt;500,"Yüksek",IF(F1862&gt;100,"Orta","Düşük"))</f>
        <v>Düşük</v>
      </c>
    </row>
    <row r="1863" customFormat="false" ht="12.8" hidden="false" customHeight="false" outlineLevel="0" collapsed="false">
      <c r="A1863" s="4" t="s">
        <v>10</v>
      </c>
      <c r="B1863" s="4" t="s">
        <v>11</v>
      </c>
      <c r="C1863" s="4" t="n">
        <v>21</v>
      </c>
      <c r="D1863" s="5" t="n">
        <v>7.75</v>
      </c>
      <c r="E1863" s="6" t="n">
        <f aca="false">DATE(2024,1,13)</f>
        <v>45304</v>
      </c>
      <c r="F1863" s="7" t="n">
        <f aca="false">C1863*D1863</f>
        <v>162.75</v>
      </c>
      <c r="G1863" s="7" t="n">
        <f aca="false">ROUND(F1863*0.2,2)</f>
        <v>32.55</v>
      </c>
      <c r="H1863" s="4" t="str">
        <f aca="false">IF(F1863&gt;500,"Yüksek",IF(F1863&gt;100,"Orta","Düşük"))</f>
        <v>Orta</v>
      </c>
    </row>
    <row r="1864" customFormat="false" ht="12.8" hidden="false" customHeight="false" outlineLevel="0" collapsed="false">
      <c r="A1864" s="4" t="s">
        <v>12</v>
      </c>
      <c r="B1864" s="4" t="s">
        <v>13</v>
      </c>
      <c r="C1864" s="4" t="n">
        <v>28</v>
      </c>
      <c r="D1864" s="5" t="n">
        <v>10.5</v>
      </c>
      <c r="E1864" s="6" t="n">
        <f aca="false">DATE(2024,2,14)</f>
        <v>45336</v>
      </c>
      <c r="F1864" s="7" t="n">
        <f aca="false">C1864*D1864</f>
        <v>294</v>
      </c>
      <c r="G1864" s="7" t="n">
        <f aca="false">ROUND(F1864*0.2,2)</f>
        <v>58.8</v>
      </c>
      <c r="H1864" s="4" t="str">
        <f aca="false">IF(F1864&gt;500,"Yüksek",IF(F1864&gt;100,"Orta","Düşük"))</f>
        <v>Orta</v>
      </c>
    </row>
    <row r="1865" customFormat="false" ht="12.8" hidden="false" customHeight="false" outlineLevel="0" collapsed="false">
      <c r="A1865" s="4" t="s">
        <v>14</v>
      </c>
      <c r="B1865" s="4" t="s">
        <v>15</v>
      </c>
      <c r="C1865" s="4" t="n">
        <v>35</v>
      </c>
      <c r="D1865" s="5" t="n">
        <v>13.25</v>
      </c>
      <c r="E1865" s="6" t="n">
        <f aca="false">DATE(2024,3,15)</f>
        <v>45366</v>
      </c>
      <c r="F1865" s="7" t="n">
        <f aca="false">C1865*D1865</f>
        <v>463.75</v>
      </c>
      <c r="G1865" s="7" t="n">
        <f aca="false">ROUND(F1865*0.2,2)</f>
        <v>92.75</v>
      </c>
      <c r="H1865" s="4" t="str">
        <f aca="false">IF(F1865&gt;500,"Yüksek",IF(F1865&gt;100,"Orta","Düşük"))</f>
        <v>Orta</v>
      </c>
    </row>
    <row r="1866" customFormat="false" ht="12.8" hidden="false" customHeight="false" outlineLevel="0" collapsed="false">
      <c r="A1866" s="4" t="s">
        <v>16</v>
      </c>
      <c r="B1866" s="4" t="s">
        <v>17</v>
      </c>
      <c r="C1866" s="4" t="n">
        <v>42</v>
      </c>
      <c r="D1866" s="5" t="n">
        <v>16</v>
      </c>
      <c r="E1866" s="6" t="n">
        <f aca="false">DATE(2024,4,16)</f>
        <v>45398</v>
      </c>
      <c r="F1866" s="7" t="n">
        <f aca="false">C1866*D1866</f>
        <v>672</v>
      </c>
      <c r="G1866" s="7" t="n">
        <f aca="false">ROUND(F1866*0.2,2)</f>
        <v>134.4</v>
      </c>
      <c r="H1866" s="4" t="str">
        <f aca="false">IF(F1866&gt;500,"Yüksek",IF(F1866&gt;100,"Orta","Düşük"))</f>
        <v>Yüksek</v>
      </c>
    </row>
    <row r="1867" customFormat="false" ht="12.8" hidden="false" customHeight="false" outlineLevel="0" collapsed="false">
      <c r="A1867" s="4" t="s">
        <v>18</v>
      </c>
      <c r="B1867" s="4" t="s">
        <v>19</v>
      </c>
      <c r="C1867" s="4" t="n">
        <v>49</v>
      </c>
      <c r="D1867" s="5" t="n">
        <v>18.75</v>
      </c>
      <c r="E1867" s="6" t="n">
        <f aca="false">DATE(2024,5,17)</f>
        <v>45429</v>
      </c>
      <c r="F1867" s="7" t="n">
        <f aca="false">C1867*D1867</f>
        <v>918.75</v>
      </c>
      <c r="G1867" s="7" t="n">
        <f aca="false">ROUND(F1867*0.2,2)</f>
        <v>183.75</v>
      </c>
      <c r="H1867" s="4" t="str">
        <f aca="false">IF(F1867&gt;500,"Yüksek",IF(F1867&gt;100,"Orta","Düşük"))</f>
        <v>Yüksek</v>
      </c>
    </row>
    <row r="1868" customFormat="false" ht="12.8" hidden="false" customHeight="false" outlineLevel="0" collapsed="false">
      <c r="A1868" s="4" t="s">
        <v>20</v>
      </c>
      <c r="B1868" s="4" t="s">
        <v>11</v>
      </c>
      <c r="C1868" s="4" t="n">
        <v>6</v>
      </c>
      <c r="D1868" s="5" t="n">
        <v>21.5</v>
      </c>
      <c r="E1868" s="6" t="n">
        <f aca="false">DATE(2024,6,18)</f>
        <v>45461</v>
      </c>
      <c r="F1868" s="7" t="n">
        <f aca="false">C1868*D1868</f>
        <v>129</v>
      </c>
      <c r="G1868" s="7" t="n">
        <f aca="false">ROUND(F1868*0.2,2)</f>
        <v>25.8</v>
      </c>
      <c r="H1868" s="4" t="str">
        <f aca="false">IF(F1868&gt;500,"Yüksek",IF(F1868&gt;100,"Orta","Düşük"))</f>
        <v>Orta</v>
      </c>
    </row>
    <row r="1869" customFormat="false" ht="12.8" hidden="false" customHeight="false" outlineLevel="0" collapsed="false">
      <c r="A1869" s="4" t="s">
        <v>21</v>
      </c>
      <c r="B1869" s="4" t="s">
        <v>13</v>
      </c>
      <c r="C1869" s="4" t="n">
        <v>13</v>
      </c>
      <c r="D1869" s="5" t="n">
        <v>24.25</v>
      </c>
      <c r="E1869" s="6" t="n">
        <f aca="false">DATE(2024,7,19)</f>
        <v>45492</v>
      </c>
      <c r="F1869" s="7" t="n">
        <f aca="false">C1869*D1869</f>
        <v>315.25</v>
      </c>
      <c r="G1869" s="7" t="n">
        <f aca="false">ROUND(F1869*0.2,2)</f>
        <v>63.05</v>
      </c>
      <c r="H1869" s="4" t="str">
        <f aca="false">IF(F1869&gt;500,"Yüksek",IF(F1869&gt;100,"Orta","Düşük"))</f>
        <v>Orta</v>
      </c>
    </row>
    <row r="1870" customFormat="false" ht="12.8" hidden="false" customHeight="false" outlineLevel="0" collapsed="false">
      <c r="A1870" s="4" t="s">
        <v>22</v>
      </c>
      <c r="B1870" s="4" t="s">
        <v>15</v>
      </c>
      <c r="C1870" s="4" t="n">
        <v>20</v>
      </c>
      <c r="D1870" s="5" t="n">
        <v>27</v>
      </c>
      <c r="E1870" s="6" t="n">
        <f aca="false">DATE(2024,8,20)</f>
        <v>45524</v>
      </c>
      <c r="F1870" s="7" t="n">
        <f aca="false">C1870*D1870</f>
        <v>540</v>
      </c>
      <c r="G1870" s="7" t="n">
        <f aca="false">ROUND(F1870*0.2,2)</f>
        <v>108</v>
      </c>
      <c r="H1870" s="4" t="str">
        <f aca="false">IF(F1870&gt;500,"Yüksek",IF(F1870&gt;100,"Orta","Düşük"))</f>
        <v>Yüksek</v>
      </c>
    </row>
    <row r="1871" customFormat="false" ht="12.8" hidden="false" customHeight="false" outlineLevel="0" collapsed="false">
      <c r="A1871" s="4" t="s">
        <v>23</v>
      </c>
      <c r="B1871" s="4" t="s">
        <v>17</v>
      </c>
      <c r="C1871" s="4" t="n">
        <v>27</v>
      </c>
      <c r="D1871" s="5" t="n">
        <v>29.75</v>
      </c>
      <c r="E1871" s="6" t="n">
        <f aca="false">DATE(2024,9,21)</f>
        <v>45556</v>
      </c>
      <c r="F1871" s="7" t="n">
        <f aca="false">C1871*D1871</f>
        <v>803.25</v>
      </c>
      <c r="G1871" s="7" t="n">
        <f aca="false">ROUND(F1871*0.2,2)</f>
        <v>160.65</v>
      </c>
      <c r="H1871" s="4" t="str">
        <f aca="false">IF(F1871&gt;500,"Yüksek",IF(F1871&gt;100,"Orta","Düşük"))</f>
        <v>Yüksek</v>
      </c>
    </row>
    <row r="1872" customFormat="false" ht="12.8" hidden="false" customHeight="false" outlineLevel="0" collapsed="false">
      <c r="A1872" s="4" t="s">
        <v>24</v>
      </c>
      <c r="B1872" s="4" t="s">
        <v>19</v>
      </c>
      <c r="C1872" s="4" t="n">
        <v>34</v>
      </c>
      <c r="D1872" s="5" t="n">
        <v>32.5</v>
      </c>
      <c r="E1872" s="6" t="n">
        <f aca="false">DATE(2024,10,22)</f>
        <v>45587</v>
      </c>
      <c r="F1872" s="7" t="n">
        <f aca="false">C1872*D1872</f>
        <v>1105</v>
      </c>
      <c r="G1872" s="7" t="n">
        <f aca="false">ROUND(F1872*0.2,2)</f>
        <v>221</v>
      </c>
      <c r="H1872" s="4" t="str">
        <f aca="false">IF(F1872&gt;500,"Yüksek",IF(F1872&gt;100,"Orta","Düşük"))</f>
        <v>Yüksek</v>
      </c>
    </row>
    <row r="1873" customFormat="false" ht="12.8" hidden="false" customHeight="false" outlineLevel="0" collapsed="false">
      <c r="A1873" s="4" t="s">
        <v>10</v>
      </c>
      <c r="B1873" s="4" t="s">
        <v>11</v>
      </c>
      <c r="C1873" s="4" t="n">
        <v>41</v>
      </c>
      <c r="D1873" s="5" t="n">
        <v>35.25</v>
      </c>
      <c r="E1873" s="6" t="n">
        <f aca="false">DATE(2024,11,23)</f>
        <v>45619</v>
      </c>
      <c r="F1873" s="7" t="n">
        <f aca="false">C1873*D1873</f>
        <v>1445.25</v>
      </c>
      <c r="G1873" s="7" t="n">
        <f aca="false">ROUND(F1873*0.2,2)</f>
        <v>289.05</v>
      </c>
      <c r="H1873" s="4" t="str">
        <f aca="false">IF(F1873&gt;500,"Yüksek",IF(F1873&gt;100,"Orta","Düşük"))</f>
        <v>Yüksek</v>
      </c>
    </row>
    <row r="1874" customFormat="false" ht="12.8" hidden="false" customHeight="false" outlineLevel="0" collapsed="false">
      <c r="A1874" s="4" t="s">
        <v>12</v>
      </c>
      <c r="B1874" s="4" t="s">
        <v>13</v>
      </c>
      <c r="C1874" s="4" t="n">
        <v>48</v>
      </c>
      <c r="D1874" s="5" t="n">
        <v>38</v>
      </c>
      <c r="E1874" s="6" t="n">
        <f aca="false">DATE(2024,12,24)</f>
        <v>45650</v>
      </c>
      <c r="F1874" s="7" t="n">
        <f aca="false">C1874*D1874</f>
        <v>1824</v>
      </c>
      <c r="G1874" s="7" t="n">
        <f aca="false">ROUND(F1874*0.2,2)</f>
        <v>364.8</v>
      </c>
      <c r="H1874" s="4" t="str">
        <f aca="false">IF(F1874&gt;500,"Yüksek",IF(F1874&gt;100,"Orta","Düşük"))</f>
        <v>Yüksek</v>
      </c>
    </row>
    <row r="1875" customFormat="false" ht="12.8" hidden="false" customHeight="false" outlineLevel="0" collapsed="false">
      <c r="A1875" s="4" t="s">
        <v>14</v>
      </c>
      <c r="B1875" s="4" t="s">
        <v>15</v>
      </c>
      <c r="C1875" s="4" t="n">
        <v>5</v>
      </c>
      <c r="D1875" s="5" t="n">
        <v>5</v>
      </c>
      <c r="E1875" s="6" t="n">
        <f aca="false">DATE(2024,1,25)</f>
        <v>45316</v>
      </c>
      <c r="F1875" s="7" t="n">
        <f aca="false">C1875*D1875</f>
        <v>25</v>
      </c>
      <c r="G1875" s="7" t="n">
        <f aca="false">ROUND(F1875*0.2,2)</f>
        <v>5</v>
      </c>
      <c r="H1875" s="4" t="str">
        <f aca="false">IF(F1875&gt;500,"Yüksek",IF(F1875&gt;100,"Orta","Düşük"))</f>
        <v>Düşük</v>
      </c>
    </row>
    <row r="1876" customFormat="false" ht="12.8" hidden="false" customHeight="false" outlineLevel="0" collapsed="false">
      <c r="A1876" s="4" t="s">
        <v>16</v>
      </c>
      <c r="B1876" s="4" t="s">
        <v>17</v>
      </c>
      <c r="C1876" s="4" t="n">
        <v>12</v>
      </c>
      <c r="D1876" s="5" t="n">
        <v>7.75</v>
      </c>
      <c r="E1876" s="6" t="n">
        <f aca="false">DATE(2024,2,26)</f>
        <v>45348</v>
      </c>
      <c r="F1876" s="7" t="n">
        <f aca="false">C1876*D1876</f>
        <v>93</v>
      </c>
      <c r="G1876" s="7" t="n">
        <f aca="false">ROUND(F1876*0.2,2)</f>
        <v>18.6</v>
      </c>
      <c r="H1876" s="4" t="str">
        <f aca="false">IF(F1876&gt;500,"Yüksek",IF(F1876&gt;100,"Orta","Düşük"))</f>
        <v>Düşük</v>
      </c>
    </row>
    <row r="1877" customFormat="false" ht="12.8" hidden="false" customHeight="false" outlineLevel="0" collapsed="false">
      <c r="A1877" s="4" t="s">
        <v>18</v>
      </c>
      <c r="B1877" s="4" t="s">
        <v>19</v>
      </c>
      <c r="C1877" s="4" t="n">
        <v>19</v>
      </c>
      <c r="D1877" s="5" t="n">
        <v>10.5</v>
      </c>
      <c r="E1877" s="6" t="n">
        <f aca="false">DATE(2024,3,27)</f>
        <v>45378</v>
      </c>
      <c r="F1877" s="7" t="n">
        <f aca="false">C1877*D1877</f>
        <v>199.5</v>
      </c>
      <c r="G1877" s="7" t="n">
        <f aca="false">ROUND(F1877*0.2,2)</f>
        <v>39.9</v>
      </c>
      <c r="H1877" s="4" t="str">
        <f aca="false">IF(F1877&gt;500,"Yüksek",IF(F1877&gt;100,"Orta","Düşük"))</f>
        <v>Orta</v>
      </c>
    </row>
    <row r="1878" customFormat="false" ht="12.8" hidden="false" customHeight="false" outlineLevel="0" collapsed="false">
      <c r="A1878" s="4" t="s">
        <v>20</v>
      </c>
      <c r="B1878" s="4" t="s">
        <v>11</v>
      </c>
      <c r="C1878" s="4" t="n">
        <v>26</v>
      </c>
      <c r="D1878" s="5" t="n">
        <v>13.25</v>
      </c>
      <c r="E1878" s="6" t="n">
        <f aca="false">DATE(2024,4,28)</f>
        <v>45410</v>
      </c>
      <c r="F1878" s="7" t="n">
        <f aca="false">C1878*D1878</f>
        <v>344.5</v>
      </c>
      <c r="G1878" s="7" t="n">
        <f aca="false">ROUND(F1878*0.2,2)</f>
        <v>68.9</v>
      </c>
      <c r="H1878" s="4" t="str">
        <f aca="false">IF(F1878&gt;500,"Yüksek",IF(F1878&gt;100,"Orta","Düşük"))</f>
        <v>Orta</v>
      </c>
    </row>
    <row r="1879" customFormat="false" ht="12.8" hidden="false" customHeight="false" outlineLevel="0" collapsed="false">
      <c r="A1879" s="4" t="s">
        <v>21</v>
      </c>
      <c r="B1879" s="4" t="s">
        <v>13</v>
      </c>
      <c r="C1879" s="4" t="n">
        <v>33</v>
      </c>
      <c r="D1879" s="5" t="n">
        <v>16</v>
      </c>
      <c r="E1879" s="6" t="n">
        <f aca="false">DATE(2024,5,1)</f>
        <v>45413</v>
      </c>
      <c r="F1879" s="7" t="n">
        <f aca="false">C1879*D1879</f>
        <v>528</v>
      </c>
      <c r="G1879" s="7" t="n">
        <f aca="false">ROUND(F1879*0.2,2)</f>
        <v>105.6</v>
      </c>
      <c r="H1879" s="4" t="str">
        <f aca="false">IF(F1879&gt;500,"Yüksek",IF(F1879&gt;100,"Orta","Düşük"))</f>
        <v>Yüksek</v>
      </c>
    </row>
    <row r="1880" customFormat="false" ht="12.8" hidden="false" customHeight="false" outlineLevel="0" collapsed="false">
      <c r="A1880" s="4" t="s">
        <v>22</v>
      </c>
      <c r="B1880" s="4" t="s">
        <v>15</v>
      </c>
      <c r="C1880" s="4" t="n">
        <v>40</v>
      </c>
      <c r="D1880" s="5" t="n">
        <v>18.75</v>
      </c>
      <c r="E1880" s="6" t="n">
        <f aca="false">DATE(2024,6,2)</f>
        <v>45445</v>
      </c>
      <c r="F1880" s="7" t="n">
        <f aca="false">C1880*D1880</f>
        <v>750</v>
      </c>
      <c r="G1880" s="7" t="n">
        <f aca="false">ROUND(F1880*0.2,2)</f>
        <v>150</v>
      </c>
      <c r="H1880" s="4" t="str">
        <f aca="false">IF(F1880&gt;500,"Yüksek",IF(F1880&gt;100,"Orta","Düşük"))</f>
        <v>Yüksek</v>
      </c>
    </row>
    <row r="1881" customFormat="false" ht="12.8" hidden="false" customHeight="false" outlineLevel="0" collapsed="false">
      <c r="A1881" s="4" t="s">
        <v>23</v>
      </c>
      <c r="B1881" s="4" t="s">
        <v>17</v>
      </c>
      <c r="C1881" s="4" t="n">
        <v>47</v>
      </c>
      <c r="D1881" s="5" t="n">
        <v>21.5</v>
      </c>
      <c r="E1881" s="6" t="n">
        <f aca="false">DATE(2024,7,3)</f>
        <v>45476</v>
      </c>
      <c r="F1881" s="7" t="n">
        <f aca="false">C1881*D1881</f>
        <v>1010.5</v>
      </c>
      <c r="G1881" s="7" t="n">
        <f aca="false">ROUND(F1881*0.2,2)</f>
        <v>202.1</v>
      </c>
      <c r="H1881" s="4" t="str">
        <f aca="false">IF(F1881&gt;500,"Yüksek",IF(F1881&gt;100,"Orta","Düşük"))</f>
        <v>Yüksek</v>
      </c>
    </row>
    <row r="1882" customFormat="false" ht="12.8" hidden="false" customHeight="false" outlineLevel="0" collapsed="false">
      <c r="A1882" s="4" t="s">
        <v>24</v>
      </c>
      <c r="B1882" s="4" t="s">
        <v>19</v>
      </c>
      <c r="C1882" s="4" t="n">
        <v>4</v>
      </c>
      <c r="D1882" s="5" t="n">
        <v>24.25</v>
      </c>
      <c r="E1882" s="6" t="n">
        <f aca="false">DATE(2024,8,4)</f>
        <v>45508</v>
      </c>
      <c r="F1882" s="7" t="n">
        <f aca="false">C1882*D1882</f>
        <v>97</v>
      </c>
      <c r="G1882" s="7" t="n">
        <f aca="false">ROUND(F1882*0.2,2)</f>
        <v>19.4</v>
      </c>
      <c r="H1882" s="4" t="str">
        <f aca="false">IF(F1882&gt;500,"Yüksek",IF(F1882&gt;100,"Orta","Düşük"))</f>
        <v>Düşük</v>
      </c>
    </row>
    <row r="1883" customFormat="false" ht="12.8" hidden="false" customHeight="false" outlineLevel="0" collapsed="false">
      <c r="A1883" s="4" t="s">
        <v>10</v>
      </c>
      <c r="B1883" s="4" t="s">
        <v>11</v>
      </c>
      <c r="C1883" s="4" t="n">
        <v>11</v>
      </c>
      <c r="D1883" s="5" t="n">
        <v>27</v>
      </c>
      <c r="E1883" s="6" t="n">
        <f aca="false">DATE(2024,9,5)</f>
        <v>45540</v>
      </c>
      <c r="F1883" s="7" t="n">
        <f aca="false">C1883*D1883</f>
        <v>297</v>
      </c>
      <c r="G1883" s="7" t="n">
        <f aca="false">ROUND(F1883*0.2,2)</f>
        <v>59.4</v>
      </c>
      <c r="H1883" s="4" t="str">
        <f aca="false">IF(F1883&gt;500,"Yüksek",IF(F1883&gt;100,"Orta","Düşük"))</f>
        <v>Orta</v>
      </c>
    </row>
    <row r="1884" customFormat="false" ht="12.8" hidden="false" customHeight="false" outlineLevel="0" collapsed="false">
      <c r="A1884" s="4" t="s">
        <v>12</v>
      </c>
      <c r="B1884" s="4" t="s">
        <v>13</v>
      </c>
      <c r="C1884" s="4" t="n">
        <v>18</v>
      </c>
      <c r="D1884" s="5" t="n">
        <v>29.75</v>
      </c>
      <c r="E1884" s="6" t="n">
        <f aca="false">DATE(2024,10,6)</f>
        <v>45571</v>
      </c>
      <c r="F1884" s="7" t="n">
        <f aca="false">C1884*D1884</f>
        <v>535.5</v>
      </c>
      <c r="G1884" s="7" t="n">
        <f aca="false">ROUND(F1884*0.2,2)</f>
        <v>107.1</v>
      </c>
      <c r="H1884" s="4" t="str">
        <f aca="false">IF(F1884&gt;500,"Yüksek",IF(F1884&gt;100,"Orta","Düşük"))</f>
        <v>Yüksek</v>
      </c>
    </row>
    <row r="1885" customFormat="false" ht="12.8" hidden="false" customHeight="false" outlineLevel="0" collapsed="false">
      <c r="A1885" s="4" t="s">
        <v>14</v>
      </c>
      <c r="B1885" s="4" t="s">
        <v>15</v>
      </c>
      <c r="C1885" s="4" t="n">
        <v>25</v>
      </c>
      <c r="D1885" s="5" t="n">
        <v>32.5</v>
      </c>
      <c r="E1885" s="6" t="n">
        <f aca="false">DATE(2024,11,7)</f>
        <v>45603</v>
      </c>
      <c r="F1885" s="7" t="n">
        <f aca="false">C1885*D1885</f>
        <v>812.5</v>
      </c>
      <c r="G1885" s="7" t="n">
        <f aca="false">ROUND(F1885*0.2,2)</f>
        <v>162.5</v>
      </c>
      <c r="H1885" s="4" t="str">
        <f aca="false">IF(F1885&gt;500,"Yüksek",IF(F1885&gt;100,"Orta","Düşük"))</f>
        <v>Yüksek</v>
      </c>
    </row>
    <row r="1886" customFormat="false" ht="12.8" hidden="false" customHeight="false" outlineLevel="0" collapsed="false">
      <c r="A1886" s="4" t="s">
        <v>16</v>
      </c>
      <c r="B1886" s="4" t="s">
        <v>17</v>
      </c>
      <c r="C1886" s="4" t="n">
        <v>32</v>
      </c>
      <c r="D1886" s="5" t="n">
        <v>35.25</v>
      </c>
      <c r="E1886" s="6" t="n">
        <f aca="false">DATE(2024,12,8)</f>
        <v>45634</v>
      </c>
      <c r="F1886" s="7" t="n">
        <f aca="false">C1886*D1886</f>
        <v>1128</v>
      </c>
      <c r="G1886" s="7" t="n">
        <f aca="false">ROUND(F1886*0.2,2)</f>
        <v>225.6</v>
      </c>
      <c r="H1886" s="4" t="str">
        <f aca="false">IF(F1886&gt;500,"Yüksek",IF(F1886&gt;100,"Orta","Düşük"))</f>
        <v>Yüksek</v>
      </c>
    </row>
    <row r="1887" customFormat="false" ht="12.8" hidden="false" customHeight="false" outlineLevel="0" collapsed="false">
      <c r="A1887" s="4" t="s">
        <v>18</v>
      </c>
      <c r="B1887" s="4" t="s">
        <v>19</v>
      </c>
      <c r="C1887" s="4" t="n">
        <v>39</v>
      </c>
      <c r="D1887" s="5" t="n">
        <v>38</v>
      </c>
      <c r="E1887" s="6" t="n">
        <f aca="false">DATE(2024,1,9)</f>
        <v>45300</v>
      </c>
      <c r="F1887" s="7" t="n">
        <f aca="false">C1887*D1887</f>
        <v>1482</v>
      </c>
      <c r="G1887" s="7" t="n">
        <f aca="false">ROUND(F1887*0.2,2)</f>
        <v>296.4</v>
      </c>
      <c r="H1887" s="4" t="str">
        <f aca="false">IF(F1887&gt;500,"Yüksek",IF(F1887&gt;100,"Orta","Düşük"))</f>
        <v>Yüksek</v>
      </c>
    </row>
    <row r="1888" customFormat="false" ht="12.8" hidden="false" customHeight="false" outlineLevel="0" collapsed="false">
      <c r="A1888" s="4" t="s">
        <v>20</v>
      </c>
      <c r="B1888" s="4" t="s">
        <v>11</v>
      </c>
      <c r="C1888" s="4" t="n">
        <v>46</v>
      </c>
      <c r="D1888" s="5" t="n">
        <v>5</v>
      </c>
      <c r="E1888" s="6" t="n">
        <f aca="false">DATE(2024,2,10)</f>
        <v>45332</v>
      </c>
      <c r="F1888" s="7" t="n">
        <f aca="false">C1888*D1888</f>
        <v>230</v>
      </c>
      <c r="G1888" s="7" t="n">
        <f aca="false">ROUND(F1888*0.2,2)</f>
        <v>46</v>
      </c>
      <c r="H1888" s="4" t="str">
        <f aca="false">IF(F1888&gt;500,"Yüksek",IF(F1888&gt;100,"Orta","Düşük"))</f>
        <v>Orta</v>
      </c>
    </row>
    <row r="1889" customFormat="false" ht="12.8" hidden="false" customHeight="false" outlineLevel="0" collapsed="false">
      <c r="A1889" s="4" t="s">
        <v>21</v>
      </c>
      <c r="B1889" s="4" t="s">
        <v>13</v>
      </c>
      <c r="C1889" s="4" t="n">
        <v>3</v>
      </c>
      <c r="D1889" s="5" t="n">
        <v>7.75</v>
      </c>
      <c r="E1889" s="6" t="n">
        <f aca="false">DATE(2024,3,11)</f>
        <v>45362</v>
      </c>
      <c r="F1889" s="7" t="n">
        <f aca="false">C1889*D1889</f>
        <v>23.25</v>
      </c>
      <c r="G1889" s="7" t="n">
        <f aca="false">ROUND(F1889*0.2,2)</f>
        <v>4.65</v>
      </c>
      <c r="H1889" s="4" t="str">
        <f aca="false">IF(F1889&gt;500,"Yüksek",IF(F1889&gt;100,"Orta","Düşük"))</f>
        <v>Düşük</v>
      </c>
    </row>
    <row r="1890" customFormat="false" ht="12.8" hidden="false" customHeight="false" outlineLevel="0" collapsed="false">
      <c r="A1890" s="4" t="s">
        <v>22</v>
      </c>
      <c r="B1890" s="4" t="s">
        <v>15</v>
      </c>
      <c r="C1890" s="4" t="n">
        <v>10</v>
      </c>
      <c r="D1890" s="5" t="n">
        <v>10.5</v>
      </c>
      <c r="E1890" s="6" t="n">
        <f aca="false">DATE(2024,4,12)</f>
        <v>45394</v>
      </c>
      <c r="F1890" s="7" t="n">
        <f aca="false">C1890*D1890</f>
        <v>105</v>
      </c>
      <c r="G1890" s="7" t="n">
        <f aca="false">ROUND(F1890*0.2,2)</f>
        <v>21</v>
      </c>
      <c r="H1890" s="4" t="str">
        <f aca="false">IF(F1890&gt;500,"Yüksek",IF(F1890&gt;100,"Orta","Düşük"))</f>
        <v>Orta</v>
      </c>
    </row>
    <row r="1891" customFormat="false" ht="12.8" hidden="false" customHeight="false" outlineLevel="0" collapsed="false">
      <c r="A1891" s="4" t="s">
        <v>23</v>
      </c>
      <c r="B1891" s="4" t="s">
        <v>17</v>
      </c>
      <c r="C1891" s="4" t="n">
        <v>17</v>
      </c>
      <c r="D1891" s="5" t="n">
        <v>13.25</v>
      </c>
      <c r="E1891" s="6" t="n">
        <f aca="false">DATE(2024,5,13)</f>
        <v>45425</v>
      </c>
      <c r="F1891" s="7" t="n">
        <f aca="false">C1891*D1891</f>
        <v>225.25</v>
      </c>
      <c r="G1891" s="7" t="n">
        <f aca="false">ROUND(F1891*0.2,2)</f>
        <v>45.05</v>
      </c>
      <c r="H1891" s="4" t="str">
        <f aca="false">IF(F1891&gt;500,"Yüksek",IF(F1891&gt;100,"Orta","Düşük"))</f>
        <v>Orta</v>
      </c>
    </row>
    <row r="1892" customFormat="false" ht="12.8" hidden="false" customHeight="false" outlineLevel="0" collapsed="false">
      <c r="A1892" s="4" t="s">
        <v>24</v>
      </c>
      <c r="B1892" s="4" t="s">
        <v>19</v>
      </c>
      <c r="C1892" s="4" t="n">
        <v>24</v>
      </c>
      <c r="D1892" s="5" t="n">
        <v>16</v>
      </c>
      <c r="E1892" s="6" t="n">
        <f aca="false">DATE(2024,6,14)</f>
        <v>45457</v>
      </c>
      <c r="F1892" s="7" t="n">
        <f aca="false">C1892*D1892</f>
        <v>384</v>
      </c>
      <c r="G1892" s="7" t="n">
        <f aca="false">ROUND(F1892*0.2,2)</f>
        <v>76.8</v>
      </c>
      <c r="H1892" s="4" t="str">
        <f aca="false">IF(F1892&gt;500,"Yüksek",IF(F1892&gt;100,"Orta","Düşük"))</f>
        <v>Orta</v>
      </c>
    </row>
    <row r="1893" customFormat="false" ht="12.8" hidden="false" customHeight="false" outlineLevel="0" collapsed="false">
      <c r="A1893" s="4" t="s">
        <v>10</v>
      </c>
      <c r="B1893" s="4" t="s">
        <v>11</v>
      </c>
      <c r="C1893" s="4" t="n">
        <v>31</v>
      </c>
      <c r="D1893" s="5" t="n">
        <v>18.75</v>
      </c>
      <c r="E1893" s="6" t="n">
        <f aca="false">DATE(2024,7,15)</f>
        <v>45488</v>
      </c>
      <c r="F1893" s="7" t="n">
        <f aca="false">C1893*D1893</f>
        <v>581.25</v>
      </c>
      <c r="G1893" s="7" t="n">
        <f aca="false">ROUND(F1893*0.2,2)</f>
        <v>116.25</v>
      </c>
      <c r="H1893" s="4" t="str">
        <f aca="false">IF(F1893&gt;500,"Yüksek",IF(F1893&gt;100,"Orta","Düşük"))</f>
        <v>Yüksek</v>
      </c>
    </row>
    <row r="1894" customFormat="false" ht="12.8" hidden="false" customHeight="false" outlineLevel="0" collapsed="false">
      <c r="A1894" s="4" t="s">
        <v>12</v>
      </c>
      <c r="B1894" s="4" t="s">
        <v>13</v>
      </c>
      <c r="C1894" s="4" t="n">
        <v>38</v>
      </c>
      <c r="D1894" s="5" t="n">
        <v>21.5</v>
      </c>
      <c r="E1894" s="6" t="n">
        <f aca="false">DATE(2024,8,16)</f>
        <v>45520</v>
      </c>
      <c r="F1894" s="7" t="n">
        <f aca="false">C1894*D1894</f>
        <v>817</v>
      </c>
      <c r="G1894" s="7" t="n">
        <f aca="false">ROUND(F1894*0.2,2)</f>
        <v>163.4</v>
      </c>
      <c r="H1894" s="4" t="str">
        <f aca="false">IF(F1894&gt;500,"Yüksek",IF(F1894&gt;100,"Orta","Düşük"))</f>
        <v>Yüksek</v>
      </c>
    </row>
    <row r="1895" customFormat="false" ht="12.8" hidden="false" customHeight="false" outlineLevel="0" collapsed="false">
      <c r="A1895" s="4" t="s">
        <v>14</v>
      </c>
      <c r="B1895" s="4" t="s">
        <v>15</v>
      </c>
      <c r="C1895" s="4" t="n">
        <v>45</v>
      </c>
      <c r="D1895" s="5" t="n">
        <v>24.25</v>
      </c>
      <c r="E1895" s="6" t="n">
        <f aca="false">DATE(2024,9,17)</f>
        <v>45552</v>
      </c>
      <c r="F1895" s="7" t="n">
        <f aca="false">C1895*D1895</f>
        <v>1091.25</v>
      </c>
      <c r="G1895" s="7" t="n">
        <f aca="false">ROUND(F1895*0.2,2)</f>
        <v>218.25</v>
      </c>
      <c r="H1895" s="4" t="str">
        <f aca="false">IF(F1895&gt;500,"Yüksek",IF(F1895&gt;100,"Orta","Düşük"))</f>
        <v>Yüksek</v>
      </c>
    </row>
    <row r="1896" customFormat="false" ht="12.8" hidden="false" customHeight="false" outlineLevel="0" collapsed="false">
      <c r="A1896" s="4" t="s">
        <v>16</v>
      </c>
      <c r="B1896" s="4" t="s">
        <v>17</v>
      </c>
      <c r="C1896" s="4" t="n">
        <v>2</v>
      </c>
      <c r="D1896" s="5" t="n">
        <v>27</v>
      </c>
      <c r="E1896" s="6" t="n">
        <f aca="false">DATE(2024,10,18)</f>
        <v>45583</v>
      </c>
      <c r="F1896" s="7" t="n">
        <f aca="false">C1896*D1896</f>
        <v>54</v>
      </c>
      <c r="G1896" s="7" t="n">
        <f aca="false">ROUND(F1896*0.2,2)</f>
        <v>10.8</v>
      </c>
      <c r="H1896" s="4" t="str">
        <f aca="false">IF(F1896&gt;500,"Yüksek",IF(F1896&gt;100,"Orta","Düşük"))</f>
        <v>Düşük</v>
      </c>
    </row>
    <row r="1897" customFormat="false" ht="12.8" hidden="false" customHeight="false" outlineLevel="0" collapsed="false">
      <c r="A1897" s="4" t="s">
        <v>18</v>
      </c>
      <c r="B1897" s="4" t="s">
        <v>19</v>
      </c>
      <c r="C1897" s="4" t="n">
        <v>9</v>
      </c>
      <c r="D1897" s="5" t="n">
        <v>29.75</v>
      </c>
      <c r="E1897" s="6" t="n">
        <f aca="false">DATE(2024,11,19)</f>
        <v>45615</v>
      </c>
      <c r="F1897" s="7" t="n">
        <f aca="false">C1897*D1897</f>
        <v>267.75</v>
      </c>
      <c r="G1897" s="7" t="n">
        <f aca="false">ROUND(F1897*0.2,2)</f>
        <v>53.55</v>
      </c>
      <c r="H1897" s="4" t="str">
        <f aca="false">IF(F1897&gt;500,"Yüksek",IF(F1897&gt;100,"Orta","Düşük"))</f>
        <v>Orta</v>
      </c>
    </row>
    <row r="1898" customFormat="false" ht="12.8" hidden="false" customHeight="false" outlineLevel="0" collapsed="false">
      <c r="A1898" s="4" t="s">
        <v>20</v>
      </c>
      <c r="B1898" s="4" t="s">
        <v>11</v>
      </c>
      <c r="C1898" s="4" t="n">
        <v>16</v>
      </c>
      <c r="D1898" s="5" t="n">
        <v>32.5</v>
      </c>
      <c r="E1898" s="6" t="n">
        <f aca="false">DATE(2024,12,20)</f>
        <v>45646</v>
      </c>
      <c r="F1898" s="7" t="n">
        <f aca="false">C1898*D1898</f>
        <v>520</v>
      </c>
      <c r="G1898" s="7" t="n">
        <f aca="false">ROUND(F1898*0.2,2)</f>
        <v>104</v>
      </c>
      <c r="H1898" s="4" t="str">
        <f aca="false">IF(F1898&gt;500,"Yüksek",IF(F1898&gt;100,"Orta","Düşük"))</f>
        <v>Yüksek</v>
      </c>
    </row>
    <row r="1899" customFormat="false" ht="12.8" hidden="false" customHeight="false" outlineLevel="0" collapsed="false">
      <c r="A1899" s="4" t="s">
        <v>21</v>
      </c>
      <c r="B1899" s="4" t="s">
        <v>13</v>
      </c>
      <c r="C1899" s="4" t="n">
        <v>23</v>
      </c>
      <c r="D1899" s="5" t="n">
        <v>35.25</v>
      </c>
      <c r="E1899" s="6" t="n">
        <f aca="false">DATE(2024,1,21)</f>
        <v>45312</v>
      </c>
      <c r="F1899" s="7" t="n">
        <f aca="false">C1899*D1899</f>
        <v>810.75</v>
      </c>
      <c r="G1899" s="7" t="n">
        <f aca="false">ROUND(F1899*0.2,2)</f>
        <v>162.15</v>
      </c>
      <c r="H1899" s="4" t="str">
        <f aca="false">IF(F1899&gt;500,"Yüksek",IF(F1899&gt;100,"Orta","Düşük"))</f>
        <v>Yüksek</v>
      </c>
    </row>
    <row r="1900" customFormat="false" ht="12.8" hidden="false" customHeight="false" outlineLevel="0" collapsed="false">
      <c r="A1900" s="4" t="s">
        <v>22</v>
      </c>
      <c r="B1900" s="4" t="s">
        <v>15</v>
      </c>
      <c r="C1900" s="4" t="n">
        <v>30</v>
      </c>
      <c r="D1900" s="5" t="n">
        <v>38</v>
      </c>
      <c r="E1900" s="6" t="n">
        <f aca="false">DATE(2024,2,22)</f>
        <v>45344</v>
      </c>
      <c r="F1900" s="7" t="n">
        <f aca="false">C1900*D1900</f>
        <v>1140</v>
      </c>
      <c r="G1900" s="7" t="n">
        <f aca="false">ROUND(F1900*0.2,2)</f>
        <v>228</v>
      </c>
      <c r="H1900" s="4" t="str">
        <f aca="false">IF(F1900&gt;500,"Yüksek",IF(F1900&gt;100,"Orta","Düşük"))</f>
        <v>Yüksek</v>
      </c>
    </row>
    <row r="1901" customFormat="false" ht="12.8" hidden="false" customHeight="false" outlineLevel="0" collapsed="false">
      <c r="A1901" s="4" t="s">
        <v>23</v>
      </c>
      <c r="B1901" s="4" t="s">
        <v>17</v>
      </c>
      <c r="C1901" s="4" t="n">
        <v>37</v>
      </c>
      <c r="D1901" s="5" t="n">
        <v>5</v>
      </c>
      <c r="E1901" s="6" t="n">
        <f aca="false">DATE(2024,3,23)</f>
        <v>45374</v>
      </c>
      <c r="F1901" s="7" t="n">
        <f aca="false">C1901*D1901</f>
        <v>185</v>
      </c>
      <c r="G1901" s="7" t="n">
        <f aca="false">ROUND(F1901*0.2,2)</f>
        <v>37</v>
      </c>
      <c r="H1901" s="4" t="str">
        <f aca="false">IF(F1901&gt;500,"Yüksek",IF(F1901&gt;100,"Orta","Düşük"))</f>
        <v>Orta</v>
      </c>
    </row>
    <row r="1902" customFormat="false" ht="12.8" hidden="false" customHeight="false" outlineLevel="0" collapsed="false">
      <c r="A1902" s="4" t="s">
        <v>24</v>
      </c>
      <c r="B1902" s="4" t="s">
        <v>19</v>
      </c>
      <c r="C1902" s="4" t="n">
        <v>44</v>
      </c>
      <c r="D1902" s="5" t="n">
        <v>7.75</v>
      </c>
      <c r="E1902" s="6" t="n">
        <f aca="false">DATE(2024,4,24)</f>
        <v>45406</v>
      </c>
      <c r="F1902" s="7" t="n">
        <f aca="false">C1902*D1902</f>
        <v>341</v>
      </c>
      <c r="G1902" s="7" t="n">
        <f aca="false">ROUND(F1902*0.2,2)</f>
        <v>68.2</v>
      </c>
      <c r="H1902" s="4" t="str">
        <f aca="false">IF(F1902&gt;500,"Yüksek",IF(F1902&gt;100,"Orta","Düşük"))</f>
        <v>Orta</v>
      </c>
    </row>
    <row r="1903" customFormat="false" ht="12.8" hidden="false" customHeight="false" outlineLevel="0" collapsed="false">
      <c r="A1903" s="4" t="s">
        <v>10</v>
      </c>
      <c r="B1903" s="4" t="s">
        <v>11</v>
      </c>
      <c r="C1903" s="4" t="n">
        <v>1</v>
      </c>
      <c r="D1903" s="5" t="n">
        <v>10.5</v>
      </c>
      <c r="E1903" s="6" t="n">
        <f aca="false">DATE(2024,5,25)</f>
        <v>45437</v>
      </c>
      <c r="F1903" s="7" t="n">
        <f aca="false">C1903*D1903</f>
        <v>10.5</v>
      </c>
      <c r="G1903" s="7" t="n">
        <f aca="false">ROUND(F1903*0.2,2)</f>
        <v>2.1</v>
      </c>
      <c r="H1903" s="4" t="str">
        <f aca="false">IF(F1903&gt;500,"Yüksek",IF(F1903&gt;100,"Orta","Düşük"))</f>
        <v>Düşük</v>
      </c>
    </row>
    <row r="1904" customFormat="false" ht="12.8" hidden="false" customHeight="false" outlineLevel="0" collapsed="false">
      <c r="A1904" s="4" t="s">
        <v>12</v>
      </c>
      <c r="B1904" s="4" t="s">
        <v>13</v>
      </c>
      <c r="C1904" s="4" t="n">
        <v>8</v>
      </c>
      <c r="D1904" s="5" t="n">
        <v>13.25</v>
      </c>
      <c r="E1904" s="6" t="n">
        <f aca="false">DATE(2024,6,26)</f>
        <v>45469</v>
      </c>
      <c r="F1904" s="7" t="n">
        <f aca="false">C1904*D1904</f>
        <v>106</v>
      </c>
      <c r="G1904" s="7" t="n">
        <f aca="false">ROUND(F1904*0.2,2)</f>
        <v>21.2</v>
      </c>
      <c r="H1904" s="4" t="str">
        <f aca="false">IF(F1904&gt;500,"Yüksek",IF(F1904&gt;100,"Orta","Düşük"))</f>
        <v>Orta</v>
      </c>
    </row>
    <row r="1905" customFormat="false" ht="12.8" hidden="false" customHeight="false" outlineLevel="0" collapsed="false">
      <c r="A1905" s="4" t="s">
        <v>14</v>
      </c>
      <c r="B1905" s="4" t="s">
        <v>15</v>
      </c>
      <c r="C1905" s="4" t="n">
        <v>15</v>
      </c>
      <c r="D1905" s="5" t="n">
        <v>16</v>
      </c>
      <c r="E1905" s="6" t="n">
        <f aca="false">DATE(2024,7,27)</f>
        <v>45500</v>
      </c>
      <c r="F1905" s="7" t="n">
        <f aca="false">C1905*D1905</f>
        <v>240</v>
      </c>
      <c r="G1905" s="7" t="n">
        <f aca="false">ROUND(F1905*0.2,2)</f>
        <v>48</v>
      </c>
      <c r="H1905" s="4" t="str">
        <f aca="false">IF(F1905&gt;500,"Yüksek",IF(F1905&gt;100,"Orta","Düşük"))</f>
        <v>Orta</v>
      </c>
    </row>
    <row r="1906" customFormat="false" ht="12.8" hidden="false" customHeight="false" outlineLevel="0" collapsed="false">
      <c r="A1906" s="4" t="s">
        <v>16</v>
      </c>
      <c r="B1906" s="4" t="s">
        <v>17</v>
      </c>
      <c r="C1906" s="4" t="n">
        <v>22</v>
      </c>
      <c r="D1906" s="5" t="n">
        <v>18.75</v>
      </c>
      <c r="E1906" s="6" t="n">
        <f aca="false">DATE(2024,8,28)</f>
        <v>45532</v>
      </c>
      <c r="F1906" s="7" t="n">
        <f aca="false">C1906*D1906</f>
        <v>412.5</v>
      </c>
      <c r="G1906" s="7" t="n">
        <f aca="false">ROUND(F1906*0.2,2)</f>
        <v>82.5</v>
      </c>
      <c r="H1906" s="4" t="str">
        <f aca="false">IF(F1906&gt;500,"Yüksek",IF(F1906&gt;100,"Orta","Düşük"))</f>
        <v>Orta</v>
      </c>
    </row>
    <row r="1907" customFormat="false" ht="12.8" hidden="false" customHeight="false" outlineLevel="0" collapsed="false">
      <c r="A1907" s="4" t="s">
        <v>18</v>
      </c>
      <c r="B1907" s="4" t="s">
        <v>19</v>
      </c>
      <c r="C1907" s="4" t="n">
        <v>29</v>
      </c>
      <c r="D1907" s="5" t="n">
        <v>21.5</v>
      </c>
      <c r="E1907" s="6" t="n">
        <f aca="false">DATE(2024,9,1)</f>
        <v>45536</v>
      </c>
      <c r="F1907" s="7" t="n">
        <f aca="false">C1907*D1907</f>
        <v>623.5</v>
      </c>
      <c r="G1907" s="7" t="n">
        <f aca="false">ROUND(F1907*0.2,2)</f>
        <v>124.7</v>
      </c>
      <c r="H1907" s="4" t="str">
        <f aca="false">IF(F1907&gt;500,"Yüksek",IF(F1907&gt;100,"Orta","Düşük"))</f>
        <v>Yüksek</v>
      </c>
    </row>
    <row r="1908" customFormat="false" ht="12.8" hidden="false" customHeight="false" outlineLevel="0" collapsed="false">
      <c r="A1908" s="4" t="s">
        <v>20</v>
      </c>
      <c r="B1908" s="4" t="s">
        <v>11</v>
      </c>
      <c r="C1908" s="4" t="n">
        <v>36</v>
      </c>
      <c r="D1908" s="5" t="n">
        <v>24.25</v>
      </c>
      <c r="E1908" s="6" t="n">
        <f aca="false">DATE(2024,10,2)</f>
        <v>45567</v>
      </c>
      <c r="F1908" s="7" t="n">
        <f aca="false">C1908*D1908</f>
        <v>873</v>
      </c>
      <c r="G1908" s="7" t="n">
        <f aca="false">ROUND(F1908*0.2,2)</f>
        <v>174.6</v>
      </c>
      <c r="H1908" s="4" t="str">
        <f aca="false">IF(F1908&gt;500,"Yüksek",IF(F1908&gt;100,"Orta","Düşük"))</f>
        <v>Yüksek</v>
      </c>
    </row>
    <row r="1909" customFormat="false" ht="12.8" hidden="false" customHeight="false" outlineLevel="0" collapsed="false">
      <c r="A1909" s="4" t="s">
        <v>21</v>
      </c>
      <c r="B1909" s="4" t="s">
        <v>13</v>
      </c>
      <c r="C1909" s="4" t="n">
        <v>43</v>
      </c>
      <c r="D1909" s="5" t="n">
        <v>27</v>
      </c>
      <c r="E1909" s="6" t="n">
        <f aca="false">DATE(2024,11,3)</f>
        <v>45599</v>
      </c>
      <c r="F1909" s="7" t="n">
        <f aca="false">C1909*D1909</f>
        <v>1161</v>
      </c>
      <c r="G1909" s="7" t="n">
        <f aca="false">ROUND(F1909*0.2,2)</f>
        <v>232.2</v>
      </c>
      <c r="H1909" s="4" t="str">
        <f aca="false">IF(F1909&gt;500,"Yüksek",IF(F1909&gt;100,"Orta","Düşük"))</f>
        <v>Yüksek</v>
      </c>
    </row>
    <row r="1910" customFormat="false" ht="12.8" hidden="false" customHeight="false" outlineLevel="0" collapsed="false">
      <c r="A1910" s="4" t="s">
        <v>22</v>
      </c>
      <c r="B1910" s="4" t="s">
        <v>15</v>
      </c>
      <c r="C1910" s="4" t="n">
        <v>50</v>
      </c>
      <c r="D1910" s="5" t="n">
        <v>29.75</v>
      </c>
      <c r="E1910" s="6" t="n">
        <f aca="false">DATE(2024,12,4)</f>
        <v>45630</v>
      </c>
      <c r="F1910" s="7" t="n">
        <f aca="false">C1910*D1910</f>
        <v>1487.5</v>
      </c>
      <c r="G1910" s="7" t="n">
        <f aca="false">ROUND(F1910*0.2,2)</f>
        <v>297.5</v>
      </c>
      <c r="H1910" s="4" t="str">
        <f aca="false">IF(F1910&gt;500,"Yüksek",IF(F1910&gt;100,"Orta","Düşük"))</f>
        <v>Yüksek</v>
      </c>
    </row>
    <row r="1911" customFormat="false" ht="12.8" hidden="false" customHeight="false" outlineLevel="0" collapsed="false">
      <c r="A1911" s="4" t="s">
        <v>23</v>
      </c>
      <c r="B1911" s="4" t="s">
        <v>17</v>
      </c>
      <c r="C1911" s="4" t="n">
        <v>7</v>
      </c>
      <c r="D1911" s="5" t="n">
        <v>32.5</v>
      </c>
      <c r="E1911" s="6" t="n">
        <f aca="false">DATE(2024,1,5)</f>
        <v>45296</v>
      </c>
      <c r="F1911" s="7" t="n">
        <f aca="false">C1911*D1911</f>
        <v>227.5</v>
      </c>
      <c r="G1911" s="7" t="n">
        <f aca="false">ROUND(F1911*0.2,2)</f>
        <v>45.5</v>
      </c>
      <c r="H1911" s="4" t="str">
        <f aca="false">IF(F1911&gt;500,"Yüksek",IF(F1911&gt;100,"Orta","Düşük"))</f>
        <v>Orta</v>
      </c>
    </row>
    <row r="1912" customFormat="false" ht="12.8" hidden="false" customHeight="false" outlineLevel="0" collapsed="false">
      <c r="A1912" s="4" t="s">
        <v>24</v>
      </c>
      <c r="B1912" s="4" t="s">
        <v>19</v>
      </c>
      <c r="C1912" s="4" t="n">
        <v>14</v>
      </c>
      <c r="D1912" s="5" t="n">
        <v>35.25</v>
      </c>
      <c r="E1912" s="6" t="n">
        <f aca="false">DATE(2024,2,6)</f>
        <v>45328</v>
      </c>
      <c r="F1912" s="7" t="n">
        <f aca="false">C1912*D1912</f>
        <v>493.5</v>
      </c>
      <c r="G1912" s="7" t="n">
        <f aca="false">ROUND(F1912*0.2,2)</f>
        <v>98.7</v>
      </c>
      <c r="H1912" s="4" t="str">
        <f aca="false">IF(F1912&gt;500,"Yüksek",IF(F1912&gt;100,"Orta","Düşük"))</f>
        <v>Orta</v>
      </c>
    </row>
    <row r="1913" customFormat="false" ht="12.8" hidden="false" customHeight="false" outlineLevel="0" collapsed="false">
      <c r="A1913" s="4" t="s">
        <v>10</v>
      </c>
      <c r="B1913" s="4" t="s">
        <v>11</v>
      </c>
      <c r="C1913" s="4" t="n">
        <v>21</v>
      </c>
      <c r="D1913" s="5" t="n">
        <v>38</v>
      </c>
      <c r="E1913" s="6" t="n">
        <f aca="false">DATE(2024,3,7)</f>
        <v>45358</v>
      </c>
      <c r="F1913" s="7" t="n">
        <f aca="false">C1913*D1913</f>
        <v>798</v>
      </c>
      <c r="G1913" s="7" t="n">
        <f aca="false">ROUND(F1913*0.2,2)</f>
        <v>159.6</v>
      </c>
      <c r="H1913" s="4" t="str">
        <f aca="false">IF(F1913&gt;500,"Yüksek",IF(F1913&gt;100,"Orta","Düşük"))</f>
        <v>Yüksek</v>
      </c>
    </row>
    <row r="1914" customFormat="false" ht="12.8" hidden="false" customHeight="false" outlineLevel="0" collapsed="false">
      <c r="A1914" s="4" t="s">
        <v>12</v>
      </c>
      <c r="B1914" s="4" t="s">
        <v>13</v>
      </c>
      <c r="C1914" s="4" t="n">
        <v>28</v>
      </c>
      <c r="D1914" s="5" t="n">
        <v>5</v>
      </c>
      <c r="E1914" s="6" t="n">
        <f aca="false">DATE(2024,4,8)</f>
        <v>45390</v>
      </c>
      <c r="F1914" s="7" t="n">
        <f aca="false">C1914*D1914</f>
        <v>140</v>
      </c>
      <c r="G1914" s="7" t="n">
        <f aca="false">ROUND(F1914*0.2,2)</f>
        <v>28</v>
      </c>
      <c r="H1914" s="4" t="str">
        <f aca="false">IF(F1914&gt;500,"Yüksek",IF(F1914&gt;100,"Orta","Düşük"))</f>
        <v>Orta</v>
      </c>
    </row>
    <row r="1915" customFormat="false" ht="12.8" hidden="false" customHeight="false" outlineLevel="0" collapsed="false">
      <c r="A1915" s="4" t="s">
        <v>14</v>
      </c>
      <c r="B1915" s="4" t="s">
        <v>15</v>
      </c>
      <c r="C1915" s="4" t="n">
        <v>35</v>
      </c>
      <c r="D1915" s="5" t="n">
        <v>7.75</v>
      </c>
      <c r="E1915" s="6" t="n">
        <f aca="false">DATE(2024,5,9)</f>
        <v>45421</v>
      </c>
      <c r="F1915" s="7" t="n">
        <f aca="false">C1915*D1915</f>
        <v>271.25</v>
      </c>
      <c r="G1915" s="7" t="n">
        <f aca="false">ROUND(F1915*0.2,2)</f>
        <v>54.25</v>
      </c>
      <c r="H1915" s="4" t="str">
        <f aca="false">IF(F1915&gt;500,"Yüksek",IF(F1915&gt;100,"Orta","Düşük"))</f>
        <v>Orta</v>
      </c>
    </row>
    <row r="1916" customFormat="false" ht="12.8" hidden="false" customHeight="false" outlineLevel="0" collapsed="false">
      <c r="A1916" s="4" t="s">
        <v>16</v>
      </c>
      <c r="B1916" s="4" t="s">
        <v>17</v>
      </c>
      <c r="C1916" s="4" t="n">
        <v>42</v>
      </c>
      <c r="D1916" s="5" t="n">
        <v>10.5</v>
      </c>
      <c r="E1916" s="6" t="n">
        <f aca="false">DATE(2024,6,10)</f>
        <v>45453</v>
      </c>
      <c r="F1916" s="7" t="n">
        <f aca="false">C1916*D1916</f>
        <v>441</v>
      </c>
      <c r="G1916" s="7" t="n">
        <f aca="false">ROUND(F1916*0.2,2)</f>
        <v>88.2</v>
      </c>
      <c r="H1916" s="4" t="str">
        <f aca="false">IF(F1916&gt;500,"Yüksek",IF(F1916&gt;100,"Orta","Düşük"))</f>
        <v>Orta</v>
      </c>
    </row>
    <row r="1917" customFormat="false" ht="12.8" hidden="false" customHeight="false" outlineLevel="0" collapsed="false">
      <c r="A1917" s="4" t="s">
        <v>18</v>
      </c>
      <c r="B1917" s="4" t="s">
        <v>19</v>
      </c>
      <c r="C1917" s="4" t="n">
        <v>49</v>
      </c>
      <c r="D1917" s="5" t="n">
        <v>13.25</v>
      </c>
      <c r="E1917" s="6" t="n">
        <f aca="false">DATE(2024,7,11)</f>
        <v>45484</v>
      </c>
      <c r="F1917" s="7" t="n">
        <f aca="false">C1917*D1917</f>
        <v>649.25</v>
      </c>
      <c r="G1917" s="7" t="n">
        <f aca="false">ROUND(F1917*0.2,2)</f>
        <v>129.85</v>
      </c>
      <c r="H1917" s="4" t="str">
        <f aca="false">IF(F1917&gt;500,"Yüksek",IF(F1917&gt;100,"Orta","Düşük"))</f>
        <v>Yüksek</v>
      </c>
    </row>
    <row r="1918" customFormat="false" ht="12.8" hidden="false" customHeight="false" outlineLevel="0" collapsed="false">
      <c r="A1918" s="4" t="s">
        <v>20</v>
      </c>
      <c r="B1918" s="4" t="s">
        <v>11</v>
      </c>
      <c r="C1918" s="4" t="n">
        <v>6</v>
      </c>
      <c r="D1918" s="5" t="n">
        <v>16</v>
      </c>
      <c r="E1918" s="6" t="n">
        <f aca="false">DATE(2024,8,12)</f>
        <v>45516</v>
      </c>
      <c r="F1918" s="7" t="n">
        <f aca="false">C1918*D1918</f>
        <v>96</v>
      </c>
      <c r="G1918" s="7" t="n">
        <f aca="false">ROUND(F1918*0.2,2)</f>
        <v>19.2</v>
      </c>
      <c r="H1918" s="4" t="str">
        <f aca="false">IF(F1918&gt;500,"Yüksek",IF(F1918&gt;100,"Orta","Düşük"))</f>
        <v>Düşük</v>
      </c>
    </row>
    <row r="1919" customFormat="false" ht="12.8" hidden="false" customHeight="false" outlineLevel="0" collapsed="false">
      <c r="A1919" s="4" t="s">
        <v>21</v>
      </c>
      <c r="B1919" s="4" t="s">
        <v>13</v>
      </c>
      <c r="C1919" s="4" t="n">
        <v>13</v>
      </c>
      <c r="D1919" s="5" t="n">
        <v>18.75</v>
      </c>
      <c r="E1919" s="6" t="n">
        <f aca="false">DATE(2024,9,13)</f>
        <v>45548</v>
      </c>
      <c r="F1919" s="7" t="n">
        <f aca="false">C1919*D1919</f>
        <v>243.75</v>
      </c>
      <c r="G1919" s="7" t="n">
        <f aca="false">ROUND(F1919*0.2,2)</f>
        <v>48.75</v>
      </c>
      <c r="H1919" s="4" t="str">
        <f aca="false">IF(F1919&gt;500,"Yüksek",IF(F1919&gt;100,"Orta","Düşük"))</f>
        <v>Orta</v>
      </c>
    </row>
    <row r="1920" customFormat="false" ht="12.8" hidden="false" customHeight="false" outlineLevel="0" collapsed="false">
      <c r="A1920" s="4" t="s">
        <v>22</v>
      </c>
      <c r="B1920" s="4" t="s">
        <v>15</v>
      </c>
      <c r="C1920" s="4" t="n">
        <v>20</v>
      </c>
      <c r="D1920" s="5" t="n">
        <v>21.5</v>
      </c>
      <c r="E1920" s="6" t="n">
        <f aca="false">DATE(2024,10,14)</f>
        <v>45579</v>
      </c>
      <c r="F1920" s="7" t="n">
        <f aca="false">C1920*D1920</f>
        <v>430</v>
      </c>
      <c r="G1920" s="7" t="n">
        <f aca="false">ROUND(F1920*0.2,2)</f>
        <v>86</v>
      </c>
      <c r="H1920" s="4" t="str">
        <f aca="false">IF(F1920&gt;500,"Yüksek",IF(F1920&gt;100,"Orta","Düşük"))</f>
        <v>Orta</v>
      </c>
    </row>
    <row r="1921" customFormat="false" ht="12.8" hidden="false" customHeight="false" outlineLevel="0" collapsed="false">
      <c r="A1921" s="4" t="s">
        <v>23</v>
      </c>
      <c r="B1921" s="4" t="s">
        <v>17</v>
      </c>
      <c r="C1921" s="4" t="n">
        <v>27</v>
      </c>
      <c r="D1921" s="5" t="n">
        <v>24.25</v>
      </c>
      <c r="E1921" s="6" t="n">
        <f aca="false">DATE(2024,11,15)</f>
        <v>45611</v>
      </c>
      <c r="F1921" s="7" t="n">
        <f aca="false">C1921*D1921</f>
        <v>654.75</v>
      </c>
      <c r="G1921" s="7" t="n">
        <f aca="false">ROUND(F1921*0.2,2)</f>
        <v>130.95</v>
      </c>
      <c r="H1921" s="4" t="str">
        <f aca="false">IF(F1921&gt;500,"Yüksek",IF(F1921&gt;100,"Orta","Düşük"))</f>
        <v>Yüksek</v>
      </c>
    </row>
    <row r="1922" customFormat="false" ht="12.8" hidden="false" customHeight="false" outlineLevel="0" collapsed="false">
      <c r="A1922" s="4" t="s">
        <v>24</v>
      </c>
      <c r="B1922" s="4" t="s">
        <v>19</v>
      </c>
      <c r="C1922" s="4" t="n">
        <v>34</v>
      </c>
      <c r="D1922" s="5" t="n">
        <v>27</v>
      </c>
      <c r="E1922" s="6" t="n">
        <f aca="false">DATE(2024,12,16)</f>
        <v>45642</v>
      </c>
      <c r="F1922" s="7" t="n">
        <f aca="false">C1922*D1922</f>
        <v>918</v>
      </c>
      <c r="G1922" s="7" t="n">
        <f aca="false">ROUND(F1922*0.2,2)</f>
        <v>183.6</v>
      </c>
      <c r="H1922" s="4" t="str">
        <f aca="false">IF(F1922&gt;500,"Yüksek",IF(F1922&gt;100,"Orta","Düşük"))</f>
        <v>Yüksek</v>
      </c>
    </row>
    <row r="1923" customFormat="false" ht="12.8" hidden="false" customHeight="false" outlineLevel="0" collapsed="false">
      <c r="A1923" s="4" t="s">
        <v>10</v>
      </c>
      <c r="B1923" s="4" t="s">
        <v>11</v>
      </c>
      <c r="C1923" s="4" t="n">
        <v>41</v>
      </c>
      <c r="D1923" s="5" t="n">
        <v>29.75</v>
      </c>
      <c r="E1923" s="6" t="n">
        <f aca="false">DATE(2024,1,17)</f>
        <v>45308</v>
      </c>
      <c r="F1923" s="7" t="n">
        <f aca="false">C1923*D1923</f>
        <v>1219.75</v>
      </c>
      <c r="G1923" s="7" t="n">
        <f aca="false">ROUND(F1923*0.2,2)</f>
        <v>243.95</v>
      </c>
      <c r="H1923" s="4" t="str">
        <f aca="false">IF(F1923&gt;500,"Yüksek",IF(F1923&gt;100,"Orta","Düşük"))</f>
        <v>Yüksek</v>
      </c>
    </row>
    <row r="1924" customFormat="false" ht="12.8" hidden="false" customHeight="false" outlineLevel="0" collapsed="false">
      <c r="A1924" s="4" t="s">
        <v>12</v>
      </c>
      <c r="B1924" s="4" t="s">
        <v>13</v>
      </c>
      <c r="C1924" s="4" t="n">
        <v>48</v>
      </c>
      <c r="D1924" s="5" t="n">
        <v>32.5</v>
      </c>
      <c r="E1924" s="6" t="n">
        <f aca="false">DATE(2024,2,18)</f>
        <v>45340</v>
      </c>
      <c r="F1924" s="7" t="n">
        <f aca="false">C1924*D1924</f>
        <v>1560</v>
      </c>
      <c r="G1924" s="7" t="n">
        <f aca="false">ROUND(F1924*0.2,2)</f>
        <v>312</v>
      </c>
      <c r="H1924" s="4" t="str">
        <f aca="false">IF(F1924&gt;500,"Yüksek",IF(F1924&gt;100,"Orta","Düşük"))</f>
        <v>Yüksek</v>
      </c>
    </row>
    <row r="1925" customFormat="false" ht="12.8" hidden="false" customHeight="false" outlineLevel="0" collapsed="false">
      <c r="A1925" s="4" t="s">
        <v>14</v>
      </c>
      <c r="B1925" s="4" t="s">
        <v>15</v>
      </c>
      <c r="C1925" s="4" t="n">
        <v>5</v>
      </c>
      <c r="D1925" s="5" t="n">
        <v>35.25</v>
      </c>
      <c r="E1925" s="6" t="n">
        <f aca="false">DATE(2024,3,19)</f>
        <v>45370</v>
      </c>
      <c r="F1925" s="7" t="n">
        <f aca="false">C1925*D1925</f>
        <v>176.25</v>
      </c>
      <c r="G1925" s="7" t="n">
        <f aca="false">ROUND(F1925*0.2,2)</f>
        <v>35.25</v>
      </c>
      <c r="H1925" s="4" t="str">
        <f aca="false">IF(F1925&gt;500,"Yüksek",IF(F1925&gt;100,"Orta","Düşük"))</f>
        <v>Orta</v>
      </c>
    </row>
    <row r="1926" customFormat="false" ht="12.8" hidden="false" customHeight="false" outlineLevel="0" collapsed="false">
      <c r="A1926" s="4" t="s">
        <v>16</v>
      </c>
      <c r="B1926" s="4" t="s">
        <v>17</v>
      </c>
      <c r="C1926" s="4" t="n">
        <v>12</v>
      </c>
      <c r="D1926" s="5" t="n">
        <v>38</v>
      </c>
      <c r="E1926" s="6" t="n">
        <f aca="false">DATE(2024,4,20)</f>
        <v>45402</v>
      </c>
      <c r="F1926" s="7" t="n">
        <f aca="false">C1926*D1926</f>
        <v>456</v>
      </c>
      <c r="G1926" s="7" t="n">
        <f aca="false">ROUND(F1926*0.2,2)</f>
        <v>91.2</v>
      </c>
      <c r="H1926" s="4" t="str">
        <f aca="false">IF(F1926&gt;500,"Yüksek",IF(F1926&gt;100,"Orta","Düşük"))</f>
        <v>Orta</v>
      </c>
    </row>
    <row r="1927" customFormat="false" ht="12.8" hidden="false" customHeight="false" outlineLevel="0" collapsed="false">
      <c r="A1927" s="4" t="s">
        <v>18</v>
      </c>
      <c r="B1927" s="4" t="s">
        <v>19</v>
      </c>
      <c r="C1927" s="4" t="n">
        <v>19</v>
      </c>
      <c r="D1927" s="5" t="n">
        <v>5</v>
      </c>
      <c r="E1927" s="6" t="n">
        <f aca="false">DATE(2024,5,21)</f>
        <v>45433</v>
      </c>
      <c r="F1927" s="7" t="n">
        <f aca="false">C1927*D1927</f>
        <v>95</v>
      </c>
      <c r="G1927" s="7" t="n">
        <f aca="false">ROUND(F1927*0.2,2)</f>
        <v>19</v>
      </c>
      <c r="H1927" s="4" t="str">
        <f aca="false">IF(F1927&gt;500,"Yüksek",IF(F1927&gt;100,"Orta","Düşük"))</f>
        <v>Düşük</v>
      </c>
    </row>
    <row r="1928" customFormat="false" ht="12.8" hidden="false" customHeight="false" outlineLevel="0" collapsed="false">
      <c r="A1928" s="4" t="s">
        <v>20</v>
      </c>
      <c r="B1928" s="4" t="s">
        <v>11</v>
      </c>
      <c r="C1928" s="4" t="n">
        <v>26</v>
      </c>
      <c r="D1928" s="5" t="n">
        <v>7.75</v>
      </c>
      <c r="E1928" s="6" t="n">
        <f aca="false">DATE(2024,6,22)</f>
        <v>45465</v>
      </c>
      <c r="F1928" s="7" t="n">
        <f aca="false">C1928*D1928</f>
        <v>201.5</v>
      </c>
      <c r="G1928" s="7" t="n">
        <f aca="false">ROUND(F1928*0.2,2)</f>
        <v>40.3</v>
      </c>
      <c r="H1928" s="4" t="str">
        <f aca="false">IF(F1928&gt;500,"Yüksek",IF(F1928&gt;100,"Orta","Düşük"))</f>
        <v>Orta</v>
      </c>
    </row>
    <row r="1929" customFormat="false" ht="12.8" hidden="false" customHeight="false" outlineLevel="0" collapsed="false">
      <c r="A1929" s="4" t="s">
        <v>21</v>
      </c>
      <c r="B1929" s="4" t="s">
        <v>13</v>
      </c>
      <c r="C1929" s="4" t="n">
        <v>33</v>
      </c>
      <c r="D1929" s="5" t="n">
        <v>10.5</v>
      </c>
      <c r="E1929" s="6" t="n">
        <f aca="false">DATE(2024,7,23)</f>
        <v>45496</v>
      </c>
      <c r="F1929" s="7" t="n">
        <f aca="false">C1929*D1929</f>
        <v>346.5</v>
      </c>
      <c r="G1929" s="7" t="n">
        <f aca="false">ROUND(F1929*0.2,2)</f>
        <v>69.3</v>
      </c>
      <c r="H1929" s="4" t="str">
        <f aca="false">IF(F1929&gt;500,"Yüksek",IF(F1929&gt;100,"Orta","Düşük"))</f>
        <v>Orta</v>
      </c>
    </row>
    <row r="1930" customFormat="false" ht="12.8" hidden="false" customHeight="false" outlineLevel="0" collapsed="false">
      <c r="A1930" s="4" t="s">
        <v>22</v>
      </c>
      <c r="B1930" s="4" t="s">
        <v>15</v>
      </c>
      <c r="C1930" s="4" t="n">
        <v>40</v>
      </c>
      <c r="D1930" s="5" t="n">
        <v>13.25</v>
      </c>
      <c r="E1930" s="6" t="n">
        <f aca="false">DATE(2024,8,24)</f>
        <v>45528</v>
      </c>
      <c r="F1930" s="7" t="n">
        <f aca="false">C1930*D1930</f>
        <v>530</v>
      </c>
      <c r="G1930" s="7" t="n">
        <f aca="false">ROUND(F1930*0.2,2)</f>
        <v>106</v>
      </c>
      <c r="H1930" s="4" t="str">
        <f aca="false">IF(F1930&gt;500,"Yüksek",IF(F1930&gt;100,"Orta","Düşük"))</f>
        <v>Yüksek</v>
      </c>
    </row>
    <row r="1931" customFormat="false" ht="12.8" hidden="false" customHeight="false" outlineLevel="0" collapsed="false">
      <c r="A1931" s="4" t="s">
        <v>23</v>
      </c>
      <c r="B1931" s="4" t="s">
        <v>17</v>
      </c>
      <c r="C1931" s="4" t="n">
        <v>47</v>
      </c>
      <c r="D1931" s="5" t="n">
        <v>16</v>
      </c>
      <c r="E1931" s="6" t="n">
        <f aca="false">DATE(2024,9,25)</f>
        <v>45560</v>
      </c>
      <c r="F1931" s="7" t="n">
        <f aca="false">C1931*D1931</f>
        <v>752</v>
      </c>
      <c r="G1931" s="7" t="n">
        <f aca="false">ROUND(F1931*0.2,2)</f>
        <v>150.4</v>
      </c>
      <c r="H1931" s="4" t="str">
        <f aca="false">IF(F1931&gt;500,"Yüksek",IF(F1931&gt;100,"Orta","Düşük"))</f>
        <v>Yüksek</v>
      </c>
    </row>
    <row r="1932" customFormat="false" ht="12.8" hidden="false" customHeight="false" outlineLevel="0" collapsed="false">
      <c r="A1932" s="4" t="s">
        <v>24</v>
      </c>
      <c r="B1932" s="4" t="s">
        <v>19</v>
      </c>
      <c r="C1932" s="4" t="n">
        <v>4</v>
      </c>
      <c r="D1932" s="5" t="n">
        <v>18.75</v>
      </c>
      <c r="E1932" s="6" t="n">
        <f aca="false">DATE(2024,10,26)</f>
        <v>45591</v>
      </c>
      <c r="F1932" s="7" t="n">
        <f aca="false">C1932*D1932</f>
        <v>75</v>
      </c>
      <c r="G1932" s="7" t="n">
        <f aca="false">ROUND(F1932*0.2,2)</f>
        <v>15</v>
      </c>
      <c r="H1932" s="4" t="str">
        <f aca="false">IF(F1932&gt;500,"Yüksek",IF(F1932&gt;100,"Orta","Düşük"))</f>
        <v>Düşük</v>
      </c>
    </row>
    <row r="1933" customFormat="false" ht="12.8" hidden="false" customHeight="false" outlineLevel="0" collapsed="false">
      <c r="A1933" s="4" t="s">
        <v>10</v>
      </c>
      <c r="B1933" s="4" t="s">
        <v>11</v>
      </c>
      <c r="C1933" s="4" t="n">
        <v>11</v>
      </c>
      <c r="D1933" s="5" t="n">
        <v>21.5</v>
      </c>
      <c r="E1933" s="6" t="n">
        <f aca="false">DATE(2024,11,27)</f>
        <v>45623</v>
      </c>
      <c r="F1933" s="7" t="n">
        <f aca="false">C1933*D1933</f>
        <v>236.5</v>
      </c>
      <c r="G1933" s="7" t="n">
        <f aca="false">ROUND(F1933*0.2,2)</f>
        <v>47.3</v>
      </c>
      <c r="H1933" s="4" t="str">
        <f aca="false">IF(F1933&gt;500,"Yüksek",IF(F1933&gt;100,"Orta","Düşük"))</f>
        <v>Orta</v>
      </c>
    </row>
    <row r="1934" customFormat="false" ht="12.8" hidden="false" customHeight="false" outlineLevel="0" collapsed="false">
      <c r="A1934" s="4" t="s">
        <v>12</v>
      </c>
      <c r="B1934" s="4" t="s">
        <v>13</v>
      </c>
      <c r="C1934" s="4" t="n">
        <v>18</v>
      </c>
      <c r="D1934" s="5" t="n">
        <v>24.25</v>
      </c>
      <c r="E1934" s="6" t="n">
        <f aca="false">DATE(2024,12,28)</f>
        <v>45654</v>
      </c>
      <c r="F1934" s="7" t="n">
        <f aca="false">C1934*D1934</f>
        <v>436.5</v>
      </c>
      <c r="G1934" s="7" t="n">
        <f aca="false">ROUND(F1934*0.2,2)</f>
        <v>87.3</v>
      </c>
      <c r="H1934" s="4" t="str">
        <f aca="false">IF(F1934&gt;500,"Yüksek",IF(F1934&gt;100,"Orta","Düşük"))</f>
        <v>Orta</v>
      </c>
    </row>
    <row r="1935" customFormat="false" ht="12.8" hidden="false" customHeight="false" outlineLevel="0" collapsed="false">
      <c r="A1935" s="4" t="s">
        <v>14</v>
      </c>
      <c r="B1935" s="4" t="s">
        <v>15</v>
      </c>
      <c r="C1935" s="4" t="n">
        <v>25</v>
      </c>
      <c r="D1935" s="5" t="n">
        <v>27</v>
      </c>
      <c r="E1935" s="6" t="n">
        <f aca="false">DATE(2024,1,1)</f>
        <v>45292</v>
      </c>
      <c r="F1935" s="7" t="n">
        <f aca="false">C1935*D1935</f>
        <v>675</v>
      </c>
      <c r="G1935" s="7" t="n">
        <f aca="false">ROUND(F1935*0.2,2)</f>
        <v>135</v>
      </c>
      <c r="H1935" s="4" t="str">
        <f aca="false">IF(F1935&gt;500,"Yüksek",IF(F1935&gt;100,"Orta","Düşük"))</f>
        <v>Yüksek</v>
      </c>
    </row>
    <row r="1936" customFormat="false" ht="12.8" hidden="false" customHeight="false" outlineLevel="0" collapsed="false">
      <c r="A1936" s="4" t="s">
        <v>16</v>
      </c>
      <c r="B1936" s="4" t="s">
        <v>17</v>
      </c>
      <c r="C1936" s="4" t="n">
        <v>32</v>
      </c>
      <c r="D1936" s="5" t="n">
        <v>29.75</v>
      </c>
      <c r="E1936" s="6" t="n">
        <f aca="false">DATE(2024,2,2)</f>
        <v>45324</v>
      </c>
      <c r="F1936" s="7" t="n">
        <f aca="false">C1936*D1936</f>
        <v>952</v>
      </c>
      <c r="G1936" s="7" t="n">
        <f aca="false">ROUND(F1936*0.2,2)</f>
        <v>190.4</v>
      </c>
      <c r="H1936" s="4" t="str">
        <f aca="false">IF(F1936&gt;500,"Yüksek",IF(F1936&gt;100,"Orta","Düşük"))</f>
        <v>Yüksek</v>
      </c>
    </row>
    <row r="1937" customFormat="false" ht="12.8" hidden="false" customHeight="false" outlineLevel="0" collapsed="false">
      <c r="A1937" s="4" t="s">
        <v>18</v>
      </c>
      <c r="B1937" s="4" t="s">
        <v>19</v>
      </c>
      <c r="C1937" s="4" t="n">
        <v>39</v>
      </c>
      <c r="D1937" s="5" t="n">
        <v>32.5</v>
      </c>
      <c r="E1937" s="6" t="n">
        <f aca="false">DATE(2024,3,3)</f>
        <v>45354</v>
      </c>
      <c r="F1937" s="7" t="n">
        <f aca="false">C1937*D1937</f>
        <v>1267.5</v>
      </c>
      <c r="G1937" s="7" t="n">
        <f aca="false">ROUND(F1937*0.2,2)</f>
        <v>253.5</v>
      </c>
      <c r="H1937" s="4" t="str">
        <f aca="false">IF(F1937&gt;500,"Yüksek",IF(F1937&gt;100,"Orta","Düşük"))</f>
        <v>Yüksek</v>
      </c>
    </row>
    <row r="1938" customFormat="false" ht="12.8" hidden="false" customHeight="false" outlineLevel="0" collapsed="false">
      <c r="A1938" s="4" t="s">
        <v>20</v>
      </c>
      <c r="B1938" s="4" t="s">
        <v>11</v>
      </c>
      <c r="C1938" s="4" t="n">
        <v>46</v>
      </c>
      <c r="D1938" s="5" t="n">
        <v>35.25</v>
      </c>
      <c r="E1938" s="6" t="n">
        <f aca="false">DATE(2024,4,4)</f>
        <v>45386</v>
      </c>
      <c r="F1938" s="7" t="n">
        <f aca="false">C1938*D1938</f>
        <v>1621.5</v>
      </c>
      <c r="G1938" s="7" t="n">
        <f aca="false">ROUND(F1938*0.2,2)</f>
        <v>324.3</v>
      </c>
      <c r="H1938" s="4" t="str">
        <f aca="false">IF(F1938&gt;500,"Yüksek",IF(F1938&gt;100,"Orta","Düşük"))</f>
        <v>Yüksek</v>
      </c>
    </row>
    <row r="1939" customFormat="false" ht="12.8" hidden="false" customHeight="false" outlineLevel="0" collapsed="false">
      <c r="A1939" s="4" t="s">
        <v>21</v>
      </c>
      <c r="B1939" s="4" t="s">
        <v>13</v>
      </c>
      <c r="C1939" s="4" t="n">
        <v>3</v>
      </c>
      <c r="D1939" s="5" t="n">
        <v>38</v>
      </c>
      <c r="E1939" s="6" t="n">
        <f aca="false">DATE(2024,5,5)</f>
        <v>45417</v>
      </c>
      <c r="F1939" s="7" t="n">
        <f aca="false">C1939*D1939</f>
        <v>114</v>
      </c>
      <c r="G1939" s="7" t="n">
        <f aca="false">ROUND(F1939*0.2,2)</f>
        <v>22.8</v>
      </c>
      <c r="H1939" s="4" t="str">
        <f aca="false">IF(F1939&gt;500,"Yüksek",IF(F1939&gt;100,"Orta","Düşük"))</f>
        <v>Orta</v>
      </c>
    </row>
    <row r="1940" customFormat="false" ht="12.8" hidden="false" customHeight="false" outlineLevel="0" collapsed="false">
      <c r="A1940" s="4" t="s">
        <v>22</v>
      </c>
      <c r="B1940" s="4" t="s">
        <v>15</v>
      </c>
      <c r="C1940" s="4" t="n">
        <v>10</v>
      </c>
      <c r="D1940" s="5" t="n">
        <v>5</v>
      </c>
      <c r="E1940" s="6" t="n">
        <f aca="false">DATE(2024,6,6)</f>
        <v>45449</v>
      </c>
      <c r="F1940" s="7" t="n">
        <f aca="false">C1940*D1940</f>
        <v>50</v>
      </c>
      <c r="G1940" s="7" t="n">
        <f aca="false">ROUND(F1940*0.2,2)</f>
        <v>10</v>
      </c>
      <c r="H1940" s="4" t="str">
        <f aca="false">IF(F1940&gt;500,"Yüksek",IF(F1940&gt;100,"Orta","Düşük"))</f>
        <v>Düşük</v>
      </c>
    </row>
    <row r="1941" customFormat="false" ht="12.8" hidden="false" customHeight="false" outlineLevel="0" collapsed="false">
      <c r="A1941" s="4" t="s">
        <v>23</v>
      </c>
      <c r="B1941" s="4" t="s">
        <v>17</v>
      </c>
      <c r="C1941" s="4" t="n">
        <v>17</v>
      </c>
      <c r="D1941" s="5" t="n">
        <v>7.75</v>
      </c>
      <c r="E1941" s="6" t="n">
        <f aca="false">DATE(2024,7,7)</f>
        <v>45480</v>
      </c>
      <c r="F1941" s="7" t="n">
        <f aca="false">C1941*D1941</f>
        <v>131.75</v>
      </c>
      <c r="G1941" s="7" t="n">
        <f aca="false">ROUND(F1941*0.2,2)</f>
        <v>26.35</v>
      </c>
      <c r="H1941" s="4" t="str">
        <f aca="false">IF(F1941&gt;500,"Yüksek",IF(F1941&gt;100,"Orta","Düşük"))</f>
        <v>Orta</v>
      </c>
    </row>
    <row r="1942" customFormat="false" ht="12.8" hidden="false" customHeight="false" outlineLevel="0" collapsed="false">
      <c r="A1942" s="4" t="s">
        <v>24</v>
      </c>
      <c r="B1942" s="4" t="s">
        <v>19</v>
      </c>
      <c r="C1942" s="4" t="n">
        <v>24</v>
      </c>
      <c r="D1942" s="5" t="n">
        <v>10.5</v>
      </c>
      <c r="E1942" s="6" t="n">
        <f aca="false">DATE(2024,8,8)</f>
        <v>45512</v>
      </c>
      <c r="F1942" s="7" t="n">
        <f aca="false">C1942*D1942</f>
        <v>252</v>
      </c>
      <c r="G1942" s="7" t="n">
        <f aca="false">ROUND(F1942*0.2,2)</f>
        <v>50.4</v>
      </c>
      <c r="H1942" s="4" t="str">
        <f aca="false">IF(F1942&gt;500,"Yüksek",IF(F1942&gt;100,"Orta","Düşük"))</f>
        <v>Orta</v>
      </c>
    </row>
    <row r="1943" customFormat="false" ht="12.8" hidden="false" customHeight="false" outlineLevel="0" collapsed="false">
      <c r="A1943" s="4" t="s">
        <v>10</v>
      </c>
      <c r="B1943" s="4" t="s">
        <v>11</v>
      </c>
      <c r="C1943" s="4" t="n">
        <v>31</v>
      </c>
      <c r="D1943" s="5" t="n">
        <v>13.25</v>
      </c>
      <c r="E1943" s="6" t="n">
        <f aca="false">DATE(2024,9,9)</f>
        <v>45544</v>
      </c>
      <c r="F1943" s="7" t="n">
        <f aca="false">C1943*D1943</f>
        <v>410.75</v>
      </c>
      <c r="G1943" s="7" t="n">
        <f aca="false">ROUND(F1943*0.2,2)</f>
        <v>82.15</v>
      </c>
      <c r="H1943" s="4" t="str">
        <f aca="false">IF(F1943&gt;500,"Yüksek",IF(F1943&gt;100,"Orta","Düşük"))</f>
        <v>Orta</v>
      </c>
    </row>
    <row r="1944" customFormat="false" ht="12.8" hidden="false" customHeight="false" outlineLevel="0" collapsed="false">
      <c r="A1944" s="4" t="s">
        <v>12</v>
      </c>
      <c r="B1944" s="4" t="s">
        <v>13</v>
      </c>
      <c r="C1944" s="4" t="n">
        <v>38</v>
      </c>
      <c r="D1944" s="5" t="n">
        <v>16</v>
      </c>
      <c r="E1944" s="6" t="n">
        <f aca="false">DATE(2024,10,10)</f>
        <v>45575</v>
      </c>
      <c r="F1944" s="7" t="n">
        <f aca="false">C1944*D1944</f>
        <v>608</v>
      </c>
      <c r="G1944" s="7" t="n">
        <f aca="false">ROUND(F1944*0.2,2)</f>
        <v>121.6</v>
      </c>
      <c r="H1944" s="4" t="str">
        <f aca="false">IF(F1944&gt;500,"Yüksek",IF(F1944&gt;100,"Orta","Düşük"))</f>
        <v>Yüksek</v>
      </c>
    </row>
    <row r="1945" customFormat="false" ht="12.8" hidden="false" customHeight="false" outlineLevel="0" collapsed="false">
      <c r="A1945" s="4" t="s">
        <v>14</v>
      </c>
      <c r="B1945" s="4" t="s">
        <v>15</v>
      </c>
      <c r="C1945" s="4" t="n">
        <v>45</v>
      </c>
      <c r="D1945" s="5" t="n">
        <v>18.75</v>
      </c>
      <c r="E1945" s="6" t="n">
        <f aca="false">DATE(2024,11,11)</f>
        <v>45607</v>
      </c>
      <c r="F1945" s="7" t="n">
        <f aca="false">C1945*D1945</f>
        <v>843.75</v>
      </c>
      <c r="G1945" s="7" t="n">
        <f aca="false">ROUND(F1945*0.2,2)</f>
        <v>168.75</v>
      </c>
      <c r="H1945" s="4" t="str">
        <f aca="false">IF(F1945&gt;500,"Yüksek",IF(F1945&gt;100,"Orta","Düşük"))</f>
        <v>Yüksek</v>
      </c>
    </row>
    <row r="1946" customFormat="false" ht="12.8" hidden="false" customHeight="false" outlineLevel="0" collapsed="false">
      <c r="A1946" s="4" t="s">
        <v>16</v>
      </c>
      <c r="B1946" s="4" t="s">
        <v>17</v>
      </c>
      <c r="C1946" s="4" t="n">
        <v>2</v>
      </c>
      <c r="D1946" s="5" t="n">
        <v>21.5</v>
      </c>
      <c r="E1946" s="6" t="n">
        <f aca="false">DATE(2024,12,12)</f>
        <v>45638</v>
      </c>
      <c r="F1946" s="7" t="n">
        <f aca="false">C1946*D1946</f>
        <v>43</v>
      </c>
      <c r="G1946" s="7" t="n">
        <f aca="false">ROUND(F1946*0.2,2)</f>
        <v>8.6</v>
      </c>
      <c r="H1946" s="4" t="str">
        <f aca="false">IF(F1946&gt;500,"Yüksek",IF(F1946&gt;100,"Orta","Düşük"))</f>
        <v>Düşük</v>
      </c>
    </row>
    <row r="1947" customFormat="false" ht="12.8" hidden="false" customHeight="false" outlineLevel="0" collapsed="false">
      <c r="A1947" s="4" t="s">
        <v>18</v>
      </c>
      <c r="B1947" s="4" t="s">
        <v>19</v>
      </c>
      <c r="C1947" s="4" t="n">
        <v>9</v>
      </c>
      <c r="D1947" s="5" t="n">
        <v>24.25</v>
      </c>
      <c r="E1947" s="6" t="n">
        <f aca="false">DATE(2024,1,13)</f>
        <v>45304</v>
      </c>
      <c r="F1947" s="7" t="n">
        <f aca="false">C1947*D1947</f>
        <v>218.25</v>
      </c>
      <c r="G1947" s="7" t="n">
        <f aca="false">ROUND(F1947*0.2,2)</f>
        <v>43.65</v>
      </c>
      <c r="H1947" s="4" t="str">
        <f aca="false">IF(F1947&gt;500,"Yüksek",IF(F1947&gt;100,"Orta","Düşük"))</f>
        <v>Orta</v>
      </c>
    </row>
    <row r="1948" customFormat="false" ht="12.8" hidden="false" customHeight="false" outlineLevel="0" collapsed="false">
      <c r="A1948" s="4" t="s">
        <v>20</v>
      </c>
      <c r="B1948" s="4" t="s">
        <v>11</v>
      </c>
      <c r="C1948" s="4" t="n">
        <v>16</v>
      </c>
      <c r="D1948" s="5" t="n">
        <v>27</v>
      </c>
      <c r="E1948" s="6" t="n">
        <f aca="false">DATE(2024,2,14)</f>
        <v>45336</v>
      </c>
      <c r="F1948" s="7" t="n">
        <f aca="false">C1948*D1948</f>
        <v>432</v>
      </c>
      <c r="G1948" s="7" t="n">
        <f aca="false">ROUND(F1948*0.2,2)</f>
        <v>86.4</v>
      </c>
      <c r="H1948" s="4" t="str">
        <f aca="false">IF(F1948&gt;500,"Yüksek",IF(F1948&gt;100,"Orta","Düşük"))</f>
        <v>Orta</v>
      </c>
    </row>
    <row r="1949" customFormat="false" ht="12.8" hidden="false" customHeight="false" outlineLevel="0" collapsed="false">
      <c r="A1949" s="4" t="s">
        <v>21</v>
      </c>
      <c r="B1949" s="4" t="s">
        <v>13</v>
      </c>
      <c r="C1949" s="4" t="n">
        <v>23</v>
      </c>
      <c r="D1949" s="5" t="n">
        <v>29.75</v>
      </c>
      <c r="E1949" s="6" t="n">
        <f aca="false">DATE(2024,3,15)</f>
        <v>45366</v>
      </c>
      <c r="F1949" s="7" t="n">
        <f aca="false">C1949*D1949</f>
        <v>684.25</v>
      </c>
      <c r="G1949" s="7" t="n">
        <f aca="false">ROUND(F1949*0.2,2)</f>
        <v>136.85</v>
      </c>
      <c r="H1949" s="4" t="str">
        <f aca="false">IF(F1949&gt;500,"Yüksek",IF(F1949&gt;100,"Orta","Düşük"))</f>
        <v>Yüksek</v>
      </c>
    </row>
    <row r="1950" customFormat="false" ht="12.8" hidden="false" customHeight="false" outlineLevel="0" collapsed="false">
      <c r="A1950" s="4" t="s">
        <v>22</v>
      </c>
      <c r="B1950" s="4" t="s">
        <v>15</v>
      </c>
      <c r="C1950" s="4" t="n">
        <v>30</v>
      </c>
      <c r="D1950" s="5" t="n">
        <v>32.5</v>
      </c>
      <c r="E1950" s="6" t="n">
        <f aca="false">DATE(2024,4,16)</f>
        <v>45398</v>
      </c>
      <c r="F1950" s="7" t="n">
        <f aca="false">C1950*D1950</f>
        <v>975</v>
      </c>
      <c r="G1950" s="7" t="n">
        <f aca="false">ROUND(F1950*0.2,2)</f>
        <v>195</v>
      </c>
      <c r="H1950" s="4" t="str">
        <f aca="false">IF(F1950&gt;500,"Yüksek",IF(F1950&gt;100,"Orta","Düşük"))</f>
        <v>Yüksek</v>
      </c>
    </row>
    <row r="1951" customFormat="false" ht="12.8" hidden="false" customHeight="false" outlineLevel="0" collapsed="false">
      <c r="A1951" s="4" t="s">
        <v>23</v>
      </c>
      <c r="B1951" s="4" t="s">
        <v>17</v>
      </c>
      <c r="C1951" s="4" t="n">
        <v>37</v>
      </c>
      <c r="D1951" s="5" t="n">
        <v>35.25</v>
      </c>
      <c r="E1951" s="6" t="n">
        <f aca="false">DATE(2024,5,17)</f>
        <v>45429</v>
      </c>
      <c r="F1951" s="7" t="n">
        <f aca="false">C1951*D1951</f>
        <v>1304.25</v>
      </c>
      <c r="G1951" s="7" t="n">
        <f aca="false">ROUND(F1951*0.2,2)</f>
        <v>260.85</v>
      </c>
      <c r="H1951" s="4" t="str">
        <f aca="false">IF(F1951&gt;500,"Yüksek",IF(F1951&gt;100,"Orta","Düşük"))</f>
        <v>Yüksek</v>
      </c>
    </row>
    <row r="1952" customFormat="false" ht="12.8" hidden="false" customHeight="false" outlineLevel="0" collapsed="false">
      <c r="A1952" s="4" t="s">
        <v>24</v>
      </c>
      <c r="B1952" s="4" t="s">
        <v>19</v>
      </c>
      <c r="C1952" s="4" t="n">
        <v>44</v>
      </c>
      <c r="D1952" s="5" t="n">
        <v>38</v>
      </c>
      <c r="E1952" s="6" t="n">
        <f aca="false">DATE(2024,6,18)</f>
        <v>45461</v>
      </c>
      <c r="F1952" s="7" t="n">
        <f aca="false">C1952*D1952</f>
        <v>1672</v>
      </c>
      <c r="G1952" s="7" t="n">
        <f aca="false">ROUND(F1952*0.2,2)</f>
        <v>334.4</v>
      </c>
      <c r="H1952" s="4" t="str">
        <f aca="false">IF(F1952&gt;500,"Yüksek",IF(F1952&gt;100,"Orta","Düşük"))</f>
        <v>Yüksek</v>
      </c>
    </row>
    <row r="1953" customFormat="false" ht="12.8" hidden="false" customHeight="false" outlineLevel="0" collapsed="false">
      <c r="A1953" s="4" t="s">
        <v>10</v>
      </c>
      <c r="B1953" s="4" t="s">
        <v>11</v>
      </c>
      <c r="C1953" s="4" t="n">
        <v>1</v>
      </c>
      <c r="D1953" s="5" t="n">
        <v>5</v>
      </c>
      <c r="E1953" s="6" t="n">
        <f aca="false">DATE(2024,7,19)</f>
        <v>45492</v>
      </c>
      <c r="F1953" s="7" t="n">
        <f aca="false">C1953*D1953</f>
        <v>5</v>
      </c>
      <c r="G1953" s="7" t="n">
        <f aca="false">ROUND(F1953*0.2,2)</f>
        <v>1</v>
      </c>
      <c r="H1953" s="4" t="str">
        <f aca="false">IF(F1953&gt;500,"Yüksek",IF(F1953&gt;100,"Orta","Düşük"))</f>
        <v>Düşük</v>
      </c>
    </row>
    <row r="1954" customFormat="false" ht="12.8" hidden="false" customHeight="false" outlineLevel="0" collapsed="false">
      <c r="A1954" s="4" t="s">
        <v>12</v>
      </c>
      <c r="B1954" s="4" t="s">
        <v>13</v>
      </c>
      <c r="C1954" s="4" t="n">
        <v>8</v>
      </c>
      <c r="D1954" s="5" t="n">
        <v>7.75</v>
      </c>
      <c r="E1954" s="6" t="n">
        <f aca="false">DATE(2024,8,20)</f>
        <v>45524</v>
      </c>
      <c r="F1954" s="7" t="n">
        <f aca="false">C1954*D1954</f>
        <v>62</v>
      </c>
      <c r="G1954" s="7" t="n">
        <f aca="false">ROUND(F1954*0.2,2)</f>
        <v>12.4</v>
      </c>
      <c r="H1954" s="4" t="str">
        <f aca="false">IF(F1954&gt;500,"Yüksek",IF(F1954&gt;100,"Orta","Düşük"))</f>
        <v>Düşük</v>
      </c>
    </row>
    <row r="1955" customFormat="false" ht="12.8" hidden="false" customHeight="false" outlineLevel="0" collapsed="false">
      <c r="A1955" s="4" t="s">
        <v>14</v>
      </c>
      <c r="B1955" s="4" t="s">
        <v>15</v>
      </c>
      <c r="C1955" s="4" t="n">
        <v>15</v>
      </c>
      <c r="D1955" s="5" t="n">
        <v>10.5</v>
      </c>
      <c r="E1955" s="6" t="n">
        <f aca="false">DATE(2024,9,21)</f>
        <v>45556</v>
      </c>
      <c r="F1955" s="7" t="n">
        <f aca="false">C1955*D1955</f>
        <v>157.5</v>
      </c>
      <c r="G1955" s="7" t="n">
        <f aca="false">ROUND(F1955*0.2,2)</f>
        <v>31.5</v>
      </c>
      <c r="H1955" s="4" t="str">
        <f aca="false">IF(F1955&gt;500,"Yüksek",IF(F1955&gt;100,"Orta","Düşük"))</f>
        <v>Orta</v>
      </c>
    </row>
    <row r="1956" customFormat="false" ht="12.8" hidden="false" customHeight="false" outlineLevel="0" collapsed="false">
      <c r="A1956" s="4" t="s">
        <v>16</v>
      </c>
      <c r="B1956" s="4" t="s">
        <v>17</v>
      </c>
      <c r="C1956" s="4" t="n">
        <v>22</v>
      </c>
      <c r="D1956" s="5" t="n">
        <v>13.25</v>
      </c>
      <c r="E1956" s="6" t="n">
        <f aca="false">DATE(2024,10,22)</f>
        <v>45587</v>
      </c>
      <c r="F1956" s="7" t="n">
        <f aca="false">C1956*D1956</f>
        <v>291.5</v>
      </c>
      <c r="G1956" s="7" t="n">
        <f aca="false">ROUND(F1956*0.2,2)</f>
        <v>58.3</v>
      </c>
      <c r="H1956" s="4" t="str">
        <f aca="false">IF(F1956&gt;500,"Yüksek",IF(F1956&gt;100,"Orta","Düşük"))</f>
        <v>Orta</v>
      </c>
    </row>
    <row r="1957" customFormat="false" ht="12.8" hidden="false" customHeight="false" outlineLevel="0" collapsed="false">
      <c r="A1957" s="4" t="s">
        <v>18</v>
      </c>
      <c r="B1957" s="4" t="s">
        <v>19</v>
      </c>
      <c r="C1957" s="4" t="n">
        <v>29</v>
      </c>
      <c r="D1957" s="5" t="n">
        <v>16</v>
      </c>
      <c r="E1957" s="6" t="n">
        <f aca="false">DATE(2024,11,23)</f>
        <v>45619</v>
      </c>
      <c r="F1957" s="7" t="n">
        <f aca="false">C1957*D1957</f>
        <v>464</v>
      </c>
      <c r="G1957" s="7" t="n">
        <f aca="false">ROUND(F1957*0.2,2)</f>
        <v>92.8</v>
      </c>
      <c r="H1957" s="4" t="str">
        <f aca="false">IF(F1957&gt;500,"Yüksek",IF(F1957&gt;100,"Orta","Düşük"))</f>
        <v>Orta</v>
      </c>
    </row>
    <row r="1958" customFormat="false" ht="12.8" hidden="false" customHeight="false" outlineLevel="0" collapsed="false">
      <c r="A1958" s="4" t="s">
        <v>20</v>
      </c>
      <c r="B1958" s="4" t="s">
        <v>11</v>
      </c>
      <c r="C1958" s="4" t="n">
        <v>36</v>
      </c>
      <c r="D1958" s="5" t="n">
        <v>18.75</v>
      </c>
      <c r="E1958" s="6" t="n">
        <f aca="false">DATE(2024,12,24)</f>
        <v>45650</v>
      </c>
      <c r="F1958" s="7" t="n">
        <f aca="false">C1958*D1958</f>
        <v>675</v>
      </c>
      <c r="G1958" s="7" t="n">
        <f aca="false">ROUND(F1958*0.2,2)</f>
        <v>135</v>
      </c>
      <c r="H1958" s="4" t="str">
        <f aca="false">IF(F1958&gt;500,"Yüksek",IF(F1958&gt;100,"Orta","Düşük"))</f>
        <v>Yüksek</v>
      </c>
    </row>
    <row r="1959" customFormat="false" ht="12.8" hidden="false" customHeight="false" outlineLevel="0" collapsed="false">
      <c r="A1959" s="4" t="s">
        <v>21</v>
      </c>
      <c r="B1959" s="4" t="s">
        <v>13</v>
      </c>
      <c r="C1959" s="4" t="n">
        <v>43</v>
      </c>
      <c r="D1959" s="5" t="n">
        <v>21.5</v>
      </c>
      <c r="E1959" s="6" t="n">
        <f aca="false">DATE(2024,1,25)</f>
        <v>45316</v>
      </c>
      <c r="F1959" s="7" t="n">
        <f aca="false">C1959*D1959</f>
        <v>924.5</v>
      </c>
      <c r="G1959" s="7" t="n">
        <f aca="false">ROUND(F1959*0.2,2)</f>
        <v>184.9</v>
      </c>
      <c r="H1959" s="4" t="str">
        <f aca="false">IF(F1959&gt;500,"Yüksek",IF(F1959&gt;100,"Orta","Düşük"))</f>
        <v>Yüksek</v>
      </c>
    </row>
    <row r="1960" customFormat="false" ht="12.8" hidden="false" customHeight="false" outlineLevel="0" collapsed="false">
      <c r="A1960" s="4" t="s">
        <v>22</v>
      </c>
      <c r="B1960" s="4" t="s">
        <v>15</v>
      </c>
      <c r="C1960" s="4" t="n">
        <v>50</v>
      </c>
      <c r="D1960" s="5" t="n">
        <v>24.25</v>
      </c>
      <c r="E1960" s="6" t="n">
        <f aca="false">DATE(2024,2,26)</f>
        <v>45348</v>
      </c>
      <c r="F1960" s="7" t="n">
        <f aca="false">C1960*D1960</f>
        <v>1212.5</v>
      </c>
      <c r="G1960" s="7" t="n">
        <f aca="false">ROUND(F1960*0.2,2)</f>
        <v>242.5</v>
      </c>
      <c r="H1960" s="4" t="str">
        <f aca="false">IF(F1960&gt;500,"Yüksek",IF(F1960&gt;100,"Orta","Düşük"))</f>
        <v>Yüksek</v>
      </c>
    </row>
    <row r="1961" customFormat="false" ht="12.8" hidden="false" customHeight="false" outlineLevel="0" collapsed="false">
      <c r="A1961" s="4" t="s">
        <v>23</v>
      </c>
      <c r="B1961" s="4" t="s">
        <v>17</v>
      </c>
      <c r="C1961" s="4" t="n">
        <v>7</v>
      </c>
      <c r="D1961" s="5" t="n">
        <v>27</v>
      </c>
      <c r="E1961" s="6" t="n">
        <f aca="false">DATE(2024,3,27)</f>
        <v>45378</v>
      </c>
      <c r="F1961" s="7" t="n">
        <f aca="false">C1961*D1961</f>
        <v>189</v>
      </c>
      <c r="G1961" s="7" t="n">
        <f aca="false">ROUND(F1961*0.2,2)</f>
        <v>37.8</v>
      </c>
      <c r="H1961" s="4" t="str">
        <f aca="false">IF(F1961&gt;500,"Yüksek",IF(F1961&gt;100,"Orta","Düşük"))</f>
        <v>Orta</v>
      </c>
    </row>
    <row r="1962" customFormat="false" ht="12.8" hidden="false" customHeight="false" outlineLevel="0" collapsed="false">
      <c r="A1962" s="4" t="s">
        <v>24</v>
      </c>
      <c r="B1962" s="4" t="s">
        <v>19</v>
      </c>
      <c r="C1962" s="4" t="n">
        <v>14</v>
      </c>
      <c r="D1962" s="5" t="n">
        <v>29.75</v>
      </c>
      <c r="E1962" s="6" t="n">
        <f aca="false">DATE(2024,4,28)</f>
        <v>45410</v>
      </c>
      <c r="F1962" s="7" t="n">
        <f aca="false">C1962*D1962</f>
        <v>416.5</v>
      </c>
      <c r="G1962" s="7" t="n">
        <f aca="false">ROUND(F1962*0.2,2)</f>
        <v>83.3</v>
      </c>
      <c r="H1962" s="4" t="str">
        <f aca="false">IF(F1962&gt;500,"Yüksek",IF(F1962&gt;100,"Orta","Düşük"))</f>
        <v>Orta</v>
      </c>
    </row>
    <row r="1963" customFormat="false" ht="12.8" hidden="false" customHeight="false" outlineLevel="0" collapsed="false">
      <c r="A1963" s="4" t="s">
        <v>10</v>
      </c>
      <c r="B1963" s="4" t="s">
        <v>11</v>
      </c>
      <c r="C1963" s="4" t="n">
        <v>21</v>
      </c>
      <c r="D1963" s="5" t="n">
        <v>32.5</v>
      </c>
      <c r="E1963" s="6" t="n">
        <f aca="false">DATE(2024,5,1)</f>
        <v>45413</v>
      </c>
      <c r="F1963" s="7" t="n">
        <f aca="false">C1963*D1963</f>
        <v>682.5</v>
      </c>
      <c r="G1963" s="7" t="n">
        <f aca="false">ROUND(F1963*0.2,2)</f>
        <v>136.5</v>
      </c>
      <c r="H1963" s="4" t="str">
        <f aca="false">IF(F1963&gt;500,"Yüksek",IF(F1963&gt;100,"Orta","Düşük"))</f>
        <v>Yüksek</v>
      </c>
    </row>
    <row r="1964" customFormat="false" ht="12.8" hidden="false" customHeight="false" outlineLevel="0" collapsed="false">
      <c r="A1964" s="4" t="s">
        <v>12</v>
      </c>
      <c r="B1964" s="4" t="s">
        <v>13</v>
      </c>
      <c r="C1964" s="4" t="n">
        <v>28</v>
      </c>
      <c r="D1964" s="5" t="n">
        <v>35.25</v>
      </c>
      <c r="E1964" s="6" t="n">
        <f aca="false">DATE(2024,6,2)</f>
        <v>45445</v>
      </c>
      <c r="F1964" s="7" t="n">
        <f aca="false">C1964*D1964</f>
        <v>987</v>
      </c>
      <c r="G1964" s="7" t="n">
        <f aca="false">ROUND(F1964*0.2,2)</f>
        <v>197.4</v>
      </c>
      <c r="H1964" s="4" t="str">
        <f aca="false">IF(F1964&gt;500,"Yüksek",IF(F1964&gt;100,"Orta","Düşük"))</f>
        <v>Yüksek</v>
      </c>
    </row>
    <row r="1965" customFormat="false" ht="12.8" hidden="false" customHeight="false" outlineLevel="0" collapsed="false">
      <c r="A1965" s="4" t="s">
        <v>14</v>
      </c>
      <c r="B1965" s="4" t="s">
        <v>15</v>
      </c>
      <c r="C1965" s="4" t="n">
        <v>35</v>
      </c>
      <c r="D1965" s="5" t="n">
        <v>38</v>
      </c>
      <c r="E1965" s="6" t="n">
        <f aca="false">DATE(2024,7,3)</f>
        <v>45476</v>
      </c>
      <c r="F1965" s="7" t="n">
        <f aca="false">C1965*D1965</f>
        <v>1330</v>
      </c>
      <c r="G1965" s="7" t="n">
        <f aca="false">ROUND(F1965*0.2,2)</f>
        <v>266</v>
      </c>
      <c r="H1965" s="4" t="str">
        <f aca="false">IF(F1965&gt;500,"Yüksek",IF(F1965&gt;100,"Orta","Düşük"))</f>
        <v>Yüksek</v>
      </c>
    </row>
    <row r="1966" customFormat="false" ht="12.8" hidden="false" customHeight="false" outlineLevel="0" collapsed="false">
      <c r="A1966" s="4" t="s">
        <v>16</v>
      </c>
      <c r="B1966" s="4" t="s">
        <v>17</v>
      </c>
      <c r="C1966" s="4" t="n">
        <v>42</v>
      </c>
      <c r="D1966" s="5" t="n">
        <v>5</v>
      </c>
      <c r="E1966" s="6" t="n">
        <f aca="false">DATE(2024,8,4)</f>
        <v>45508</v>
      </c>
      <c r="F1966" s="7" t="n">
        <f aca="false">C1966*D1966</f>
        <v>210</v>
      </c>
      <c r="G1966" s="7" t="n">
        <f aca="false">ROUND(F1966*0.2,2)</f>
        <v>42</v>
      </c>
      <c r="H1966" s="4" t="str">
        <f aca="false">IF(F1966&gt;500,"Yüksek",IF(F1966&gt;100,"Orta","Düşük"))</f>
        <v>Orta</v>
      </c>
    </row>
    <row r="1967" customFormat="false" ht="12.8" hidden="false" customHeight="false" outlineLevel="0" collapsed="false">
      <c r="A1967" s="4" t="s">
        <v>18</v>
      </c>
      <c r="B1967" s="4" t="s">
        <v>19</v>
      </c>
      <c r="C1967" s="4" t="n">
        <v>49</v>
      </c>
      <c r="D1967" s="5" t="n">
        <v>7.75</v>
      </c>
      <c r="E1967" s="6" t="n">
        <f aca="false">DATE(2024,9,5)</f>
        <v>45540</v>
      </c>
      <c r="F1967" s="7" t="n">
        <f aca="false">C1967*D1967</f>
        <v>379.75</v>
      </c>
      <c r="G1967" s="7" t="n">
        <f aca="false">ROUND(F1967*0.2,2)</f>
        <v>75.95</v>
      </c>
      <c r="H1967" s="4" t="str">
        <f aca="false">IF(F1967&gt;500,"Yüksek",IF(F1967&gt;100,"Orta","Düşük"))</f>
        <v>Orta</v>
      </c>
    </row>
    <row r="1968" customFormat="false" ht="12.8" hidden="false" customHeight="false" outlineLevel="0" collapsed="false">
      <c r="A1968" s="4" t="s">
        <v>20</v>
      </c>
      <c r="B1968" s="4" t="s">
        <v>11</v>
      </c>
      <c r="C1968" s="4" t="n">
        <v>6</v>
      </c>
      <c r="D1968" s="5" t="n">
        <v>10.5</v>
      </c>
      <c r="E1968" s="6" t="n">
        <f aca="false">DATE(2024,10,6)</f>
        <v>45571</v>
      </c>
      <c r="F1968" s="7" t="n">
        <f aca="false">C1968*D1968</f>
        <v>63</v>
      </c>
      <c r="G1968" s="7" t="n">
        <f aca="false">ROUND(F1968*0.2,2)</f>
        <v>12.6</v>
      </c>
      <c r="H1968" s="4" t="str">
        <f aca="false">IF(F1968&gt;500,"Yüksek",IF(F1968&gt;100,"Orta","Düşük"))</f>
        <v>Düşük</v>
      </c>
    </row>
    <row r="1969" customFormat="false" ht="12.8" hidden="false" customHeight="false" outlineLevel="0" collapsed="false">
      <c r="A1969" s="4" t="s">
        <v>21</v>
      </c>
      <c r="B1969" s="4" t="s">
        <v>13</v>
      </c>
      <c r="C1969" s="4" t="n">
        <v>13</v>
      </c>
      <c r="D1969" s="5" t="n">
        <v>13.25</v>
      </c>
      <c r="E1969" s="6" t="n">
        <f aca="false">DATE(2024,11,7)</f>
        <v>45603</v>
      </c>
      <c r="F1969" s="7" t="n">
        <f aca="false">C1969*D1969</f>
        <v>172.25</v>
      </c>
      <c r="G1969" s="7" t="n">
        <f aca="false">ROUND(F1969*0.2,2)</f>
        <v>34.45</v>
      </c>
      <c r="H1969" s="4" t="str">
        <f aca="false">IF(F1969&gt;500,"Yüksek",IF(F1969&gt;100,"Orta","Düşük"))</f>
        <v>Orta</v>
      </c>
    </row>
    <row r="1970" customFormat="false" ht="12.8" hidden="false" customHeight="false" outlineLevel="0" collapsed="false">
      <c r="A1970" s="4" t="s">
        <v>22</v>
      </c>
      <c r="B1970" s="4" t="s">
        <v>15</v>
      </c>
      <c r="C1970" s="4" t="n">
        <v>20</v>
      </c>
      <c r="D1970" s="5" t="n">
        <v>16</v>
      </c>
      <c r="E1970" s="6" t="n">
        <f aca="false">DATE(2024,12,8)</f>
        <v>45634</v>
      </c>
      <c r="F1970" s="7" t="n">
        <f aca="false">C1970*D1970</f>
        <v>320</v>
      </c>
      <c r="G1970" s="7" t="n">
        <f aca="false">ROUND(F1970*0.2,2)</f>
        <v>64</v>
      </c>
      <c r="H1970" s="4" t="str">
        <f aca="false">IF(F1970&gt;500,"Yüksek",IF(F1970&gt;100,"Orta","Düşük"))</f>
        <v>Orta</v>
      </c>
    </row>
    <row r="1971" customFormat="false" ht="12.8" hidden="false" customHeight="false" outlineLevel="0" collapsed="false">
      <c r="A1971" s="4" t="s">
        <v>23</v>
      </c>
      <c r="B1971" s="4" t="s">
        <v>17</v>
      </c>
      <c r="C1971" s="4" t="n">
        <v>27</v>
      </c>
      <c r="D1971" s="5" t="n">
        <v>18.75</v>
      </c>
      <c r="E1971" s="6" t="n">
        <f aca="false">DATE(2024,1,9)</f>
        <v>45300</v>
      </c>
      <c r="F1971" s="7" t="n">
        <f aca="false">C1971*D1971</f>
        <v>506.25</v>
      </c>
      <c r="G1971" s="7" t="n">
        <f aca="false">ROUND(F1971*0.2,2)</f>
        <v>101.25</v>
      </c>
      <c r="H1971" s="4" t="str">
        <f aca="false">IF(F1971&gt;500,"Yüksek",IF(F1971&gt;100,"Orta","Düşük"))</f>
        <v>Yüksek</v>
      </c>
    </row>
    <row r="1972" customFormat="false" ht="12.8" hidden="false" customHeight="false" outlineLevel="0" collapsed="false">
      <c r="A1972" s="4" t="s">
        <v>24</v>
      </c>
      <c r="B1972" s="4" t="s">
        <v>19</v>
      </c>
      <c r="C1972" s="4" t="n">
        <v>34</v>
      </c>
      <c r="D1972" s="5" t="n">
        <v>21.5</v>
      </c>
      <c r="E1972" s="6" t="n">
        <f aca="false">DATE(2024,2,10)</f>
        <v>45332</v>
      </c>
      <c r="F1972" s="7" t="n">
        <f aca="false">C1972*D1972</f>
        <v>731</v>
      </c>
      <c r="G1972" s="7" t="n">
        <f aca="false">ROUND(F1972*0.2,2)</f>
        <v>146.2</v>
      </c>
      <c r="H1972" s="4" t="str">
        <f aca="false">IF(F1972&gt;500,"Yüksek",IF(F1972&gt;100,"Orta","Düşük"))</f>
        <v>Yüksek</v>
      </c>
    </row>
    <row r="1973" customFormat="false" ht="12.8" hidden="false" customHeight="false" outlineLevel="0" collapsed="false">
      <c r="A1973" s="4" t="s">
        <v>10</v>
      </c>
      <c r="B1973" s="4" t="s">
        <v>11</v>
      </c>
      <c r="C1973" s="4" t="n">
        <v>41</v>
      </c>
      <c r="D1973" s="5" t="n">
        <v>24.25</v>
      </c>
      <c r="E1973" s="6" t="n">
        <f aca="false">DATE(2024,3,11)</f>
        <v>45362</v>
      </c>
      <c r="F1973" s="7" t="n">
        <f aca="false">C1973*D1973</f>
        <v>994.25</v>
      </c>
      <c r="G1973" s="7" t="n">
        <f aca="false">ROUND(F1973*0.2,2)</f>
        <v>198.85</v>
      </c>
      <c r="H1973" s="4" t="str">
        <f aca="false">IF(F1973&gt;500,"Yüksek",IF(F1973&gt;100,"Orta","Düşük"))</f>
        <v>Yüksek</v>
      </c>
    </row>
    <row r="1974" customFormat="false" ht="12.8" hidden="false" customHeight="false" outlineLevel="0" collapsed="false">
      <c r="A1974" s="4" t="s">
        <v>12</v>
      </c>
      <c r="B1974" s="4" t="s">
        <v>13</v>
      </c>
      <c r="C1974" s="4" t="n">
        <v>48</v>
      </c>
      <c r="D1974" s="5" t="n">
        <v>27</v>
      </c>
      <c r="E1974" s="6" t="n">
        <f aca="false">DATE(2024,4,12)</f>
        <v>45394</v>
      </c>
      <c r="F1974" s="7" t="n">
        <f aca="false">C1974*D1974</f>
        <v>1296</v>
      </c>
      <c r="G1974" s="7" t="n">
        <f aca="false">ROUND(F1974*0.2,2)</f>
        <v>259.2</v>
      </c>
      <c r="H1974" s="4" t="str">
        <f aca="false">IF(F1974&gt;500,"Yüksek",IF(F1974&gt;100,"Orta","Düşük"))</f>
        <v>Yüksek</v>
      </c>
    </row>
    <row r="1975" customFormat="false" ht="12.8" hidden="false" customHeight="false" outlineLevel="0" collapsed="false">
      <c r="A1975" s="4" t="s">
        <v>14</v>
      </c>
      <c r="B1975" s="4" t="s">
        <v>15</v>
      </c>
      <c r="C1975" s="4" t="n">
        <v>5</v>
      </c>
      <c r="D1975" s="5" t="n">
        <v>29.75</v>
      </c>
      <c r="E1975" s="6" t="n">
        <f aca="false">DATE(2024,5,13)</f>
        <v>45425</v>
      </c>
      <c r="F1975" s="7" t="n">
        <f aca="false">C1975*D1975</f>
        <v>148.75</v>
      </c>
      <c r="G1975" s="7" t="n">
        <f aca="false">ROUND(F1975*0.2,2)</f>
        <v>29.75</v>
      </c>
      <c r="H1975" s="4" t="str">
        <f aca="false">IF(F1975&gt;500,"Yüksek",IF(F1975&gt;100,"Orta","Düşük"))</f>
        <v>Orta</v>
      </c>
    </row>
    <row r="1976" customFormat="false" ht="12.8" hidden="false" customHeight="false" outlineLevel="0" collapsed="false">
      <c r="A1976" s="4" t="s">
        <v>16</v>
      </c>
      <c r="B1976" s="4" t="s">
        <v>17</v>
      </c>
      <c r="C1976" s="4" t="n">
        <v>12</v>
      </c>
      <c r="D1976" s="5" t="n">
        <v>32.5</v>
      </c>
      <c r="E1976" s="6" t="n">
        <f aca="false">DATE(2024,6,14)</f>
        <v>45457</v>
      </c>
      <c r="F1976" s="7" t="n">
        <f aca="false">C1976*D1976</f>
        <v>390</v>
      </c>
      <c r="G1976" s="7" t="n">
        <f aca="false">ROUND(F1976*0.2,2)</f>
        <v>78</v>
      </c>
      <c r="H1976" s="4" t="str">
        <f aca="false">IF(F1976&gt;500,"Yüksek",IF(F1976&gt;100,"Orta","Düşük"))</f>
        <v>Orta</v>
      </c>
    </row>
    <row r="1977" customFormat="false" ht="12.8" hidden="false" customHeight="false" outlineLevel="0" collapsed="false">
      <c r="A1977" s="4" t="s">
        <v>18</v>
      </c>
      <c r="B1977" s="4" t="s">
        <v>19</v>
      </c>
      <c r="C1977" s="4" t="n">
        <v>19</v>
      </c>
      <c r="D1977" s="5" t="n">
        <v>35.25</v>
      </c>
      <c r="E1977" s="6" t="n">
        <f aca="false">DATE(2024,7,15)</f>
        <v>45488</v>
      </c>
      <c r="F1977" s="7" t="n">
        <f aca="false">C1977*D1977</f>
        <v>669.75</v>
      </c>
      <c r="G1977" s="7" t="n">
        <f aca="false">ROUND(F1977*0.2,2)</f>
        <v>133.95</v>
      </c>
      <c r="H1977" s="4" t="str">
        <f aca="false">IF(F1977&gt;500,"Yüksek",IF(F1977&gt;100,"Orta","Düşük"))</f>
        <v>Yüksek</v>
      </c>
    </row>
    <row r="1978" customFormat="false" ht="12.8" hidden="false" customHeight="false" outlineLevel="0" collapsed="false">
      <c r="A1978" s="4" t="s">
        <v>20</v>
      </c>
      <c r="B1978" s="4" t="s">
        <v>11</v>
      </c>
      <c r="C1978" s="4" t="n">
        <v>26</v>
      </c>
      <c r="D1978" s="5" t="n">
        <v>38</v>
      </c>
      <c r="E1978" s="6" t="n">
        <f aca="false">DATE(2024,8,16)</f>
        <v>45520</v>
      </c>
      <c r="F1978" s="7" t="n">
        <f aca="false">C1978*D1978</f>
        <v>988</v>
      </c>
      <c r="G1978" s="7" t="n">
        <f aca="false">ROUND(F1978*0.2,2)</f>
        <v>197.6</v>
      </c>
      <c r="H1978" s="4" t="str">
        <f aca="false">IF(F1978&gt;500,"Yüksek",IF(F1978&gt;100,"Orta","Düşük"))</f>
        <v>Yüksek</v>
      </c>
    </row>
    <row r="1979" customFormat="false" ht="12.8" hidden="false" customHeight="false" outlineLevel="0" collapsed="false">
      <c r="A1979" s="4" t="s">
        <v>21</v>
      </c>
      <c r="B1979" s="4" t="s">
        <v>13</v>
      </c>
      <c r="C1979" s="4" t="n">
        <v>33</v>
      </c>
      <c r="D1979" s="5" t="n">
        <v>5</v>
      </c>
      <c r="E1979" s="6" t="n">
        <f aca="false">DATE(2024,9,17)</f>
        <v>45552</v>
      </c>
      <c r="F1979" s="7" t="n">
        <f aca="false">C1979*D1979</f>
        <v>165</v>
      </c>
      <c r="G1979" s="7" t="n">
        <f aca="false">ROUND(F1979*0.2,2)</f>
        <v>33</v>
      </c>
      <c r="H1979" s="4" t="str">
        <f aca="false">IF(F1979&gt;500,"Yüksek",IF(F1979&gt;100,"Orta","Düşük"))</f>
        <v>Orta</v>
      </c>
    </row>
    <row r="1980" customFormat="false" ht="12.8" hidden="false" customHeight="false" outlineLevel="0" collapsed="false">
      <c r="A1980" s="4" t="s">
        <v>22</v>
      </c>
      <c r="B1980" s="4" t="s">
        <v>15</v>
      </c>
      <c r="C1980" s="4" t="n">
        <v>40</v>
      </c>
      <c r="D1980" s="5" t="n">
        <v>7.75</v>
      </c>
      <c r="E1980" s="6" t="n">
        <f aca="false">DATE(2024,10,18)</f>
        <v>45583</v>
      </c>
      <c r="F1980" s="7" t="n">
        <f aca="false">C1980*D1980</f>
        <v>310</v>
      </c>
      <c r="G1980" s="7" t="n">
        <f aca="false">ROUND(F1980*0.2,2)</f>
        <v>62</v>
      </c>
      <c r="H1980" s="4" t="str">
        <f aca="false">IF(F1980&gt;500,"Yüksek",IF(F1980&gt;100,"Orta","Düşük"))</f>
        <v>Orta</v>
      </c>
    </row>
    <row r="1981" customFormat="false" ht="12.8" hidden="false" customHeight="false" outlineLevel="0" collapsed="false">
      <c r="A1981" s="4" t="s">
        <v>23</v>
      </c>
      <c r="B1981" s="4" t="s">
        <v>17</v>
      </c>
      <c r="C1981" s="4" t="n">
        <v>47</v>
      </c>
      <c r="D1981" s="5" t="n">
        <v>10.5</v>
      </c>
      <c r="E1981" s="6" t="n">
        <f aca="false">DATE(2024,11,19)</f>
        <v>45615</v>
      </c>
      <c r="F1981" s="7" t="n">
        <f aca="false">C1981*D1981</f>
        <v>493.5</v>
      </c>
      <c r="G1981" s="7" t="n">
        <f aca="false">ROUND(F1981*0.2,2)</f>
        <v>98.7</v>
      </c>
      <c r="H1981" s="4" t="str">
        <f aca="false">IF(F1981&gt;500,"Yüksek",IF(F1981&gt;100,"Orta","Düşük"))</f>
        <v>Orta</v>
      </c>
    </row>
    <row r="1982" customFormat="false" ht="12.8" hidden="false" customHeight="false" outlineLevel="0" collapsed="false">
      <c r="A1982" s="4" t="s">
        <v>24</v>
      </c>
      <c r="B1982" s="4" t="s">
        <v>19</v>
      </c>
      <c r="C1982" s="4" t="n">
        <v>4</v>
      </c>
      <c r="D1982" s="5" t="n">
        <v>13.25</v>
      </c>
      <c r="E1982" s="6" t="n">
        <f aca="false">DATE(2024,12,20)</f>
        <v>45646</v>
      </c>
      <c r="F1982" s="7" t="n">
        <f aca="false">C1982*D1982</f>
        <v>53</v>
      </c>
      <c r="G1982" s="7" t="n">
        <f aca="false">ROUND(F1982*0.2,2)</f>
        <v>10.6</v>
      </c>
      <c r="H1982" s="4" t="str">
        <f aca="false">IF(F1982&gt;500,"Yüksek",IF(F1982&gt;100,"Orta","Düşük"))</f>
        <v>Düşük</v>
      </c>
    </row>
    <row r="1983" customFormat="false" ht="12.8" hidden="false" customHeight="false" outlineLevel="0" collapsed="false">
      <c r="A1983" s="4" t="s">
        <v>10</v>
      </c>
      <c r="B1983" s="4" t="s">
        <v>11</v>
      </c>
      <c r="C1983" s="4" t="n">
        <v>11</v>
      </c>
      <c r="D1983" s="5" t="n">
        <v>16</v>
      </c>
      <c r="E1983" s="6" t="n">
        <f aca="false">DATE(2024,1,21)</f>
        <v>45312</v>
      </c>
      <c r="F1983" s="7" t="n">
        <f aca="false">C1983*D1983</f>
        <v>176</v>
      </c>
      <c r="G1983" s="7" t="n">
        <f aca="false">ROUND(F1983*0.2,2)</f>
        <v>35.2</v>
      </c>
      <c r="H1983" s="4" t="str">
        <f aca="false">IF(F1983&gt;500,"Yüksek",IF(F1983&gt;100,"Orta","Düşük"))</f>
        <v>Orta</v>
      </c>
    </row>
    <row r="1984" customFormat="false" ht="12.8" hidden="false" customHeight="false" outlineLevel="0" collapsed="false">
      <c r="A1984" s="4" t="s">
        <v>12</v>
      </c>
      <c r="B1984" s="4" t="s">
        <v>13</v>
      </c>
      <c r="C1984" s="4" t="n">
        <v>18</v>
      </c>
      <c r="D1984" s="5" t="n">
        <v>18.75</v>
      </c>
      <c r="E1984" s="6" t="n">
        <f aca="false">DATE(2024,2,22)</f>
        <v>45344</v>
      </c>
      <c r="F1984" s="7" t="n">
        <f aca="false">C1984*D1984</f>
        <v>337.5</v>
      </c>
      <c r="G1984" s="7" t="n">
        <f aca="false">ROUND(F1984*0.2,2)</f>
        <v>67.5</v>
      </c>
      <c r="H1984" s="4" t="str">
        <f aca="false">IF(F1984&gt;500,"Yüksek",IF(F1984&gt;100,"Orta","Düşük"))</f>
        <v>Orta</v>
      </c>
    </row>
    <row r="1985" customFormat="false" ht="12.8" hidden="false" customHeight="false" outlineLevel="0" collapsed="false">
      <c r="A1985" s="4" t="s">
        <v>14</v>
      </c>
      <c r="B1985" s="4" t="s">
        <v>15</v>
      </c>
      <c r="C1985" s="4" t="n">
        <v>25</v>
      </c>
      <c r="D1985" s="5" t="n">
        <v>21.5</v>
      </c>
      <c r="E1985" s="6" t="n">
        <f aca="false">DATE(2024,3,23)</f>
        <v>45374</v>
      </c>
      <c r="F1985" s="7" t="n">
        <f aca="false">C1985*D1985</f>
        <v>537.5</v>
      </c>
      <c r="G1985" s="7" t="n">
        <f aca="false">ROUND(F1985*0.2,2)</f>
        <v>107.5</v>
      </c>
      <c r="H1985" s="4" t="str">
        <f aca="false">IF(F1985&gt;500,"Yüksek",IF(F1985&gt;100,"Orta","Düşük"))</f>
        <v>Yüksek</v>
      </c>
    </row>
    <row r="1986" customFormat="false" ht="12.8" hidden="false" customHeight="false" outlineLevel="0" collapsed="false">
      <c r="A1986" s="4" t="s">
        <v>16</v>
      </c>
      <c r="B1986" s="4" t="s">
        <v>17</v>
      </c>
      <c r="C1986" s="4" t="n">
        <v>32</v>
      </c>
      <c r="D1986" s="5" t="n">
        <v>24.25</v>
      </c>
      <c r="E1986" s="6" t="n">
        <f aca="false">DATE(2024,4,24)</f>
        <v>45406</v>
      </c>
      <c r="F1986" s="7" t="n">
        <f aca="false">C1986*D1986</f>
        <v>776</v>
      </c>
      <c r="G1986" s="7" t="n">
        <f aca="false">ROUND(F1986*0.2,2)</f>
        <v>155.2</v>
      </c>
      <c r="H1986" s="4" t="str">
        <f aca="false">IF(F1986&gt;500,"Yüksek",IF(F1986&gt;100,"Orta","Düşük"))</f>
        <v>Yüksek</v>
      </c>
    </row>
    <row r="1987" customFormat="false" ht="12.8" hidden="false" customHeight="false" outlineLevel="0" collapsed="false">
      <c r="A1987" s="4" t="s">
        <v>18</v>
      </c>
      <c r="B1987" s="4" t="s">
        <v>19</v>
      </c>
      <c r="C1987" s="4" t="n">
        <v>39</v>
      </c>
      <c r="D1987" s="5" t="n">
        <v>27</v>
      </c>
      <c r="E1987" s="6" t="n">
        <f aca="false">DATE(2024,5,25)</f>
        <v>45437</v>
      </c>
      <c r="F1987" s="7" t="n">
        <f aca="false">C1987*D1987</f>
        <v>1053</v>
      </c>
      <c r="G1987" s="7" t="n">
        <f aca="false">ROUND(F1987*0.2,2)</f>
        <v>210.6</v>
      </c>
      <c r="H1987" s="4" t="str">
        <f aca="false">IF(F1987&gt;500,"Yüksek",IF(F1987&gt;100,"Orta","Düşük"))</f>
        <v>Yüksek</v>
      </c>
    </row>
    <row r="1988" customFormat="false" ht="12.8" hidden="false" customHeight="false" outlineLevel="0" collapsed="false">
      <c r="A1988" s="4" t="s">
        <v>20</v>
      </c>
      <c r="B1988" s="4" t="s">
        <v>11</v>
      </c>
      <c r="C1988" s="4" t="n">
        <v>46</v>
      </c>
      <c r="D1988" s="5" t="n">
        <v>29.75</v>
      </c>
      <c r="E1988" s="6" t="n">
        <f aca="false">DATE(2024,6,26)</f>
        <v>45469</v>
      </c>
      <c r="F1988" s="7" t="n">
        <f aca="false">C1988*D1988</f>
        <v>1368.5</v>
      </c>
      <c r="G1988" s="7" t="n">
        <f aca="false">ROUND(F1988*0.2,2)</f>
        <v>273.7</v>
      </c>
      <c r="H1988" s="4" t="str">
        <f aca="false">IF(F1988&gt;500,"Yüksek",IF(F1988&gt;100,"Orta","Düşük"))</f>
        <v>Yüksek</v>
      </c>
    </row>
    <row r="1989" customFormat="false" ht="12.8" hidden="false" customHeight="false" outlineLevel="0" collapsed="false">
      <c r="A1989" s="4" t="s">
        <v>21</v>
      </c>
      <c r="B1989" s="4" t="s">
        <v>13</v>
      </c>
      <c r="C1989" s="4" t="n">
        <v>3</v>
      </c>
      <c r="D1989" s="5" t="n">
        <v>32.5</v>
      </c>
      <c r="E1989" s="6" t="n">
        <f aca="false">DATE(2024,7,27)</f>
        <v>45500</v>
      </c>
      <c r="F1989" s="7" t="n">
        <f aca="false">C1989*D1989</f>
        <v>97.5</v>
      </c>
      <c r="G1989" s="7" t="n">
        <f aca="false">ROUND(F1989*0.2,2)</f>
        <v>19.5</v>
      </c>
      <c r="H1989" s="4" t="str">
        <f aca="false">IF(F1989&gt;500,"Yüksek",IF(F1989&gt;100,"Orta","Düşük"))</f>
        <v>Düşük</v>
      </c>
    </row>
    <row r="1990" customFormat="false" ht="12.8" hidden="false" customHeight="false" outlineLevel="0" collapsed="false">
      <c r="A1990" s="4" t="s">
        <v>22</v>
      </c>
      <c r="B1990" s="4" t="s">
        <v>15</v>
      </c>
      <c r="C1990" s="4" t="n">
        <v>10</v>
      </c>
      <c r="D1990" s="5" t="n">
        <v>35.25</v>
      </c>
      <c r="E1990" s="6" t="n">
        <f aca="false">DATE(2024,8,28)</f>
        <v>45532</v>
      </c>
      <c r="F1990" s="7" t="n">
        <f aca="false">C1990*D1990</f>
        <v>352.5</v>
      </c>
      <c r="G1990" s="7" t="n">
        <f aca="false">ROUND(F1990*0.2,2)</f>
        <v>70.5</v>
      </c>
      <c r="H1990" s="4" t="str">
        <f aca="false">IF(F1990&gt;500,"Yüksek",IF(F1990&gt;100,"Orta","Düşük"))</f>
        <v>Orta</v>
      </c>
    </row>
    <row r="1991" customFormat="false" ht="12.8" hidden="false" customHeight="false" outlineLevel="0" collapsed="false">
      <c r="A1991" s="4" t="s">
        <v>23</v>
      </c>
      <c r="B1991" s="4" t="s">
        <v>17</v>
      </c>
      <c r="C1991" s="4" t="n">
        <v>17</v>
      </c>
      <c r="D1991" s="5" t="n">
        <v>38</v>
      </c>
      <c r="E1991" s="6" t="n">
        <f aca="false">DATE(2024,9,1)</f>
        <v>45536</v>
      </c>
      <c r="F1991" s="7" t="n">
        <f aca="false">C1991*D1991</f>
        <v>646</v>
      </c>
      <c r="G1991" s="7" t="n">
        <f aca="false">ROUND(F1991*0.2,2)</f>
        <v>129.2</v>
      </c>
      <c r="H1991" s="4" t="str">
        <f aca="false">IF(F1991&gt;500,"Yüksek",IF(F1991&gt;100,"Orta","Düşük"))</f>
        <v>Yüksek</v>
      </c>
    </row>
    <row r="1992" customFormat="false" ht="12.8" hidden="false" customHeight="false" outlineLevel="0" collapsed="false">
      <c r="A1992" s="4" t="s">
        <v>24</v>
      </c>
      <c r="B1992" s="4" t="s">
        <v>19</v>
      </c>
      <c r="C1992" s="4" t="n">
        <v>24</v>
      </c>
      <c r="D1992" s="5" t="n">
        <v>5</v>
      </c>
      <c r="E1992" s="6" t="n">
        <f aca="false">DATE(2024,10,2)</f>
        <v>45567</v>
      </c>
      <c r="F1992" s="7" t="n">
        <f aca="false">C1992*D1992</f>
        <v>120</v>
      </c>
      <c r="G1992" s="7" t="n">
        <f aca="false">ROUND(F1992*0.2,2)</f>
        <v>24</v>
      </c>
      <c r="H1992" s="4" t="str">
        <f aca="false">IF(F1992&gt;500,"Yüksek",IF(F1992&gt;100,"Orta","Düşük"))</f>
        <v>Orta</v>
      </c>
    </row>
    <row r="1993" customFormat="false" ht="12.8" hidden="false" customHeight="false" outlineLevel="0" collapsed="false">
      <c r="A1993" s="4" t="s">
        <v>10</v>
      </c>
      <c r="B1993" s="4" t="s">
        <v>11</v>
      </c>
      <c r="C1993" s="4" t="n">
        <v>31</v>
      </c>
      <c r="D1993" s="5" t="n">
        <v>7.75</v>
      </c>
      <c r="E1993" s="6" t="n">
        <f aca="false">DATE(2024,11,3)</f>
        <v>45599</v>
      </c>
      <c r="F1993" s="7" t="n">
        <f aca="false">C1993*D1993</f>
        <v>240.25</v>
      </c>
      <c r="G1993" s="7" t="n">
        <f aca="false">ROUND(F1993*0.2,2)</f>
        <v>48.05</v>
      </c>
      <c r="H1993" s="4" t="str">
        <f aca="false">IF(F1993&gt;500,"Yüksek",IF(F1993&gt;100,"Orta","Düşük"))</f>
        <v>Orta</v>
      </c>
    </row>
    <row r="1994" customFormat="false" ht="12.8" hidden="false" customHeight="false" outlineLevel="0" collapsed="false">
      <c r="A1994" s="4" t="s">
        <v>12</v>
      </c>
      <c r="B1994" s="4" t="s">
        <v>13</v>
      </c>
      <c r="C1994" s="4" t="n">
        <v>38</v>
      </c>
      <c r="D1994" s="5" t="n">
        <v>10.5</v>
      </c>
      <c r="E1994" s="6" t="n">
        <f aca="false">DATE(2024,12,4)</f>
        <v>45630</v>
      </c>
      <c r="F1994" s="7" t="n">
        <f aca="false">C1994*D1994</f>
        <v>399</v>
      </c>
      <c r="G1994" s="7" t="n">
        <f aca="false">ROUND(F1994*0.2,2)</f>
        <v>79.8</v>
      </c>
      <c r="H1994" s="4" t="str">
        <f aca="false">IF(F1994&gt;500,"Yüksek",IF(F1994&gt;100,"Orta","Düşük"))</f>
        <v>Orta</v>
      </c>
    </row>
    <row r="1995" customFormat="false" ht="12.8" hidden="false" customHeight="false" outlineLevel="0" collapsed="false">
      <c r="A1995" s="4" t="s">
        <v>14</v>
      </c>
      <c r="B1995" s="4" t="s">
        <v>15</v>
      </c>
      <c r="C1995" s="4" t="n">
        <v>45</v>
      </c>
      <c r="D1995" s="5" t="n">
        <v>13.25</v>
      </c>
      <c r="E1995" s="6" t="n">
        <f aca="false">DATE(2024,1,5)</f>
        <v>45296</v>
      </c>
      <c r="F1995" s="7" t="n">
        <f aca="false">C1995*D1995</f>
        <v>596.25</v>
      </c>
      <c r="G1995" s="7" t="n">
        <f aca="false">ROUND(F1995*0.2,2)</f>
        <v>119.25</v>
      </c>
      <c r="H1995" s="4" t="str">
        <f aca="false">IF(F1995&gt;500,"Yüksek",IF(F1995&gt;100,"Orta","Düşük"))</f>
        <v>Yüksek</v>
      </c>
    </row>
    <row r="1996" customFormat="false" ht="12.8" hidden="false" customHeight="false" outlineLevel="0" collapsed="false">
      <c r="A1996" s="4" t="s">
        <v>16</v>
      </c>
      <c r="B1996" s="4" t="s">
        <v>17</v>
      </c>
      <c r="C1996" s="4" t="n">
        <v>2</v>
      </c>
      <c r="D1996" s="5" t="n">
        <v>16</v>
      </c>
      <c r="E1996" s="6" t="n">
        <f aca="false">DATE(2024,2,6)</f>
        <v>45328</v>
      </c>
      <c r="F1996" s="7" t="n">
        <f aca="false">C1996*D1996</f>
        <v>32</v>
      </c>
      <c r="G1996" s="7" t="n">
        <f aca="false">ROUND(F1996*0.2,2)</f>
        <v>6.4</v>
      </c>
      <c r="H1996" s="4" t="str">
        <f aca="false">IF(F1996&gt;500,"Yüksek",IF(F1996&gt;100,"Orta","Düşük"))</f>
        <v>Düşük</v>
      </c>
    </row>
    <row r="1997" customFormat="false" ht="12.8" hidden="false" customHeight="false" outlineLevel="0" collapsed="false">
      <c r="A1997" s="4" t="s">
        <v>18</v>
      </c>
      <c r="B1997" s="4" t="s">
        <v>19</v>
      </c>
      <c r="C1997" s="4" t="n">
        <v>9</v>
      </c>
      <c r="D1997" s="5" t="n">
        <v>18.75</v>
      </c>
      <c r="E1997" s="6" t="n">
        <f aca="false">DATE(2024,3,7)</f>
        <v>45358</v>
      </c>
      <c r="F1997" s="7" t="n">
        <f aca="false">C1997*D1997</f>
        <v>168.75</v>
      </c>
      <c r="G1997" s="7" t="n">
        <f aca="false">ROUND(F1997*0.2,2)</f>
        <v>33.75</v>
      </c>
      <c r="H1997" s="4" t="str">
        <f aca="false">IF(F1997&gt;500,"Yüksek",IF(F1997&gt;100,"Orta","Düşük"))</f>
        <v>Orta</v>
      </c>
    </row>
    <row r="1998" customFormat="false" ht="12.8" hidden="false" customHeight="false" outlineLevel="0" collapsed="false">
      <c r="A1998" s="4" t="s">
        <v>20</v>
      </c>
      <c r="B1998" s="4" t="s">
        <v>11</v>
      </c>
      <c r="C1998" s="4" t="n">
        <v>16</v>
      </c>
      <c r="D1998" s="5" t="n">
        <v>21.5</v>
      </c>
      <c r="E1998" s="6" t="n">
        <f aca="false">DATE(2024,4,8)</f>
        <v>45390</v>
      </c>
      <c r="F1998" s="7" t="n">
        <f aca="false">C1998*D1998</f>
        <v>344</v>
      </c>
      <c r="G1998" s="7" t="n">
        <f aca="false">ROUND(F1998*0.2,2)</f>
        <v>68.8</v>
      </c>
      <c r="H1998" s="4" t="str">
        <f aca="false">IF(F1998&gt;500,"Yüksek",IF(F1998&gt;100,"Orta","Düşük"))</f>
        <v>Orta</v>
      </c>
    </row>
    <row r="1999" customFormat="false" ht="12.8" hidden="false" customHeight="false" outlineLevel="0" collapsed="false">
      <c r="A1999" s="4" t="s">
        <v>21</v>
      </c>
      <c r="B1999" s="4" t="s">
        <v>13</v>
      </c>
      <c r="C1999" s="4" t="n">
        <v>23</v>
      </c>
      <c r="D1999" s="5" t="n">
        <v>24.25</v>
      </c>
      <c r="E1999" s="6" t="n">
        <f aca="false">DATE(2024,5,9)</f>
        <v>45421</v>
      </c>
      <c r="F1999" s="7" t="n">
        <f aca="false">C1999*D1999</f>
        <v>557.75</v>
      </c>
      <c r="G1999" s="7" t="n">
        <f aca="false">ROUND(F1999*0.2,2)</f>
        <v>111.55</v>
      </c>
      <c r="H1999" s="4" t="str">
        <f aca="false">IF(F1999&gt;500,"Yüksek",IF(F1999&gt;100,"Orta","Düşük"))</f>
        <v>Yüksek</v>
      </c>
    </row>
    <row r="2000" customFormat="false" ht="12.8" hidden="false" customHeight="false" outlineLevel="0" collapsed="false">
      <c r="A2000" s="4" t="s">
        <v>22</v>
      </c>
      <c r="B2000" s="4" t="s">
        <v>15</v>
      </c>
      <c r="C2000" s="4" t="n">
        <v>30</v>
      </c>
      <c r="D2000" s="5" t="n">
        <v>27</v>
      </c>
      <c r="E2000" s="6" t="n">
        <f aca="false">DATE(2024,6,10)</f>
        <v>45453</v>
      </c>
      <c r="F2000" s="7" t="n">
        <f aca="false">C2000*D2000</f>
        <v>810</v>
      </c>
      <c r="G2000" s="7" t="n">
        <f aca="false">ROUND(F2000*0.2,2)</f>
        <v>162</v>
      </c>
      <c r="H2000" s="4" t="str">
        <f aca="false">IF(F2000&gt;500,"Yüksek",IF(F2000&gt;100,"Orta","Düşük"))</f>
        <v>Yüksek</v>
      </c>
    </row>
    <row r="2001" customFormat="false" ht="12.8" hidden="false" customHeight="false" outlineLevel="0" collapsed="false">
      <c r="A2001" s="4" t="s">
        <v>23</v>
      </c>
      <c r="B2001" s="4" t="s">
        <v>17</v>
      </c>
      <c r="C2001" s="4" t="n">
        <v>37</v>
      </c>
      <c r="D2001" s="5" t="n">
        <v>29.75</v>
      </c>
      <c r="E2001" s="6" t="n">
        <f aca="false">DATE(2024,7,11)</f>
        <v>45484</v>
      </c>
      <c r="F2001" s="7" t="n">
        <f aca="false">C2001*D2001</f>
        <v>1100.75</v>
      </c>
      <c r="G2001" s="7" t="n">
        <f aca="false">ROUND(F2001*0.2,2)</f>
        <v>220.15</v>
      </c>
      <c r="H2001" s="4" t="str">
        <f aca="false">IF(F2001&gt;500,"Yüksek",IF(F2001&gt;100,"Orta","Düşük"))</f>
        <v>Yüksek</v>
      </c>
    </row>
    <row r="2002" customFormat="false" ht="12.8" hidden="false" customHeight="false" outlineLevel="0" collapsed="false">
      <c r="A2002" s="4" t="s">
        <v>24</v>
      </c>
      <c r="B2002" s="4" t="s">
        <v>19</v>
      </c>
      <c r="C2002" s="4" t="n">
        <v>44</v>
      </c>
      <c r="D2002" s="5" t="n">
        <v>32.5</v>
      </c>
      <c r="E2002" s="6" t="n">
        <f aca="false">DATE(2024,8,12)</f>
        <v>45516</v>
      </c>
      <c r="F2002" s="7" t="n">
        <f aca="false">C2002*D2002</f>
        <v>1430</v>
      </c>
      <c r="G2002" s="7" t="n">
        <f aca="false">ROUND(F2002*0.2,2)</f>
        <v>286</v>
      </c>
      <c r="H2002" s="4" t="str">
        <f aca="false">IF(F2002&gt;500,"Yüksek",IF(F2002&gt;100,"Orta","Düşük"))</f>
        <v>Yüksek</v>
      </c>
    </row>
    <row r="2003" customFormat="false" ht="12.8" hidden="false" customHeight="false" outlineLevel="0" collapsed="false">
      <c r="A2003" s="4" t="s">
        <v>10</v>
      </c>
      <c r="B2003" s="4" t="s">
        <v>11</v>
      </c>
      <c r="C2003" s="4" t="n">
        <v>1</v>
      </c>
      <c r="D2003" s="5" t="n">
        <v>35.25</v>
      </c>
      <c r="E2003" s="6" t="n">
        <f aca="false">DATE(2024,9,13)</f>
        <v>45548</v>
      </c>
      <c r="F2003" s="7" t="n">
        <f aca="false">C2003*D2003</f>
        <v>35.25</v>
      </c>
      <c r="G2003" s="7" t="n">
        <f aca="false">ROUND(F2003*0.2,2)</f>
        <v>7.05</v>
      </c>
      <c r="H2003" s="4" t="str">
        <f aca="false">IF(F2003&gt;500,"Yüksek",IF(F2003&gt;100,"Orta","Düşük"))</f>
        <v>Düşük</v>
      </c>
    </row>
    <row r="2004" customFormat="false" ht="12.8" hidden="false" customHeight="false" outlineLevel="0" collapsed="false">
      <c r="A2004" s="4" t="s">
        <v>12</v>
      </c>
      <c r="B2004" s="4" t="s">
        <v>13</v>
      </c>
      <c r="C2004" s="4" t="n">
        <v>8</v>
      </c>
      <c r="D2004" s="5" t="n">
        <v>38</v>
      </c>
      <c r="E2004" s="6" t="n">
        <f aca="false">DATE(2024,10,14)</f>
        <v>45579</v>
      </c>
      <c r="F2004" s="7" t="n">
        <f aca="false">C2004*D2004</f>
        <v>304</v>
      </c>
      <c r="G2004" s="7" t="n">
        <f aca="false">ROUND(F2004*0.2,2)</f>
        <v>60.8</v>
      </c>
      <c r="H2004" s="4" t="str">
        <f aca="false">IF(F2004&gt;500,"Yüksek",IF(F2004&gt;100,"Orta","Düşük"))</f>
        <v>Orta</v>
      </c>
    </row>
    <row r="2005" customFormat="false" ht="12.8" hidden="false" customHeight="false" outlineLevel="0" collapsed="false">
      <c r="A2005" s="4" t="s">
        <v>14</v>
      </c>
      <c r="B2005" s="4" t="s">
        <v>15</v>
      </c>
      <c r="C2005" s="4" t="n">
        <v>15</v>
      </c>
      <c r="D2005" s="5" t="n">
        <v>5</v>
      </c>
      <c r="E2005" s="6" t="n">
        <f aca="false">DATE(2024,11,15)</f>
        <v>45611</v>
      </c>
      <c r="F2005" s="7" t="n">
        <f aca="false">C2005*D2005</f>
        <v>75</v>
      </c>
      <c r="G2005" s="7" t="n">
        <f aca="false">ROUND(F2005*0.2,2)</f>
        <v>15</v>
      </c>
      <c r="H2005" s="4" t="str">
        <f aca="false">IF(F2005&gt;500,"Yüksek",IF(F2005&gt;100,"Orta","Düşük"))</f>
        <v>Düşük</v>
      </c>
    </row>
    <row r="2006" customFormat="false" ht="12.8" hidden="false" customHeight="false" outlineLevel="0" collapsed="false">
      <c r="A2006" s="4" t="s">
        <v>16</v>
      </c>
      <c r="B2006" s="4" t="s">
        <v>17</v>
      </c>
      <c r="C2006" s="4" t="n">
        <v>22</v>
      </c>
      <c r="D2006" s="5" t="n">
        <v>7.75</v>
      </c>
      <c r="E2006" s="6" t="n">
        <f aca="false">DATE(2024,12,16)</f>
        <v>45642</v>
      </c>
      <c r="F2006" s="7" t="n">
        <f aca="false">C2006*D2006</f>
        <v>170.5</v>
      </c>
      <c r="G2006" s="7" t="n">
        <f aca="false">ROUND(F2006*0.2,2)</f>
        <v>34.1</v>
      </c>
      <c r="H2006" s="4" t="str">
        <f aca="false">IF(F2006&gt;500,"Yüksek",IF(F2006&gt;100,"Orta","Düşük"))</f>
        <v>Orta</v>
      </c>
    </row>
    <row r="2007" customFormat="false" ht="12.8" hidden="false" customHeight="false" outlineLevel="0" collapsed="false">
      <c r="A2007" s="4" t="s">
        <v>18</v>
      </c>
      <c r="B2007" s="4" t="s">
        <v>19</v>
      </c>
      <c r="C2007" s="4" t="n">
        <v>29</v>
      </c>
      <c r="D2007" s="5" t="n">
        <v>10.5</v>
      </c>
      <c r="E2007" s="6" t="n">
        <f aca="false">DATE(2024,1,17)</f>
        <v>45308</v>
      </c>
      <c r="F2007" s="7" t="n">
        <f aca="false">C2007*D2007</f>
        <v>304.5</v>
      </c>
      <c r="G2007" s="7" t="n">
        <f aca="false">ROUND(F2007*0.2,2)</f>
        <v>60.9</v>
      </c>
      <c r="H2007" s="4" t="str">
        <f aca="false">IF(F2007&gt;500,"Yüksek",IF(F2007&gt;100,"Orta","Düşük"))</f>
        <v>Orta</v>
      </c>
    </row>
    <row r="2008" customFormat="false" ht="12.8" hidden="false" customHeight="false" outlineLevel="0" collapsed="false">
      <c r="A2008" s="4" t="s">
        <v>20</v>
      </c>
      <c r="B2008" s="4" t="s">
        <v>11</v>
      </c>
      <c r="C2008" s="4" t="n">
        <v>36</v>
      </c>
      <c r="D2008" s="5" t="n">
        <v>13.25</v>
      </c>
      <c r="E2008" s="6" t="n">
        <f aca="false">DATE(2024,2,18)</f>
        <v>45340</v>
      </c>
      <c r="F2008" s="7" t="n">
        <f aca="false">C2008*D2008</f>
        <v>477</v>
      </c>
      <c r="G2008" s="7" t="n">
        <f aca="false">ROUND(F2008*0.2,2)</f>
        <v>95.4</v>
      </c>
      <c r="H2008" s="4" t="str">
        <f aca="false">IF(F2008&gt;500,"Yüksek",IF(F2008&gt;100,"Orta","Düşük"))</f>
        <v>Orta</v>
      </c>
    </row>
    <row r="2009" customFormat="false" ht="12.8" hidden="false" customHeight="false" outlineLevel="0" collapsed="false">
      <c r="A2009" s="4" t="s">
        <v>21</v>
      </c>
      <c r="B2009" s="4" t="s">
        <v>13</v>
      </c>
      <c r="C2009" s="4" t="n">
        <v>43</v>
      </c>
      <c r="D2009" s="5" t="n">
        <v>16</v>
      </c>
      <c r="E2009" s="6" t="n">
        <f aca="false">DATE(2024,3,19)</f>
        <v>45370</v>
      </c>
      <c r="F2009" s="7" t="n">
        <f aca="false">C2009*D2009</f>
        <v>688</v>
      </c>
      <c r="G2009" s="7" t="n">
        <f aca="false">ROUND(F2009*0.2,2)</f>
        <v>137.6</v>
      </c>
      <c r="H2009" s="4" t="str">
        <f aca="false">IF(F2009&gt;500,"Yüksek",IF(F2009&gt;100,"Orta","Düşük"))</f>
        <v>Yüksek</v>
      </c>
    </row>
    <row r="2010" customFormat="false" ht="12.8" hidden="false" customHeight="false" outlineLevel="0" collapsed="false">
      <c r="A2010" s="4" t="s">
        <v>22</v>
      </c>
      <c r="B2010" s="4" t="s">
        <v>15</v>
      </c>
      <c r="C2010" s="4" t="n">
        <v>50</v>
      </c>
      <c r="D2010" s="5" t="n">
        <v>18.75</v>
      </c>
      <c r="E2010" s="6" t="n">
        <f aca="false">DATE(2024,4,20)</f>
        <v>45402</v>
      </c>
      <c r="F2010" s="7" t="n">
        <f aca="false">C2010*D2010</f>
        <v>937.5</v>
      </c>
      <c r="G2010" s="7" t="n">
        <f aca="false">ROUND(F2010*0.2,2)</f>
        <v>187.5</v>
      </c>
      <c r="H2010" s="4" t="str">
        <f aca="false">IF(F2010&gt;500,"Yüksek",IF(F2010&gt;100,"Orta","Düşük"))</f>
        <v>Yüksek</v>
      </c>
    </row>
    <row r="2011" customFormat="false" ht="12.8" hidden="false" customHeight="false" outlineLevel="0" collapsed="false">
      <c r="A2011" s="4" t="s">
        <v>23</v>
      </c>
      <c r="B2011" s="4" t="s">
        <v>17</v>
      </c>
      <c r="C2011" s="4" t="n">
        <v>7</v>
      </c>
      <c r="D2011" s="5" t="n">
        <v>21.5</v>
      </c>
      <c r="E2011" s="6" t="n">
        <f aca="false">DATE(2024,5,21)</f>
        <v>45433</v>
      </c>
      <c r="F2011" s="7" t="n">
        <f aca="false">C2011*D2011</f>
        <v>150.5</v>
      </c>
      <c r="G2011" s="7" t="n">
        <f aca="false">ROUND(F2011*0.2,2)</f>
        <v>30.1</v>
      </c>
      <c r="H2011" s="4" t="str">
        <f aca="false">IF(F2011&gt;500,"Yüksek",IF(F2011&gt;100,"Orta","Düşük"))</f>
        <v>Orta</v>
      </c>
    </row>
    <row r="2012" customFormat="false" ht="12.8" hidden="false" customHeight="false" outlineLevel="0" collapsed="false">
      <c r="A2012" s="4" t="s">
        <v>24</v>
      </c>
      <c r="B2012" s="4" t="s">
        <v>19</v>
      </c>
      <c r="C2012" s="4" t="n">
        <v>14</v>
      </c>
      <c r="D2012" s="5" t="n">
        <v>24.25</v>
      </c>
      <c r="E2012" s="6" t="n">
        <f aca="false">DATE(2024,6,22)</f>
        <v>45465</v>
      </c>
      <c r="F2012" s="7" t="n">
        <f aca="false">C2012*D2012</f>
        <v>339.5</v>
      </c>
      <c r="G2012" s="7" t="n">
        <f aca="false">ROUND(F2012*0.2,2)</f>
        <v>67.9</v>
      </c>
      <c r="H2012" s="4" t="str">
        <f aca="false">IF(F2012&gt;500,"Yüksek",IF(F2012&gt;100,"Orta","Düşük"))</f>
        <v>Orta</v>
      </c>
    </row>
    <row r="2013" customFormat="false" ht="12.8" hidden="false" customHeight="false" outlineLevel="0" collapsed="false">
      <c r="A2013" s="4" t="s">
        <v>10</v>
      </c>
      <c r="B2013" s="4" t="s">
        <v>11</v>
      </c>
      <c r="C2013" s="4" t="n">
        <v>21</v>
      </c>
      <c r="D2013" s="5" t="n">
        <v>27</v>
      </c>
      <c r="E2013" s="6" t="n">
        <f aca="false">DATE(2024,7,23)</f>
        <v>45496</v>
      </c>
      <c r="F2013" s="7" t="n">
        <f aca="false">C2013*D2013</f>
        <v>567</v>
      </c>
      <c r="G2013" s="7" t="n">
        <f aca="false">ROUND(F2013*0.2,2)</f>
        <v>113.4</v>
      </c>
      <c r="H2013" s="4" t="str">
        <f aca="false">IF(F2013&gt;500,"Yüksek",IF(F2013&gt;100,"Orta","Düşük"))</f>
        <v>Yüksek</v>
      </c>
    </row>
    <row r="2014" customFormat="false" ht="12.8" hidden="false" customHeight="false" outlineLevel="0" collapsed="false">
      <c r="A2014" s="4" t="s">
        <v>12</v>
      </c>
      <c r="B2014" s="4" t="s">
        <v>13</v>
      </c>
      <c r="C2014" s="4" t="n">
        <v>28</v>
      </c>
      <c r="D2014" s="5" t="n">
        <v>29.75</v>
      </c>
      <c r="E2014" s="6" t="n">
        <f aca="false">DATE(2024,8,24)</f>
        <v>45528</v>
      </c>
      <c r="F2014" s="7" t="n">
        <f aca="false">C2014*D2014</f>
        <v>833</v>
      </c>
      <c r="G2014" s="7" t="n">
        <f aca="false">ROUND(F2014*0.2,2)</f>
        <v>166.6</v>
      </c>
      <c r="H2014" s="4" t="str">
        <f aca="false">IF(F2014&gt;500,"Yüksek",IF(F2014&gt;100,"Orta","Düşük"))</f>
        <v>Yüksek</v>
      </c>
    </row>
    <row r="2015" customFormat="false" ht="12.8" hidden="false" customHeight="false" outlineLevel="0" collapsed="false">
      <c r="A2015" s="4" t="s">
        <v>14</v>
      </c>
      <c r="B2015" s="4" t="s">
        <v>15</v>
      </c>
      <c r="C2015" s="4" t="n">
        <v>35</v>
      </c>
      <c r="D2015" s="5" t="n">
        <v>32.5</v>
      </c>
      <c r="E2015" s="6" t="n">
        <f aca="false">DATE(2024,9,25)</f>
        <v>45560</v>
      </c>
      <c r="F2015" s="7" t="n">
        <f aca="false">C2015*D2015</f>
        <v>1137.5</v>
      </c>
      <c r="G2015" s="7" t="n">
        <f aca="false">ROUND(F2015*0.2,2)</f>
        <v>227.5</v>
      </c>
      <c r="H2015" s="4" t="str">
        <f aca="false">IF(F2015&gt;500,"Yüksek",IF(F2015&gt;100,"Orta","Düşük"))</f>
        <v>Yüksek</v>
      </c>
    </row>
    <row r="2016" customFormat="false" ht="12.8" hidden="false" customHeight="false" outlineLevel="0" collapsed="false">
      <c r="A2016" s="4" t="s">
        <v>16</v>
      </c>
      <c r="B2016" s="4" t="s">
        <v>17</v>
      </c>
      <c r="C2016" s="4" t="n">
        <v>42</v>
      </c>
      <c r="D2016" s="5" t="n">
        <v>35.25</v>
      </c>
      <c r="E2016" s="6" t="n">
        <f aca="false">DATE(2024,10,26)</f>
        <v>45591</v>
      </c>
      <c r="F2016" s="7" t="n">
        <f aca="false">C2016*D2016</f>
        <v>1480.5</v>
      </c>
      <c r="G2016" s="7" t="n">
        <f aca="false">ROUND(F2016*0.2,2)</f>
        <v>296.1</v>
      </c>
      <c r="H2016" s="4" t="str">
        <f aca="false">IF(F2016&gt;500,"Yüksek",IF(F2016&gt;100,"Orta","Düşük"))</f>
        <v>Yüksek</v>
      </c>
    </row>
    <row r="2017" customFormat="false" ht="12.8" hidden="false" customHeight="false" outlineLevel="0" collapsed="false">
      <c r="A2017" s="4" t="s">
        <v>18</v>
      </c>
      <c r="B2017" s="4" t="s">
        <v>19</v>
      </c>
      <c r="C2017" s="4" t="n">
        <v>49</v>
      </c>
      <c r="D2017" s="5" t="n">
        <v>38</v>
      </c>
      <c r="E2017" s="6" t="n">
        <f aca="false">DATE(2024,11,27)</f>
        <v>45623</v>
      </c>
      <c r="F2017" s="7" t="n">
        <f aca="false">C2017*D2017</f>
        <v>1862</v>
      </c>
      <c r="G2017" s="7" t="n">
        <f aca="false">ROUND(F2017*0.2,2)</f>
        <v>372.4</v>
      </c>
      <c r="H2017" s="4" t="str">
        <f aca="false">IF(F2017&gt;500,"Yüksek",IF(F2017&gt;100,"Orta","Düşük"))</f>
        <v>Yüksek</v>
      </c>
    </row>
    <row r="2018" customFormat="false" ht="12.8" hidden="false" customHeight="false" outlineLevel="0" collapsed="false">
      <c r="A2018" s="4" t="s">
        <v>20</v>
      </c>
      <c r="B2018" s="4" t="s">
        <v>11</v>
      </c>
      <c r="C2018" s="4" t="n">
        <v>6</v>
      </c>
      <c r="D2018" s="5" t="n">
        <v>5</v>
      </c>
      <c r="E2018" s="6" t="n">
        <f aca="false">DATE(2024,12,28)</f>
        <v>45654</v>
      </c>
      <c r="F2018" s="7" t="n">
        <f aca="false">C2018*D2018</f>
        <v>30</v>
      </c>
      <c r="G2018" s="7" t="n">
        <f aca="false">ROUND(F2018*0.2,2)</f>
        <v>6</v>
      </c>
      <c r="H2018" s="4" t="str">
        <f aca="false">IF(F2018&gt;500,"Yüksek",IF(F2018&gt;100,"Orta","Düşük"))</f>
        <v>Düşük</v>
      </c>
    </row>
    <row r="2019" customFormat="false" ht="12.8" hidden="false" customHeight="false" outlineLevel="0" collapsed="false">
      <c r="A2019" s="4" t="s">
        <v>21</v>
      </c>
      <c r="B2019" s="4" t="s">
        <v>13</v>
      </c>
      <c r="C2019" s="4" t="n">
        <v>13</v>
      </c>
      <c r="D2019" s="5" t="n">
        <v>7.75</v>
      </c>
      <c r="E2019" s="6" t="n">
        <f aca="false">DATE(2024,1,1)</f>
        <v>45292</v>
      </c>
      <c r="F2019" s="7" t="n">
        <f aca="false">C2019*D2019</f>
        <v>100.75</v>
      </c>
      <c r="G2019" s="7" t="n">
        <f aca="false">ROUND(F2019*0.2,2)</f>
        <v>20.15</v>
      </c>
      <c r="H2019" s="4" t="str">
        <f aca="false">IF(F2019&gt;500,"Yüksek",IF(F2019&gt;100,"Orta","Düşük"))</f>
        <v>Orta</v>
      </c>
    </row>
    <row r="2020" customFormat="false" ht="12.8" hidden="false" customHeight="false" outlineLevel="0" collapsed="false">
      <c r="A2020" s="4" t="s">
        <v>22</v>
      </c>
      <c r="B2020" s="4" t="s">
        <v>15</v>
      </c>
      <c r="C2020" s="4" t="n">
        <v>20</v>
      </c>
      <c r="D2020" s="5" t="n">
        <v>10.5</v>
      </c>
      <c r="E2020" s="6" t="n">
        <f aca="false">DATE(2024,2,2)</f>
        <v>45324</v>
      </c>
      <c r="F2020" s="7" t="n">
        <f aca="false">C2020*D2020</f>
        <v>210</v>
      </c>
      <c r="G2020" s="7" t="n">
        <f aca="false">ROUND(F2020*0.2,2)</f>
        <v>42</v>
      </c>
      <c r="H2020" s="4" t="str">
        <f aca="false">IF(F2020&gt;500,"Yüksek",IF(F2020&gt;100,"Orta","Düşük"))</f>
        <v>Orta</v>
      </c>
    </row>
    <row r="2021" customFormat="false" ht="12.8" hidden="false" customHeight="false" outlineLevel="0" collapsed="false">
      <c r="A2021" s="4" t="s">
        <v>23</v>
      </c>
      <c r="B2021" s="4" t="s">
        <v>17</v>
      </c>
      <c r="C2021" s="4" t="n">
        <v>27</v>
      </c>
      <c r="D2021" s="5" t="n">
        <v>13.25</v>
      </c>
      <c r="E2021" s="6" t="n">
        <f aca="false">DATE(2024,3,3)</f>
        <v>45354</v>
      </c>
      <c r="F2021" s="7" t="n">
        <f aca="false">C2021*D2021</f>
        <v>357.75</v>
      </c>
      <c r="G2021" s="7" t="n">
        <f aca="false">ROUND(F2021*0.2,2)</f>
        <v>71.55</v>
      </c>
      <c r="H2021" s="4" t="str">
        <f aca="false">IF(F2021&gt;500,"Yüksek",IF(F2021&gt;100,"Orta","Düşük"))</f>
        <v>Orta</v>
      </c>
    </row>
    <row r="2022" customFormat="false" ht="12.8" hidden="false" customHeight="false" outlineLevel="0" collapsed="false">
      <c r="A2022" s="4" t="s">
        <v>24</v>
      </c>
      <c r="B2022" s="4" t="s">
        <v>19</v>
      </c>
      <c r="C2022" s="4" t="n">
        <v>34</v>
      </c>
      <c r="D2022" s="5" t="n">
        <v>16</v>
      </c>
      <c r="E2022" s="6" t="n">
        <f aca="false">DATE(2024,4,4)</f>
        <v>45386</v>
      </c>
      <c r="F2022" s="7" t="n">
        <f aca="false">C2022*D2022</f>
        <v>544</v>
      </c>
      <c r="G2022" s="7" t="n">
        <f aca="false">ROUND(F2022*0.2,2)</f>
        <v>108.8</v>
      </c>
      <c r="H2022" s="4" t="str">
        <f aca="false">IF(F2022&gt;500,"Yüksek",IF(F2022&gt;100,"Orta","Düşük"))</f>
        <v>Yüksek</v>
      </c>
    </row>
    <row r="2023" customFormat="false" ht="12.8" hidden="false" customHeight="false" outlineLevel="0" collapsed="false">
      <c r="A2023" s="4" t="s">
        <v>10</v>
      </c>
      <c r="B2023" s="4" t="s">
        <v>11</v>
      </c>
      <c r="C2023" s="4" t="n">
        <v>41</v>
      </c>
      <c r="D2023" s="5" t="n">
        <v>18.75</v>
      </c>
      <c r="E2023" s="6" t="n">
        <f aca="false">DATE(2024,5,5)</f>
        <v>45417</v>
      </c>
      <c r="F2023" s="7" t="n">
        <f aca="false">C2023*D2023</f>
        <v>768.75</v>
      </c>
      <c r="G2023" s="7" t="n">
        <f aca="false">ROUND(F2023*0.2,2)</f>
        <v>153.75</v>
      </c>
      <c r="H2023" s="4" t="str">
        <f aca="false">IF(F2023&gt;500,"Yüksek",IF(F2023&gt;100,"Orta","Düşük"))</f>
        <v>Yüksek</v>
      </c>
    </row>
    <row r="2024" customFormat="false" ht="12.8" hidden="false" customHeight="false" outlineLevel="0" collapsed="false">
      <c r="A2024" s="4" t="s">
        <v>12</v>
      </c>
      <c r="B2024" s="4" t="s">
        <v>13</v>
      </c>
      <c r="C2024" s="4" t="n">
        <v>48</v>
      </c>
      <c r="D2024" s="5" t="n">
        <v>21.5</v>
      </c>
      <c r="E2024" s="6" t="n">
        <f aca="false">DATE(2024,6,6)</f>
        <v>45449</v>
      </c>
      <c r="F2024" s="7" t="n">
        <f aca="false">C2024*D2024</f>
        <v>1032</v>
      </c>
      <c r="G2024" s="7" t="n">
        <f aca="false">ROUND(F2024*0.2,2)</f>
        <v>206.4</v>
      </c>
      <c r="H2024" s="4" t="str">
        <f aca="false">IF(F2024&gt;500,"Yüksek",IF(F2024&gt;100,"Orta","Düşük"))</f>
        <v>Yüksek</v>
      </c>
    </row>
    <row r="2025" customFormat="false" ht="12.8" hidden="false" customHeight="false" outlineLevel="0" collapsed="false">
      <c r="A2025" s="4" t="s">
        <v>14</v>
      </c>
      <c r="B2025" s="4" t="s">
        <v>15</v>
      </c>
      <c r="C2025" s="4" t="n">
        <v>5</v>
      </c>
      <c r="D2025" s="5" t="n">
        <v>24.25</v>
      </c>
      <c r="E2025" s="6" t="n">
        <f aca="false">DATE(2024,7,7)</f>
        <v>45480</v>
      </c>
      <c r="F2025" s="7" t="n">
        <f aca="false">C2025*D2025</f>
        <v>121.25</v>
      </c>
      <c r="G2025" s="7" t="n">
        <f aca="false">ROUND(F2025*0.2,2)</f>
        <v>24.25</v>
      </c>
      <c r="H2025" s="4" t="str">
        <f aca="false">IF(F2025&gt;500,"Yüksek",IF(F2025&gt;100,"Orta","Düşük"))</f>
        <v>Orta</v>
      </c>
    </row>
    <row r="2026" customFormat="false" ht="12.8" hidden="false" customHeight="false" outlineLevel="0" collapsed="false">
      <c r="A2026" s="4" t="s">
        <v>16</v>
      </c>
      <c r="B2026" s="4" t="s">
        <v>17</v>
      </c>
      <c r="C2026" s="4" t="n">
        <v>12</v>
      </c>
      <c r="D2026" s="5" t="n">
        <v>27</v>
      </c>
      <c r="E2026" s="6" t="n">
        <f aca="false">DATE(2024,8,8)</f>
        <v>45512</v>
      </c>
      <c r="F2026" s="7" t="n">
        <f aca="false">C2026*D2026</f>
        <v>324</v>
      </c>
      <c r="G2026" s="7" t="n">
        <f aca="false">ROUND(F2026*0.2,2)</f>
        <v>64.8</v>
      </c>
      <c r="H2026" s="4" t="str">
        <f aca="false">IF(F2026&gt;500,"Yüksek",IF(F2026&gt;100,"Orta","Düşük"))</f>
        <v>Orta</v>
      </c>
    </row>
    <row r="2027" customFormat="false" ht="12.8" hidden="false" customHeight="false" outlineLevel="0" collapsed="false">
      <c r="A2027" s="4" t="s">
        <v>18</v>
      </c>
      <c r="B2027" s="4" t="s">
        <v>19</v>
      </c>
      <c r="C2027" s="4" t="n">
        <v>19</v>
      </c>
      <c r="D2027" s="5" t="n">
        <v>29.75</v>
      </c>
      <c r="E2027" s="6" t="n">
        <f aca="false">DATE(2024,9,9)</f>
        <v>45544</v>
      </c>
      <c r="F2027" s="7" t="n">
        <f aca="false">C2027*D2027</f>
        <v>565.25</v>
      </c>
      <c r="G2027" s="7" t="n">
        <f aca="false">ROUND(F2027*0.2,2)</f>
        <v>113.05</v>
      </c>
      <c r="H2027" s="4" t="str">
        <f aca="false">IF(F2027&gt;500,"Yüksek",IF(F2027&gt;100,"Orta","Düşük"))</f>
        <v>Yüksek</v>
      </c>
    </row>
    <row r="2028" customFormat="false" ht="12.8" hidden="false" customHeight="false" outlineLevel="0" collapsed="false">
      <c r="A2028" s="4" t="s">
        <v>20</v>
      </c>
      <c r="B2028" s="4" t="s">
        <v>11</v>
      </c>
      <c r="C2028" s="4" t="n">
        <v>26</v>
      </c>
      <c r="D2028" s="5" t="n">
        <v>32.5</v>
      </c>
      <c r="E2028" s="6" t="n">
        <f aca="false">DATE(2024,10,10)</f>
        <v>45575</v>
      </c>
      <c r="F2028" s="7" t="n">
        <f aca="false">C2028*D2028</f>
        <v>845</v>
      </c>
      <c r="G2028" s="7" t="n">
        <f aca="false">ROUND(F2028*0.2,2)</f>
        <v>169</v>
      </c>
      <c r="H2028" s="4" t="str">
        <f aca="false">IF(F2028&gt;500,"Yüksek",IF(F2028&gt;100,"Orta","Düşük"))</f>
        <v>Yüksek</v>
      </c>
    </row>
    <row r="2029" customFormat="false" ht="12.8" hidden="false" customHeight="false" outlineLevel="0" collapsed="false">
      <c r="A2029" s="4" t="s">
        <v>21</v>
      </c>
      <c r="B2029" s="4" t="s">
        <v>13</v>
      </c>
      <c r="C2029" s="4" t="n">
        <v>33</v>
      </c>
      <c r="D2029" s="5" t="n">
        <v>35.25</v>
      </c>
      <c r="E2029" s="6" t="n">
        <f aca="false">DATE(2024,11,11)</f>
        <v>45607</v>
      </c>
      <c r="F2029" s="7" t="n">
        <f aca="false">C2029*D2029</f>
        <v>1163.25</v>
      </c>
      <c r="G2029" s="7" t="n">
        <f aca="false">ROUND(F2029*0.2,2)</f>
        <v>232.65</v>
      </c>
      <c r="H2029" s="4" t="str">
        <f aca="false">IF(F2029&gt;500,"Yüksek",IF(F2029&gt;100,"Orta","Düşük"))</f>
        <v>Yüksek</v>
      </c>
    </row>
    <row r="2030" customFormat="false" ht="12.8" hidden="false" customHeight="false" outlineLevel="0" collapsed="false">
      <c r="A2030" s="4" t="s">
        <v>22</v>
      </c>
      <c r="B2030" s="4" t="s">
        <v>15</v>
      </c>
      <c r="C2030" s="4" t="n">
        <v>40</v>
      </c>
      <c r="D2030" s="5" t="n">
        <v>38</v>
      </c>
      <c r="E2030" s="6" t="n">
        <f aca="false">DATE(2024,12,12)</f>
        <v>45638</v>
      </c>
      <c r="F2030" s="7" t="n">
        <f aca="false">C2030*D2030</f>
        <v>1520</v>
      </c>
      <c r="G2030" s="7" t="n">
        <f aca="false">ROUND(F2030*0.2,2)</f>
        <v>304</v>
      </c>
      <c r="H2030" s="4" t="str">
        <f aca="false">IF(F2030&gt;500,"Yüksek",IF(F2030&gt;100,"Orta","Düşük"))</f>
        <v>Yüksek</v>
      </c>
    </row>
    <row r="2031" customFormat="false" ht="12.8" hidden="false" customHeight="false" outlineLevel="0" collapsed="false">
      <c r="A2031" s="4" t="s">
        <v>23</v>
      </c>
      <c r="B2031" s="4" t="s">
        <v>17</v>
      </c>
      <c r="C2031" s="4" t="n">
        <v>47</v>
      </c>
      <c r="D2031" s="5" t="n">
        <v>5</v>
      </c>
      <c r="E2031" s="6" t="n">
        <f aca="false">DATE(2024,1,13)</f>
        <v>45304</v>
      </c>
      <c r="F2031" s="7" t="n">
        <f aca="false">C2031*D2031</f>
        <v>235</v>
      </c>
      <c r="G2031" s="7" t="n">
        <f aca="false">ROUND(F2031*0.2,2)</f>
        <v>47</v>
      </c>
      <c r="H2031" s="4" t="str">
        <f aca="false">IF(F2031&gt;500,"Yüksek",IF(F2031&gt;100,"Orta","Düşük"))</f>
        <v>Orta</v>
      </c>
    </row>
    <row r="2032" customFormat="false" ht="12.8" hidden="false" customHeight="false" outlineLevel="0" collapsed="false">
      <c r="A2032" s="4" t="s">
        <v>24</v>
      </c>
      <c r="B2032" s="4" t="s">
        <v>19</v>
      </c>
      <c r="C2032" s="4" t="n">
        <v>4</v>
      </c>
      <c r="D2032" s="5" t="n">
        <v>7.75</v>
      </c>
      <c r="E2032" s="6" t="n">
        <f aca="false">DATE(2024,2,14)</f>
        <v>45336</v>
      </c>
      <c r="F2032" s="7" t="n">
        <f aca="false">C2032*D2032</f>
        <v>31</v>
      </c>
      <c r="G2032" s="7" t="n">
        <f aca="false">ROUND(F2032*0.2,2)</f>
        <v>6.2</v>
      </c>
      <c r="H2032" s="4" t="str">
        <f aca="false">IF(F2032&gt;500,"Yüksek",IF(F2032&gt;100,"Orta","Düşük"))</f>
        <v>Düşük</v>
      </c>
    </row>
    <row r="2033" customFormat="false" ht="12.8" hidden="false" customHeight="false" outlineLevel="0" collapsed="false">
      <c r="A2033" s="4" t="s">
        <v>10</v>
      </c>
      <c r="B2033" s="4" t="s">
        <v>11</v>
      </c>
      <c r="C2033" s="4" t="n">
        <v>11</v>
      </c>
      <c r="D2033" s="5" t="n">
        <v>10.5</v>
      </c>
      <c r="E2033" s="6" t="n">
        <f aca="false">DATE(2024,3,15)</f>
        <v>45366</v>
      </c>
      <c r="F2033" s="7" t="n">
        <f aca="false">C2033*D2033</f>
        <v>115.5</v>
      </c>
      <c r="G2033" s="7" t="n">
        <f aca="false">ROUND(F2033*0.2,2)</f>
        <v>23.1</v>
      </c>
      <c r="H2033" s="4" t="str">
        <f aca="false">IF(F2033&gt;500,"Yüksek",IF(F2033&gt;100,"Orta","Düşük"))</f>
        <v>Orta</v>
      </c>
    </row>
    <row r="2034" customFormat="false" ht="12.8" hidden="false" customHeight="false" outlineLevel="0" collapsed="false">
      <c r="A2034" s="4" t="s">
        <v>12</v>
      </c>
      <c r="B2034" s="4" t="s">
        <v>13</v>
      </c>
      <c r="C2034" s="4" t="n">
        <v>18</v>
      </c>
      <c r="D2034" s="5" t="n">
        <v>13.25</v>
      </c>
      <c r="E2034" s="6" t="n">
        <f aca="false">DATE(2024,4,16)</f>
        <v>45398</v>
      </c>
      <c r="F2034" s="7" t="n">
        <f aca="false">C2034*D2034</f>
        <v>238.5</v>
      </c>
      <c r="G2034" s="7" t="n">
        <f aca="false">ROUND(F2034*0.2,2)</f>
        <v>47.7</v>
      </c>
      <c r="H2034" s="4" t="str">
        <f aca="false">IF(F2034&gt;500,"Yüksek",IF(F2034&gt;100,"Orta","Düşük"))</f>
        <v>Orta</v>
      </c>
    </row>
    <row r="2035" customFormat="false" ht="12.8" hidden="false" customHeight="false" outlineLevel="0" collapsed="false">
      <c r="A2035" s="4" t="s">
        <v>14</v>
      </c>
      <c r="B2035" s="4" t="s">
        <v>15</v>
      </c>
      <c r="C2035" s="4" t="n">
        <v>25</v>
      </c>
      <c r="D2035" s="5" t="n">
        <v>16</v>
      </c>
      <c r="E2035" s="6" t="n">
        <f aca="false">DATE(2024,5,17)</f>
        <v>45429</v>
      </c>
      <c r="F2035" s="7" t="n">
        <f aca="false">C2035*D2035</f>
        <v>400</v>
      </c>
      <c r="G2035" s="7" t="n">
        <f aca="false">ROUND(F2035*0.2,2)</f>
        <v>80</v>
      </c>
      <c r="H2035" s="4" t="str">
        <f aca="false">IF(F2035&gt;500,"Yüksek",IF(F2035&gt;100,"Orta","Düşük"))</f>
        <v>Orta</v>
      </c>
    </row>
    <row r="2036" customFormat="false" ht="12.8" hidden="false" customHeight="false" outlineLevel="0" collapsed="false">
      <c r="A2036" s="4" t="s">
        <v>16</v>
      </c>
      <c r="B2036" s="4" t="s">
        <v>17</v>
      </c>
      <c r="C2036" s="4" t="n">
        <v>32</v>
      </c>
      <c r="D2036" s="5" t="n">
        <v>18.75</v>
      </c>
      <c r="E2036" s="6" t="n">
        <f aca="false">DATE(2024,6,18)</f>
        <v>45461</v>
      </c>
      <c r="F2036" s="7" t="n">
        <f aca="false">C2036*D2036</f>
        <v>600</v>
      </c>
      <c r="G2036" s="7" t="n">
        <f aca="false">ROUND(F2036*0.2,2)</f>
        <v>120</v>
      </c>
      <c r="H2036" s="4" t="str">
        <f aca="false">IF(F2036&gt;500,"Yüksek",IF(F2036&gt;100,"Orta","Düşük"))</f>
        <v>Yüksek</v>
      </c>
    </row>
    <row r="2037" customFormat="false" ht="12.8" hidden="false" customHeight="false" outlineLevel="0" collapsed="false">
      <c r="A2037" s="4" t="s">
        <v>18</v>
      </c>
      <c r="B2037" s="4" t="s">
        <v>19</v>
      </c>
      <c r="C2037" s="4" t="n">
        <v>39</v>
      </c>
      <c r="D2037" s="5" t="n">
        <v>21.5</v>
      </c>
      <c r="E2037" s="6" t="n">
        <f aca="false">DATE(2024,7,19)</f>
        <v>45492</v>
      </c>
      <c r="F2037" s="7" t="n">
        <f aca="false">C2037*D2037</f>
        <v>838.5</v>
      </c>
      <c r="G2037" s="7" t="n">
        <f aca="false">ROUND(F2037*0.2,2)</f>
        <v>167.7</v>
      </c>
      <c r="H2037" s="4" t="str">
        <f aca="false">IF(F2037&gt;500,"Yüksek",IF(F2037&gt;100,"Orta","Düşük"))</f>
        <v>Yüksek</v>
      </c>
    </row>
    <row r="2038" customFormat="false" ht="12.8" hidden="false" customHeight="false" outlineLevel="0" collapsed="false">
      <c r="A2038" s="4" t="s">
        <v>20</v>
      </c>
      <c r="B2038" s="4" t="s">
        <v>11</v>
      </c>
      <c r="C2038" s="4" t="n">
        <v>46</v>
      </c>
      <c r="D2038" s="5" t="n">
        <v>24.25</v>
      </c>
      <c r="E2038" s="6" t="n">
        <f aca="false">DATE(2024,8,20)</f>
        <v>45524</v>
      </c>
      <c r="F2038" s="7" t="n">
        <f aca="false">C2038*D2038</f>
        <v>1115.5</v>
      </c>
      <c r="G2038" s="7" t="n">
        <f aca="false">ROUND(F2038*0.2,2)</f>
        <v>223.1</v>
      </c>
      <c r="H2038" s="4" t="str">
        <f aca="false">IF(F2038&gt;500,"Yüksek",IF(F2038&gt;100,"Orta","Düşük"))</f>
        <v>Yüksek</v>
      </c>
    </row>
    <row r="2039" customFormat="false" ht="12.8" hidden="false" customHeight="false" outlineLevel="0" collapsed="false">
      <c r="A2039" s="4" t="s">
        <v>21</v>
      </c>
      <c r="B2039" s="4" t="s">
        <v>13</v>
      </c>
      <c r="C2039" s="4" t="n">
        <v>3</v>
      </c>
      <c r="D2039" s="5" t="n">
        <v>27</v>
      </c>
      <c r="E2039" s="6" t="n">
        <f aca="false">DATE(2024,9,21)</f>
        <v>45556</v>
      </c>
      <c r="F2039" s="7" t="n">
        <f aca="false">C2039*D2039</f>
        <v>81</v>
      </c>
      <c r="G2039" s="7" t="n">
        <f aca="false">ROUND(F2039*0.2,2)</f>
        <v>16.2</v>
      </c>
      <c r="H2039" s="4" t="str">
        <f aca="false">IF(F2039&gt;500,"Yüksek",IF(F2039&gt;100,"Orta","Düşük"))</f>
        <v>Düşük</v>
      </c>
    </row>
    <row r="2040" customFormat="false" ht="12.8" hidden="false" customHeight="false" outlineLevel="0" collapsed="false">
      <c r="A2040" s="4" t="s">
        <v>22</v>
      </c>
      <c r="B2040" s="4" t="s">
        <v>15</v>
      </c>
      <c r="C2040" s="4" t="n">
        <v>10</v>
      </c>
      <c r="D2040" s="5" t="n">
        <v>29.75</v>
      </c>
      <c r="E2040" s="6" t="n">
        <f aca="false">DATE(2024,10,22)</f>
        <v>45587</v>
      </c>
      <c r="F2040" s="7" t="n">
        <f aca="false">C2040*D2040</f>
        <v>297.5</v>
      </c>
      <c r="G2040" s="7" t="n">
        <f aca="false">ROUND(F2040*0.2,2)</f>
        <v>59.5</v>
      </c>
      <c r="H2040" s="4" t="str">
        <f aca="false">IF(F2040&gt;500,"Yüksek",IF(F2040&gt;100,"Orta","Düşük"))</f>
        <v>Orta</v>
      </c>
    </row>
    <row r="2041" customFormat="false" ht="12.8" hidden="false" customHeight="false" outlineLevel="0" collapsed="false">
      <c r="A2041" s="4" t="s">
        <v>23</v>
      </c>
      <c r="B2041" s="4" t="s">
        <v>17</v>
      </c>
      <c r="C2041" s="4" t="n">
        <v>17</v>
      </c>
      <c r="D2041" s="5" t="n">
        <v>32.5</v>
      </c>
      <c r="E2041" s="6" t="n">
        <f aca="false">DATE(2024,11,23)</f>
        <v>45619</v>
      </c>
      <c r="F2041" s="7" t="n">
        <f aca="false">C2041*D2041</f>
        <v>552.5</v>
      </c>
      <c r="G2041" s="7" t="n">
        <f aca="false">ROUND(F2041*0.2,2)</f>
        <v>110.5</v>
      </c>
      <c r="H2041" s="4" t="str">
        <f aca="false">IF(F2041&gt;500,"Yüksek",IF(F2041&gt;100,"Orta","Düşük"))</f>
        <v>Yüksek</v>
      </c>
    </row>
    <row r="2042" customFormat="false" ht="12.8" hidden="false" customHeight="false" outlineLevel="0" collapsed="false">
      <c r="A2042" s="4" t="s">
        <v>24</v>
      </c>
      <c r="B2042" s="4" t="s">
        <v>19</v>
      </c>
      <c r="C2042" s="4" t="n">
        <v>24</v>
      </c>
      <c r="D2042" s="5" t="n">
        <v>35.25</v>
      </c>
      <c r="E2042" s="6" t="n">
        <f aca="false">DATE(2024,12,24)</f>
        <v>45650</v>
      </c>
      <c r="F2042" s="7" t="n">
        <f aca="false">C2042*D2042</f>
        <v>846</v>
      </c>
      <c r="G2042" s="7" t="n">
        <f aca="false">ROUND(F2042*0.2,2)</f>
        <v>169.2</v>
      </c>
      <c r="H2042" s="4" t="str">
        <f aca="false">IF(F2042&gt;500,"Yüksek",IF(F2042&gt;100,"Orta","Düşük"))</f>
        <v>Yüksek</v>
      </c>
    </row>
    <row r="2043" customFormat="false" ht="12.8" hidden="false" customHeight="false" outlineLevel="0" collapsed="false">
      <c r="A2043" s="4" t="s">
        <v>10</v>
      </c>
      <c r="B2043" s="4" t="s">
        <v>11</v>
      </c>
      <c r="C2043" s="4" t="n">
        <v>31</v>
      </c>
      <c r="D2043" s="5" t="n">
        <v>38</v>
      </c>
      <c r="E2043" s="6" t="n">
        <f aca="false">DATE(2024,1,25)</f>
        <v>45316</v>
      </c>
      <c r="F2043" s="7" t="n">
        <f aca="false">C2043*D2043</f>
        <v>1178</v>
      </c>
      <c r="G2043" s="7" t="n">
        <f aca="false">ROUND(F2043*0.2,2)</f>
        <v>235.6</v>
      </c>
      <c r="H2043" s="4" t="str">
        <f aca="false">IF(F2043&gt;500,"Yüksek",IF(F2043&gt;100,"Orta","Düşük"))</f>
        <v>Yüksek</v>
      </c>
    </row>
    <row r="2044" customFormat="false" ht="12.8" hidden="false" customHeight="false" outlineLevel="0" collapsed="false">
      <c r="A2044" s="4" t="s">
        <v>12</v>
      </c>
      <c r="B2044" s="4" t="s">
        <v>13</v>
      </c>
      <c r="C2044" s="4" t="n">
        <v>38</v>
      </c>
      <c r="D2044" s="5" t="n">
        <v>5</v>
      </c>
      <c r="E2044" s="6" t="n">
        <f aca="false">DATE(2024,2,26)</f>
        <v>45348</v>
      </c>
      <c r="F2044" s="7" t="n">
        <f aca="false">C2044*D2044</f>
        <v>190</v>
      </c>
      <c r="G2044" s="7" t="n">
        <f aca="false">ROUND(F2044*0.2,2)</f>
        <v>38</v>
      </c>
      <c r="H2044" s="4" t="str">
        <f aca="false">IF(F2044&gt;500,"Yüksek",IF(F2044&gt;100,"Orta","Düşük"))</f>
        <v>Orta</v>
      </c>
    </row>
    <row r="2045" customFormat="false" ht="12.8" hidden="false" customHeight="false" outlineLevel="0" collapsed="false">
      <c r="A2045" s="4" t="s">
        <v>14</v>
      </c>
      <c r="B2045" s="4" t="s">
        <v>15</v>
      </c>
      <c r="C2045" s="4" t="n">
        <v>45</v>
      </c>
      <c r="D2045" s="5" t="n">
        <v>7.75</v>
      </c>
      <c r="E2045" s="6" t="n">
        <f aca="false">DATE(2024,3,27)</f>
        <v>45378</v>
      </c>
      <c r="F2045" s="7" t="n">
        <f aca="false">C2045*D2045</f>
        <v>348.75</v>
      </c>
      <c r="G2045" s="7" t="n">
        <f aca="false">ROUND(F2045*0.2,2)</f>
        <v>69.75</v>
      </c>
      <c r="H2045" s="4" t="str">
        <f aca="false">IF(F2045&gt;500,"Yüksek",IF(F2045&gt;100,"Orta","Düşük"))</f>
        <v>Orta</v>
      </c>
    </row>
    <row r="2046" customFormat="false" ht="12.8" hidden="false" customHeight="false" outlineLevel="0" collapsed="false">
      <c r="A2046" s="4" t="s">
        <v>16</v>
      </c>
      <c r="B2046" s="4" t="s">
        <v>17</v>
      </c>
      <c r="C2046" s="4" t="n">
        <v>2</v>
      </c>
      <c r="D2046" s="5" t="n">
        <v>10.5</v>
      </c>
      <c r="E2046" s="6" t="n">
        <f aca="false">DATE(2024,4,28)</f>
        <v>45410</v>
      </c>
      <c r="F2046" s="7" t="n">
        <f aca="false">C2046*D2046</f>
        <v>21</v>
      </c>
      <c r="G2046" s="7" t="n">
        <f aca="false">ROUND(F2046*0.2,2)</f>
        <v>4.2</v>
      </c>
      <c r="H2046" s="4" t="str">
        <f aca="false">IF(F2046&gt;500,"Yüksek",IF(F2046&gt;100,"Orta","Düşük"))</f>
        <v>Düşük</v>
      </c>
    </row>
    <row r="2047" customFormat="false" ht="12.8" hidden="false" customHeight="false" outlineLevel="0" collapsed="false">
      <c r="A2047" s="4" t="s">
        <v>18</v>
      </c>
      <c r="B2047" s="4" t="s">
        <v>19</v>
      </c>
      <c r="C2047" s="4" t="n">
        <v>9</v>
      </c>
      <c r="D2047" s="5" t="n">
        <v>13.25</v>
      </c>
      <c r="E2047" s="6" t="n">
        <f aca="false">DATE(2024,5,1)</f>
        <v>45413</v>
      </c>
      <c r="F2047" s="7" t="n">
        <f aca="false">C2047*D2047</f>
        <v>119.25</v>
      </c>
      <c r="G2047" s="7" t="n">
        <f aca="false">ROUND(F2047*0.2,2)</f>
        <v>23.85</v>
      </c>
      <c r="H2047" s="4" t="str">
        <f aca="false">IF(F2047&gt;500,"Yüksek",IF(F2047&gt;100,"Orta","Düşük"))</f>
        <v>Orta</v>
      </c>
    </row>
    <row r="2048" customFormat="false" ht="12.8" hidden="false" customHeight="false" outlineLevel="0" collapsed="false">
      <c r="A2048" s="4" t="s">
        <v>20</v>
      </c>
      <c r="B2048" s="4" t="s">
        <v>11</v>
      </c>
      <c r="C2048" s="4" t="n">
        <v>16</v>
      </c>
      <c r="D2048" s="5" t="n">
        <v>16</v>
      </c>
      <c r="E2048" s="6" t="n">
        <f aca="false">DATE(2024,6,2)</f>
        <v>45445</v>
      </c>
      <c r="F2048" s="7" t="n">
        <f aca="false">C2048*D2048</f>
        <v>256</v>
      </c>
      <c r="G2048" s="7" t="n">
        <f aca="false">ROUND(F2048*0.2,2)</f>
        <v>51.2</v>
      </c>
      <c r="H2048" s="4" t="str">
        <f aca="false">IF(F2048&gt;500,"Yüksek",IF(F2048&gt;100,"Orta","Düşük"))</f>
        <v>Orta</v>
      </c>
    </row>
    <row r="2049" customFormat="false" ht="12.8" hidden="false" customHeight="false" outlineLevel="0" collapsed="false">
      <c r="A2049" s="4" t="s">
        <v>21</v>
      </c>
      <c r="B2049" s="4" t="s">
        <v>13</v>
      </c>
      <c r="C2049" s="4" t="n">
        <v>23</v>
      </c>
      <c r="D2049" s="5" t="n">
        <v>18.75</v>
      </c>
      <c r="E2049" s="6" t="n">
        <f aca="false">DATE(2024,7,3)</f>
        <v>45476</v>
      </c>
      <c r="F2049" s="7" t="n">
        <f aca="false">C2049*D2049</f>
        <v>431.25</v>
      </c>
      <c r="G2049" s="7" t="n">
        <f aca="false">ROUND(F2049*0.2,2)</f>
        <v>86.25</v>
      </c>
      <c r="H2049" s="4" t="str">
        <f aca="false">IF(F2049&gt;500,"Yüksek",IF(F2049&gt;100,"Orta","Düşük"))</f>
        <v>Orta</v>
      </c>
    </row>
    <row r="2050" customFormat="false" ht="12.8" hidden="false" customHeight="false" outlineLevel="0" collapsed="false">
      <c r="A2050" s="4" t="s">
        <v>22</v>
      </c>
      <c r="B2050" s="4" t="s">
        <v>15</v>
      </c>
      <c r="C2050" s="4" t="n">
        <v>30</v>
      </c>
      <c r="D2050" s="5" t="n">
        <v>21.5</v>
      </c>
      <c r="E2050" s="6" t="n">
        <f aca="false">DATE(2024,8,4)</f>
        <v>45508</v>
      </c>
      <c r="F2050" s="7" t="n">
        <f aca="false">C2050*D2050</f>
        <v>645</v>
      </c>
      <c r="G2050" s="7" t="n">
        <f aca="false">ROUND(F2050*0.2,2)</f>
        <v>129</v>
      </c>
      <c r="H2050" s="4" t="str">
        <f aca="false">IF(F2050&gt;500,"Yüksek",IF(F2050&gt;100,"Orta","Düşük"))</f>
        <v>Yüksek</v>
      </c>
    </row>
    <row r="2051" customFormat="false" ht="12.8" hidden="false" customHeight="false" outlineLevel="0" collapsed="false">
      <c r="A2051" s="4" t="s">
        <v>23</v>
      </c>
      <c r="B2051" s="4" t="s">
        <v>17</v>
      </c>
      <c r="C2051" s="4" t="n">
        <v>37</v>
      </c>
      <c r="D2051" s="5" t="n">
        <v>24.25</v>
      </c>
      <c r="E2051" s="6" t="n">
        <f aca="false">DATE(2024,9,5)</f>
        <v>45540</v>
      </c>
      <c r="F2051" s="7" t="n">
        <f aca="false">C2051*D2051</f>
        <v>897.25</v>
      </c>
      <c r="G2051" s="7" t="n">
        <f aca="false">ROUND(F2051*0.2,2)</f>
        <v>179.45</v>
      </c>
      <c r="H2051" s="4" t="str">
        <f aca="false">IF(F2051&gt;500,"Yüksek",IF(F2051&gt;100,"Orta","Düşük"))</f>
        <v>Yüksek</v>
      </c>
    </row>
    <row r="2052" customFormat="false" ht="12.8" hidden="false" customHeight="false" outlineLevel="0" collapsed="false">
      <c r="A2052" s="4" t="s">
        <v>24</v>
      </c>
      <c r="B2052" s="4" t="s">
        <v>19</v>
      </c>
      <c r="C2052" s="4" t="n">
        <v>44</v>
      </c>
      <c r="D2052" s="5" t="n">
        <v>27</v>
      </c>
      <c r="E2052" s="6" t="n">
        <f aca="false">DATE(2024,10,6)</f>
        <v>45571</v>
      </c>
      <c r="F2052" s="7" t="n">
        <f aca="false">C2052*D2052</f>
        <v>1188</v>
      </c>
      <c r="G2052" s="7" t="n">
        <f aca="false">ROUND(F2052*0.2,2)</f>
        <v>237.6</v>
      </c>
      <c r="H2052" s="4" t="str">
        <f aca="false">IF(F2052&gt;500,"Yüksek",IF(F2052&gt;100,"Orta","Düşük"))</f>
        <v>Yüksek</v>
      </c>
    </row>
    <row r="2053" customFormat="false" ht="12.8" hidden="false" customHeight="false" outlineLevel="0" collapsed="false">
      <c r="A2053" s="4" t="s">
        <v>10</v>
      </c>
      <c r="B2053" s="4" t="s">
        <v>11</v>
      </c>
      <c r="C2053" s="4" t="n">
        <v>1</v>
      </c>
      <c r="D2053" s="5" t="n">
        <v>29.75</v>
      </c>
      <c r="E2053" s="6" t="n">
        <f aca="false">DATE(2024,11,7)</f>
        <v>45603</v>
      </c>
      <c r="F2053" s="7" t="n">
        <f aca="false">C2053*D2053</f>
        <v>29.75</v>
      </c>
      <c r="G2053" s="7" t="n">
        <f aca="false">ROUND(F2053*0.2,2)</f>
        <v>5.95</v>
      </c>
      <c r="H2053" s="4" t="str">
        <f aca="false">IF(F2053&gt;500,"Yüksek",IF(F2053&gt;100,"Orta","Düşük"))</f>
        <v>Düşük</v>
      </c>
    </row>
    <row r="2054" customFormat="false" ht="12.8" hidden="false" customHeight="false" outlineLevel="0" collapsed="false">
      <c r="A2054" s="4" t="s">
        <v>12</v>
      </c>
      <c r="B2054" s="4" t="s">
        <v>13</v>
      </c>
      <c r="C2054" s="4" t="n">
        <v>8</v>
      </c>
      <c r="D2054" s="5" t="n">
        <v>32.5</v>
      </c>
      <c r="E2054" s="6" t="n">
        <f aca="false">DATE(2024,12,8)</f>
        <v>45634</v>
      </c>
      <c r="F2054" s="7" t="n">
        <f aca="false">C2054*D2054</f>
        <v>260</v>
      </c>
      <c r="G2054" s="7" t="n">
        <f aca="false">ROUND(F2054*0.2,2)</f>
        <v>52</v>
      </c>
      <c r="H2054" s="4" t="str">
        <f aca="false">IF(F2054&gt;500,"Yüksek",IF(F2054&gt;100,"Orta","Düşük"))</f>
        <v>Orta</v>
      </c>
    </row>
    <row r="2055" customFormat="false" ht="12.8" hidden="false" customHeight="false" outlineLevel="0" collapsed="false">
      <c r="A2055" s="4" t="s">
        <v>14</v>
      </c>
      <c r="B2055" s="4" t="s">
        <v>15</v>
      </c>
      <c r="C2055" s="4" t="n">
        <v>15</v>
      </c>
      <c r="D2055" s="5" t="n">
        <v>35.25</v>
      </c>
      <c r="E2055" s="6" t="n">
        <f aca="false">DATE(2024,1,9)</f>
        <v>45300</v>
      </c>
      <c r="F2055" s="7" t="n">
        <f aca="false">C2055*D2055</f>
        <v>528.75</v>
      </c>
      <c r="G2055" s="7" t="n">
        <f aca="false">ROUND(F2055*0.2,2)</f>
        <v>105.75</v>
      </c>
      <c r="H2055" s="4" t="str">
        <f aca="false">IF(F2055&gt;500,"Yüksek",IF(F2055&gt;100,"Orta","Düşük"))</f>
        <v>Yüksek</v>
      </c>
    </row>
    <row r="2056" customFormat="false" ht="12.8" hidden="false" customHeight="false" outlineLevel="0" collapsed="false">
      <c r="A2056" s="4" t="s">
        <v>16</v>
      </c>
      <c r="B2056" s="4" t="s">
        <v>17</v>
      </c>
      <c r="C2056" s="4" t="n">
        <v>22</v>
      </c>
      <c r="D2056" s="5" t="n">
        <v>38</v>
      </c>
      <c r="E2056" s="6" t="n">
        <f aca="false">DATE(2024,2,10)</f>
        <v>45332</v>
      </c>
      <c r="F2056" s="7" t="n">
        <f aca="false">C2056*D2056</f>
        <v>836</v>
      </c>
      <c r="G2056" s="7" t="n">
        <f aca="false">ROUND(F2056*0.2,2)</f>
        <v>167.2</v>
      </c>
      <c r="H2056" s="4" t="str">
        <f aca="false">IF(F2056&gt;500,"Yüksek",IF(F2056&gt;100,"Orta","Düşük"))</f>
        <v>Yüksek</v>
      </c>
    </row>
    <row r="2057" customFormat="false" ht="12.8" hidden="false" customHeight="false" outlineLevel="0" collapsed="false">
      <c r="A2057" s="4" t="s">
        <v>18</v>
      </c>
      <c r="B2057" s="4" t="s">
        <v>19</v>
      </c>
      <c r="C2057" s="4" t="n">
        <v>29</v>
      </c>
      <c r="D2057" s="5" t="n">
        <v>5</v>
      </c>
      <c r="E2057" s="6" t="n">
        <f aca="false">DATE(2024,3,11)</f>
        <v>45362</v>
      </c>
      <c r="F2057" s="7" t="n">
        <f aca="false">C2057*D2057</f>
        <v>145</v>
      </c>
      <c r="G2057" s="7" t="n">
        <f aca="false">ROUND(F2057*0.2,2)</f>
        <v>29</v>
      </c>
      <c r="H2057" s="4" t="str">
        <f aca="false">IF(F2057&gt;500,"Yüksek",IF(F2057&gt;100,"Orta","Düşük"))</f>
        <v>Orta</v>
      </c>
    </row>
    <row r="2058" customFormat="false" ht="12.8" hidden="false" customHeight="false" outlineLevel="0" collapsed="false">
      <c r="A2058" s="4" t="s">
        <v>20</v>
      </c>
      <c r="B2058" s="4" t="s">
        <v>11</v>
      </c>
      <c r="C2058" s="4" t="n">
        <v>36</v>
      </c>
      <c r="D2058" s="5" t="n">
        <v>7.75</v>
      </c>
      <c r="E2058" s="6" t="n">
        <f aca="false">DATE(2024,4,12)</f>
        <v>45394</v>
      </c>
      <c r="F2058" s="7" t="n">
        <f aca="false">C2058*D2058</f>
        <v>279</v>
      </c>
      <c r="G2058" s="7" t="n">
        <f aca="false">ROUND(F2058*0.2,2)</f>
        <v>55.8</v>
      </c>
      <c r="H2058" s="4" t="str">
        <f aca="false">IF(F2058&gt;500,"Yüksek",IF(F2058&gt;100,"Orta","Düşük"))</f>
        <v>Orta</v>
      </c>
    </row>
    <row r="2059" customFormat="false" ht="12.8" hidden="false" customHeight="false" outlineLevel="0" collapsed="false">
      <c r="A2059" s="4" t="s">
        <v>21</v>
      </c>
      <c r="B2059" s="4" t="s">
        <v>13</v>
      </c>
      <c r="C2059" s="4" t="n">
        <v>43</v>
      </c>
      <c r="D2059" s="5" t="n">
        <v>10.5</v>
      </c>
      <c r="E2059" s="6" t="n">
        <f aca="false">DATE(2024,5,13)</f>
        <v>45425</v>
      </c>
      <c r="F2059" s="7" t="n">
        <f aca="false">C2059*D2059</f>
        <v>451.5</v>
      </c>
      <c r="G2059" s="7" t="n">
        <f aca="false">ROUND(F2059*0.2,2)</f>
        <v>90.3</v>
      </c>
      <c r="H2059" s="4" t="str">
        <f aca="false">IF(F2059&gt;500,"Yüksek",IF(F2059&gt;100,"Orta","Düşük"))</f>
        <v>Orta</v>
      </c>
    </row>
    <row r="2060" customFormat="false" ht="12.8" hidden="false" customHeight="false" outlineLevel="0" collapsed="false">
      <c r="A2060" s="4" t="s">
        <v>22</v>
      </c>
      <c r="B2060" s="4" t="s">
        <v>15</v>
      </c>
      <c r="C2060" s="4" t="n">
        <v>50</v>
      </c>
      <c r="D2060" s="5" t="n">
        <v>13.25</v>
      </c>
      <c r="E2060" s="6" t="n">
        <f aca="false">DATE(2024,6,14)</f>
        <v>45457</v>
      </c>
      <c r="F2060" s="7" t="n">
        <f aca="false">C2060*D2060</f>
        <v>662.5</v>
      </c>
      <c r="G2060" s="7" t="n">
        <f aca="false">ROUND(F2060*0.2,2)</f>
        <v>132.5</v>
      </c>
      <c r="H2060" s="4" t="str">
        <f aca="false">IF(F2060&gt;500,"Yüksek",IF(F2060&gt;100,"Orta","Düşük"))</f>
        <v>Yüksek</v>
      </c>
    </row>
    <row r="2061" customFormat="false" ht="12.8" hidden="false" customHeight="false" outlineLevel="0" collapsed="false">
      <c r="A2061" s="4" t="s">
        <v>23</v>
      </c>
      <c r="B2061" s="4" t="s">
        <v>17</v>
      </c>
      <c r="C2061" s="4" t="n">
        <v>7</v>
      </c>
      <c r="D2061" s="5" t="n">
        <v>16</v>
      </c>
      <c r="E2061" s="6" t="n">
        <f aca="false">DATE(2024,7,15)</f>
        <v>45488</v>
      </c>
      <c r="F2061" s="7" t="n">
        <f aca="false">C2061*D2061</f>
        <v>112</v>
      </c>
      <c r="G2061" s="7" t="n">
        <f aca="false">ROUND(F2061*0.2,2)</f>
        <v>22.4</v>
      </c>
      <c r="H2061" s="4" t="str">
        <f aca="false">IF(F2061&gt;500,"Yüksek",IF(F2061&gt;100,"Orta","Düşük"))</f>
        <v>Orta</v>
      </c>
    </row>
    <row r="2062" customFormat="false" ht="12.8" hidden="false" customHeight="false" outlineLevel="0" collapsed="false">
      <c r="A2062" s="4" t="s">
        <v>24</v>
      </c>
      <c r="B2062" s="4" t="s">
        <v>19</v>
      </c>
      <c r="C2062" s="4" t="n">
        <v>14</v>
      </c>
      <c r="D2062" s="5" t="n">
        <v>18.75</v>
      </c>
      <c r="E2062" s="6" t="n">
        <f aca="false">DATE(2024,8,16)</f>
        <v>45520</v>
      </c>
      <c r="F2062" s="7" t="n">
        <f aca="false">C2062*D2062</f>
        <v>262.5</v>
      </c>
      <c r="G2062" s="7" t="n">
        <f aca="false">ROUND(F2062*0.2,2)</f>
        <v>52.5</v>
      </c>
      <c r="H2062" s="4" t="str">
        <f aca="false">IF(F2062&gt;500,"Yüksek",IF(F2062&gt;100,"Orta","Düşük"))</f>
        <v>Orta</v>
      </c>
    </row>
    <row r="2063" customFormat="false" ht="12.8" hidden="false" customHeight="false" outlineLevel="0" collapsed="false">
      <c r="A2063" s="4" t="s">
        <v>10</v>
      </c>
      <c r="B2063" s="4" t="s">
        <v>11</v>
      </c>
      <c r="C2063" s="4" t="n">
        <v>21</v>
      </c>
      <c r="D2063" s="5" t="n">
        <v>21.5</v>
      </c>
      <c r="E2063" s="6" t="n">
        <f aca="false">DATE(2024,9,17)</f>
        <v>45552</v>
      </c>
      <c r="F2063" s="7" t="n">
        <f aca="false">C2063*D2063</f>
        <v>451.5</v>
      </c>
      <c r="G2063" s="7" t="n">
        <f aca="false">ROUND(F2063*0.2,2)</f>
        <v>90.3</v>
      </c>
      <c r="H2063" s="4" t="str">
        <f aca="false">IF(F2063&gt;500,"Yüksek",IF(F2063&gt;100,"Orta","Düşük"))</f>
        <v>Orta</v>
      </c>
    </row>
    <row r="2064" customFormat="false" ht="12.8" hidden="false" customHeight="false" outlineLevel="0" collapsed="false">
      <c r="A2064" s="4" t="s">
        <v>12</v>
      </c>
      <c r="B2064" s="4" t="s">
        <v>13</v>
      </c>
      <c r="C2064" s="4" t="n">
        <v>28</v>
      </c>
      <c r="D2064" s="5" t="n">
        <v>24.25</v>
      </c>
      <c r="E2064" s="6" t="n">
        <f aca="false">DATE(2024,10,18)</f>
        <v>45583</v>
      </c>
      <c r="F2064" s="7" t="n">
        <f aca="false">C2064*D2064</f>
        <v>679</v>
      </c>
      <c r="G2064" s="7" t="n">
        <f aca="false">ROUND(F2064*0.2,2)</f>
        <v>135.8</v>
      </c>
      <c r="H2064" s="4" t="str">
        <f aca="false">IF(F2064&gt;500,"Yüksek",IF(F2064&gt;100,"Orta","Düşük"))</f>
        <v>Yüksek</v>
      </c>
    </row>
    <row r="2065" customFormat="false" ht="12.8" hidden="false" customHeight="false" outlineLevel="0" collapsed="false">
      <c r="A2065" s="4" t="s">
        <v>14</v>
      </c>
      <c r="B2065" s="4" t="s">
        <v>15</v>
      </c>
      <c r="C2065" s="4" t="n">
        <v>35</v>
      </c>
      <c r="D2065" s="5" t="n">
        <v>27</v>
      </c>
      <c r="E2065" s="6" t="n">
        <f aca="false">DATE(2024,11,19)</f>
        <v>45615</v>
      </c>
      <c r="F2065" s="7" t="n">
        <f aca="false">C2065*D2065</f>
        <v>945</v>
      </c>
      <c r="G2065" s="7" t="n">
        <f aca="false">ROUND(F2065*0.2,2)</f>
        <v>189</v>
      </c>
      <c r="H2065" s="4" t="str">
        <f aca="false">IF(F2065&gt;500,"Yüksek",IF(F2065&gt;100,"Orta","Düşük"))</f>
        <v>Yüksek</v>
      </c>
    </row>
    <row r="2066" customFormat="false" ht="12.8" hidden="false" customHeight="false" outlineLevel="0" collapsed="false">
      <c r="A2066" s="4" t="s">
        <v>16</v>
      </c>
      <c r="B2066" s="4" t="s">
        <v>17</v>
      </c>
      <c r="C2066" s="4" t="n">
        <v>42</v>
      </c>
      <c r="D2066" s="5" t="n">
        <v>29.75</v>
      </c>
      <c r="E2066" s="6" t="n">
        <f aca="false">DATE(2024,12,20)</f>
        <v>45646</v>
      </c>
      <c r="F2066" s="7" t="n">
        <f aca="false">C2066*D2066</f>
        <v>1249.5</v>
      </c>
      <c r="G2066" s="7" t="n">
        <f aca="false">ROUND(F2066*0.2,2)</f>
        <v>249.9</v>
      </c>
      <c r="H2066" s="4" t="str">
        <f aca="false">IF(F2066&gt;500,"Yüksek",IF(F2066&gt;100,"Orta","Düşük"))</f>
        <v>Yüksek</v>
      </c>
    </row>
    <row r="2067" customFormat="false" ht="12.8" hidden="false" customHeight="false" outlineLevel="0" collapsed="false">
      <c r="A2067" s="4" t="s">
        <v>18</v>
      </c>
      <c r="B2067" s="4" t="s">
        <v>19</v>
      </c>
      <c r="C2067" s="4" t="n">
        <v>49</v>
      </c>
      <c r="D2067" s="5" t="n">
        <v>32.5</v>
      </c>
      <c r="E2067" s="6" t="n">
        <f aca="false">DATE(2024,1,21)</f>
        <v>45312</v>
      </c>
      <c r="F2067" s="7" t="n">
        <f aca="false">C2067*D2067</f>
        <v>1592.5</v>
      </c>
      <c r="G2067" s="7" t="n">
        <f aca="false">ROUND(F2067*0.2,2)</f>
        <v>318.5</v>
      </c>
      <c r="H2067" s="4" t="str">
        <f aca="false">IF(F2067&gt;500,"Yüksek",IF(F2067&gt;100,"Orta","Düşük"))</f>
        <v>Yüksek</v>
      </c>
    </row>
    <row r="2068" customFormat="false" ht="12.8" hidden="false" customHeight="false" outlineLevel="0" collapsed="false">
      <c r="A2068" s="4" t="s">
        <v>20</v>
      </c>
      <c r="B2068" s="4" t="s">
        <v>11</v>
      </c>
      <c r="C2068" s="4" t="n">
        <v>6</v>
      </c>
      <c r="D2068" s="5" t="n">
        <v>35.25</v>
      </c>
      <c r="E2068" s="6" t="n">
        <f aca="false">DATE(2024,2,22)</f>
        <v>45344</v>
      </c>
      <c r="F2068" s="7" t="n">
        <f aca="false">C2068*D2068</f>
        <v>211.5</v>
      </c>
      <c r="G2068" s="7" t="n">
        <f aca="false">ROUND(F2068*0.2,2)</f>
        <v>42.3</v>
      </c>
      <c r="H2068" s="4" t="str">
        <f aca="false">IF(F2068&gt;500,"Yüksek",IF(F2068&gt;100,"Orta","Düşük"))</f>
        <v>Orta</v>
      </c>
    </row>
    <row r="2069" customFormat="false" ht="12.8" hidden="false" customHeight="false" outlineLevel="0" collapsed="false">
      <c r="A2069" s="4" t="s">
        <v>21</v>
      </c>
      <c r="B2069" s="4" t="s">
        <v>13</v>
      </c>
      <c r="C2069" s="4" t="n">
        <v>13</v>
      </c>
      <c r="D2069" s="5" t="n">
        <v>38</v>
      </c>
      <c r="E2069" s="6" t="n">
        <f aca="false">DATE(2024,3,23)</f>
        <v>45374</v>
      </c>
      <c r="F2069" s="7" t="n">
        <f aca="false">C2069*D2069</f>
        <v>494</v>
      </c>
      <c r="G2069" s="7" t="n">
        <f aca="false">ROUND(F2069*0.2,2)</f>
        <v>98.8</v>
      </c>
      <c r="H2069" s="4" t="str">
        <f aca="false">IF(F2069&gt;500,"Yüksek",IF(F2069&gt;100,"Orta","Düşük"))</f>
        <v>Orta</v>
      </c>
    </row>
    <row r="2070" customFormat="false" ht="12.8" hidden="false" customHeight="false" outlineLevel="0" collapsed="false">
      <c r="A2070" s="4" t="s">
        <v>22</v>
      </c>
      <c r="B2070" s="4" t="s">
        <v>15</v>
      </c>
      <c r="C2070" s="4" t="n">
        <v>20</v>
      </c>
      <c r="D2070" s="5" t="n">
        <v>5</v>
      </c>
      <c r="E2070" s="6" t="n">
        <f aca="false">DATE(2024,4,24)</f>
        <v>45406</v>
      </c>
      <c r="F2070" s="7" t="n">
        <f aca="false">C2070*D2070</f>
        <v>100</v>
      </c>
      <c r="G2070" s="7" t="n">
        <f aca="false">ROUND(F2070*0.2,2)</f>
        <v>20</v>
      </c>
      <c r="H2070" s="4" t="str">
        <f aca="false">IF(F2070&gt;500,"Yüksek",IF(F2070&gt;100,"Orta","Düşük"))</f>
        <v>Düşük</v>
      </c>
    </row>
    <row r="2071" customFormat="false" ht="12.8" hidden="false" customHeight="false" outlineLevel="0" collapsed="false">
      <c r="A2071" s="4" t="s">
        <v>23</v>
      </c>
      <c r="B2071" s="4" t="s">
        <v>17</v>
      </c>
      <c r="C2071" s="4" t="n">
        <v>27</v>
      </c>
      <c r="D2071" s="5" t="n">
        <v>7.75</v>
      </c>
      <c r="E2071" s="6" t="n">
        <f aca="false">DATE(2024,5,25)</f>
        <v>45437</v>
      </c>
      <c r="F2071" s="7" t="n">
        <f aca="false">C2071*D2071</f>
        <v>209.25</v>
      </c>
      <c r="G2071" s="7" t="n">
        <f aca="false">ROUND(F2071*0.2,2)</f>
        <v>41.85</v>
      </c>
      <c r="H2071" s="4" t="str">
        <f aca="false">IF(F2071&gt;500,"Yüksek",IF(F2071&gt;100,"Orta","Düşük"))</f>
        <v>Orta</v>
      </c>
    </row>
    <row r="2072" customFormat="false" ht="12.8" hidden="false" customHeight="false" outlineLevel="0" collapsed="false">
      <c r="A2072" s="4" t="s">
        <v>24</v>
      </c>
      <c r="B2072" s="4" t="s">
        <v>19</v>
      </c>
      <c r="C2072" s="4" t="n">
        <v>34</v>
      </c>
      <c r="D2072" s="5" t="n">
        <v>10.5</v>
      </c>
      <c r="E2072" s="6" t="n">
        <f aca="false">DATE(2024,6,26)</f>
        <v>45469</v>
      </c>
      <c r="F2072" s="7" t="n">
        <f aca="false">C2072*D2072</f>
        <v>357</v>
      </c>
      <c r="G2072" s="7" t="n">
        <f aca="false">ROUND(F2072*0.2,2)</f>
        <v>71.4</v>
      </c>
      <c r="H2072" s="4" t="str">
        <f aca="false">IF(F2072&gt;500,"Yüksek",IF(F2072&gt;100,"Orta","Düşük"))</f>
        <v>Orta</v>
      </c>
    </row>
    <row r="2073" customFormat="false" ht="12.8" hidden="false" customHeight="false" outlineLevel="0" collapsed="false">
      <c r="A2073" s="4" t="s">
        <v>10</v>
      </c>
      <c r="B2073" s="4" t="s">
        <v>11</v>
      </c>
      <c r="C2073" s="4" t="n">
        <v>41</v>
      </c>
      <c r="D2073" s="5" t="n">
        <v>13.25</v>
      </c>
      <c r="E2073" s="6" t="n">
        <f aca="false">DATE(2024,7,27)</f>
        <v>45500</v>
      </c>
      <c r="F2073" s="7" t="n">
        <f aca="false">C2073*D2073</f>
        <v>543.25</v>
      </c>
      <c r="G2073" s="7" t="n">
        <f aca="false">ROUND(F2073*0.2,2)</f>
        <v>108.65</v>
      </c>
      <c r="H2073" s="4" t="str">
        <f aca="false">IF(F2073&gt;500,"Yüksek",IF(F2073&gt;100,"Orta","Düşük"))</f>
        <v>Yüksek</v>
      </c>
    </row>
    <row r="2074" customFormat="false" ht="12.8" hidden="false" customHeight="false" outlineLevel="0" collapsed="false">
      <c r="A2074" s="4" t="s">
        <v>12</v>
      </c>
      <c r="B2074" s="4" t="s">
        <v>13</v>
      </c>
      <c r="C2074" s="4" t="n">
        <v>48</v>
      </c>
      <c r="D2074" s="5" t="n">
        <v>16</v>
      </c>
      <c r="E2074" s="6" t="n">
        <f aca="false">DATE(2024,8,28)</f>
        <v>45532</v>
      </c>
      <c r="F2074" s="7" t="n">
        <f aca="false">C2074*D2074</f>
        <v>768</v>
      </c>
      <c r="G2074" s="7" t="n">
        <f aca="false">ROUND(F2074*0.2,2)</f>
        <v>153.6</v>
      </c>
      <c r="H2074" s="4" t="str">
        <f aca="false">IF(F2074&gt;500,"Yüksek",IF(F2074&gt;100,"Orta","Düşük"))</f>
        <v>Yüksek</v>
      </c>
    </row>
    <row r="2075" customFormat="false" ht="12.8" hidden="false" customHeight="false" outlineLevel="0" collapsed="false">
      <c r="A2075" s="4" t="s">
        <v>14</v>
      </c>
      <c r="B2075" s="4" t="s">
        <v>15</v>
      </c>
      <c r="C2075" s="4" t="n">
        <v>5</v>
      </c>
      <c r="D2075" s="5" t="n">
        <v>18.75</v>
      </c>
      <c r="E2075" s="6" t="n">
        <f aca="false">DATE(2024,9,1)</f>
        <v>45536</v>
      </c>
      <c r="F2075" s="7" t="n">
        <f aca="false">C2075*D2075</f>
        <v>93.75</v>
      </c>
      <c r="G2075" s="7" t="n">
        <f aca="false">ROUND(F2075*0.2,2)</f>
        <v>18.75</v>
      </c>
      <c r="H2075" s="4" t="str">
        <f aca="false">IF(F2075&gt;500,"Yüksek",IF(F2075&gt;100,"Orta","Düşük"))</f>
        <v>Düşük</v>
      </c>
    </row>
    <row r="2076" customFormat="false" ht="12.8" hidden="false" customHeight="false" outlineLevel="0" collapsed="false">
      <c r="A2076" s="4" t="s">
        <v>16</v>
      </c>
      <c r="B2076" s="4" t="s">
        <v>17</v>
      </c>
      <c r="C2076" s="4" t="n">
        <v>12</v>
      </c>
      <c r="D2076" s="5" t="n">
        <v>21.5</v>
      </c>
      <c r="E2076" s="6" t="n">
        <f aca="false">DATE(2024,10,2)</f>
        <v>45567</v>
      </c>
      <c r="F2076" s="7" t="n">
        <f aca="false">C2076*D2076</f>
        <v>258</v>
      </c>
      <c r="G2076" s="7" t="n">
        <f aca="false">ROUND(F2076*0.2,2)</f>
        <v>51.6</v>
      </c>
      <c r="H2076" s="4" t="str">
        <f aca="false">IF(F2076&gt;500,"Yüksek",IF(F2076&gt;100,"Orta","Düşük"))</f>
        <v>Orta</v>
      </c>
    </row>
    <row r="2077" customFormat="false" ht="12.8" hidden="false" customHeight="false" outlineLevel="0" collapsed="false">
      <c r="A2077" s="4" t="s">
        <v>18</v>
      </c>
      <c r="B2077" s="4" t="s">
        <v>19</v>
      </c>
      <c r="C2077" s="4" t="n">
        <v>19</v>
      </c>
      <c r="D2077" s="5" t="n">
        <v>24.25</v>
      </c>
      <c r="E2077" s="6" t="n">
        <f aca="false">DATE(2024,11,3)</f>
        <v>45599</v>
      </c>
      <c r="F2077" s="7" t="n">
        <f aca="false">C2077*D2077</f>
        <v>460.75</v>
      </c>
      <c r="G2077" s="7" t="n">
        <f aca="false">ROUND(F2077*0.2,2)</f>
        <v>92.15</v>
      </c>
      <c r="H2077" s="4" t="str">
        <f aca="false">IF(F2077&gt;500,"Yüksek",IF(F2077&gt;100,"Orta","Düşük"))</f>
        <v>Orta</v>
      </c>
    </row>
    <row r="2078" customFormat="false" ht="12.8" hidden="false" customHeight="false" outlineLevel="0" collapsed="false">
      <c r="A2078" s="4" t="s">
        <v>20</v>
      </c>
      <c r="B2078" s="4" t="s">
        <v>11</v>
      </c>
      <c r="C2078" s="4" t="n">
        <v>26</v>
      </c>
      <c r="D2078" s="5" t="n">
        <v>27</v>
      </c>
      <c r="E2078" s="6" t="n">
        <f aca="false">DATE(2024,12,4)</f>
        <v>45630</v>
      </c>
      <c r="F2078" s="7" t="n">
        <f aca="false">C2078*D2078</f>
        <v>702</v>
      </c>
      <c r="G2078" s="7" t="n">
        <f aca="false">ROUND(F2078*0.2,2)</f>
        <v>140.4</v>
      </c>
      <c r="H2078" s="4" t="str">
        <f aca="false">IF(F2078&gt;500,"Yüksek",IF(F2078&gt;100,"Orta","Düşük"))</f>
        <v>Yüksek</v>
      </c>
    </row>
    <row r="2079" customFormat="false" ht="12.8" hidden="false" customHeight="false" outlineLevel="0" collapsed="false">
      <c r="A2079" s="4" t="s">
        <v>21</v>
      </c>
      <c r="B2079" s="4" t="s">
        <v>13</v>
      </c>
      <c r="C2079" s="4" t="n">
        <v>33</v>
      </c>
      <c r="D2079" s="5" t="n">
        <v>29.75</v>
      </c>
      <c r="E2079" s="6" t="n">
        <f aca="false">DATE(2024,1,5)</f>
        <v>45296</v>
      </c>
      <c r="F2079" s="7" t="n">
        <f aca="false">C2079*D2079</f>
        <v>981.75</v>
      </c>
      <c r="G2079" s="7" t="n">
        <f aca="false">ROUND(F2079*0.2,2)</f>
        <v>196.35</v>
      </c>
      <c r="H2079" s="4" t="str">
        <f aca="false">IF(F2079&gt;500,"Yüksek",IF(F2079&gt;100,"Orta","Düşük"))</f>
        <v>Yüksek</v>
      </c>
    </row>
    <row r="2080" customFormat="false" ht="12.8" hidden="false" customHeight="false" outlineLevel="0" collapsed="false">
      <c r="A2080" s="4" t="s">
        <v>22</v>
      </c>
      <c r="B2080" s="4" t="s">
        <v>15</v>
      </c>
      <c r="C2080" s="4" t="n">
        <v>40</v>
      </c>
      <c r="D2080" s="5" t="n">
        <v>32.5</v>
      </c>
      <c r="E2080" s="6" t="n">
        <f aca="false">DATE(2024,2,6)</f>
        <v>45328</v>
      </c>
      <c r="F2080" s="7" t="n">
        <f aca="false">C2080*D2080</f>
        <v>1300</v>
      </c>
      <c r="G2080" s="7" t="n">
        <f aca="false">ROUND(F2080*0.2,2)</f>
        <v>260</v>
      </c>
      <c r="H2080" s="4" t="str">
        <f aca="false">IF(F2080&gt;500,"Yüksek",IF(F2080&gt;100,"Orta","Düşük"))</f>
        <v>Yüksek</v>
      </c>
    </row>
    <row r="2081" customFormat="false" ht="12.8" hidden="false" customHeight="false" outlineLevel="0" collapsed="false">
      <c r="A2081" s="4" t="s">
        <v>23</v>
      </c>
      <c r="B2081" s="4" t="s">
        <v>17</v>
      </c>
      <c r="C2081" s="4" t="n">
        <v>47</v>
      </c>
      <c r="D2081" s="5" t="n">
        <v>35.25</v>
      </c>
      <c r="E2081" s="6" t="n">
        <f aca="false">DATE(2024,3,7)</f>
        <v>45358</v>
      </c>
      <c r="F2081" s="7" t="n">
        <f aca="false">C2081*D2081</f>
        <v>1656.75</v>
      </c>
      <c r="G2081" s="7" t="n">
        <f aca="false">ROUND(F2081*0.2,2)</f>
        <v>331.35</v>
      </c>
      <c r="H2081" s="4" t="str">
        <f aca="false">IF(F2081&gt;500,"Yüksek",IF(F2081&gt;100,"Orta","Düşük"))</f>
        <v>Yüksek</v>
      </c>
    </row>
    <row r="2082" customFormat="false" ht="12.8" hidden="false" customHeight="false" outlineLevel="0" collapsed="false">
      <c r="A2082" s="4" t="s">
        <v>24</v>
      </c>
      <c r="B2082" s="4" t="s">
        <v>19</v>
      </c>
      <c r="C2082" s="4" t="n">
        <v>4</v>
      </c>
      <c r="D2082" s="5" t="n">
        <v>38</v>
      </c>
      <c r="E2082" s="6" t="n">
        <f aca="false">DATE(2024,4,8)</f>
        <v>45390</v>
      </c>
      <c r="F2082" s="7" t="n">
        <f aca="false">C2082*D2082</f>
        <v>152</v>
      </c>
      <c r="G2082" s="7" t="n">
        <f aca="false">ROUND(F2082*0.2,2)</f>
        <v>30.4</v>
      </c>
      <c r="H2082" s="4" t="str">
        <f aca="false">IF(F2082&gt;500,"Yüksek",IF(F2082&gt;100,"Orta","Düşük"))</f>
        <v>Orta</v>
      </c>
    </row>
    <row r="2083" customFormat="false" ht="12.8" hidden="false" customHeight="false" outlineLevel="0" collapsed="false">
      <c r="A2083" s="4" t="s">
        <v>10</v>
      </c>
      <c r="B2083" s="4" t="s">
        <v>11</v>
      </c>
      <c r="C2083" s="4" t="n">
        <v>11</v>
      </c>
      <c r="D2083" s="5" t="n">
        <v>5</v>
      </c>
      <c r="E2083" s="6" t="n">
        <f aca="false">DATE(2024,5,9)</f>
        <v>45421</v>
      </c>
      <c r="F2083" s="7" t="n">
        <f aca="false">C2083*D2083</f>
        <v>55</v>
      </c>
      <c r="G2083" s="7" t="n">
        <f aca="false">ROUND(F2083*0.2,2)</f>
        <v>11</v>
      </c>
      <c r="H2083" s="4" t="str">
        <f aca="false">IF(F2083&gt;500,"Yüksek",IF(F2083&gt;100,"Orta","Düşük"))</f>
        <v>Düşük</v>
      </c>
    </row>
    <row r="2084" customFormat="false" ht="12.8" hidden="false" customHeight="false" outlineLevel="0" collapsed="false">
      <c r="A2084" s="4" t="s">
        <v>12</v>
      </c>
      <c r="B2084" s="4" t="s">
        <v>13</v>
      </c>
      <c r="C2084" s="4" t="n">
        <v>18</v>
      </c>
      <c r="D2084" s="5" t="n">
        <v>7.75</v>
      </c>
      <c r="E2084" s="6" t="n">
        <f aca="false">DATE(2024,6,10)</f>
        <v>45453</v>
      </c>
      <c r="F2084" s="7" t="n">
        <f aca="false">C2084*D2084</f>
        <v>139.5</v>
      </c>
      <c r="G2084" s="7" t="n">
        <f aca="false">ROUND(F2084*0.2,2)</f>
        <v>27.9</v>
      </c>
      <c r="H2084" s="4" t="str">
        <f aca="false">IF(F2084&gt;500,"Yüksek",IF(F2084&gt;100,"Orta","Düşük"))</f>
        <v>Orta</v>
      </c>
    </row>
    <row r="2085" customFormat="false" ht="12.8" hidden="false" customHeight="false" outlineLevel="0" collapsed="false">
      <c r="A2085" s="4" t="s">
        <v>14</v>
      </c>
      <c r="B2085" s="4" t="s">
        <v>15</v>
      </c>
      <c r="C2085" s="4" t="n">
        <v>25</v>
      </c>
      <c r="D2085" s="5" t="n">
        <v>10.5</v>
      </c>
      <c r="E2085" s="6" t="n">
        <f aca="false">DATE(2024,7,11)</f>
        <v>45484</v>
      </c>
      <c r="F2085" s="7" t="n">
        <f aca="false">C2085*D2085</f>
        <v>262.5</v>
      </c>
      <c r="G2085" s="7" t="n">
        <f aca="false">ROUND(F2085*0.2,2)</f>
        <v>52.5</v>
      </c>
      <c r="H2085" s="4" t="str">
        <f aca="false">IF(F2085&gt;500,"Yüksek",IF(F2085&gt;100,"Orta","Düşük"))</f>
        <v>Orta</v>
      </c>
    </row>
    <row r="2086" customFormat="false" ht="12.8" hidden="false" customHeight="false" outlineLevel="0" collapsed="false">
      <c r="A2086" s="4" t="s">
        <v>16</v>
      </c>
      <c r="B2086" s="4" t="s">
        <v>17</v>
      </c>
      <c r="C2086" s="4" t="n">
        <v>32</v>
      </c>
      <c r="D2086" s="5" t="n">
        <v>13.25</v>
      </c>
      <c r="E2086" s="6" t="n">
        <f aca="false">DATE(2024,8,12)</f>
        <v>45516</v>
      </c>
      <c r="F2086" s="7" t="n">
        <f aca="false">C2086*D2086</f>
        <v>424</v>
      </c>
      <c r="G2086" s="7" t="n">
        <f aca="false">ROUND(F2086*0.2,2)</f>
        <v>84.8</v>
      </c>
      <c r="H2086" s="4" t="str">
        <f aca="false">IF(F2086&gt;500,"Yüksek",IF(F2086&gt;100,"Orta","Düşük"))</f>
        <v>Orta</v>
      </c>
    </row>
    <row r="2087" customFormat="false" ht="12.8" hidden="false" customHeight="false" outlineLevel="0" collapsed="false">
      <c r="A2087" s="4" t="s">
        <v>18</v>
      </c>
      <c r="B2087" s="4" t="s">
        <v>19</v>
      </c>
      <c r="C2087" s="4" t="n">
        <v>39</v>
      </c>
      <c r="D2087" s="5" t="n">
        <v>16</v>
      </c>
      <c r="E2087" s="6" t="n">
        <f aca="false">DATE(2024,9,13)</f>
        <v>45548</v>
      </c>
      <c r="F2087" s="7" t="n">
        <f aca="false">C2087*D2087</f>
        <v>624</v>
      </c>
      <c r="G2087" s="7" t="n">
        <f aca="false">ROUND(F2087*0.2,2)</f>
        <v>124.8</v>
      </c>
      <c r="H2087" s="4" t="str">
        <f aca="false">IF(F2087&gt;500,"Yüksek",IF(F2087&gt;100,"Orta","Düşük"))</f>
        <v>Yüksek</v>
      </c>
    </row>
    <row r="2088" customFormat="false" ht="12.8" hidden="false" customHeight="false" outlineLevel="0" collapsed="false">
      <c r="A2088" s="4" t="s">
        <v>20</v>
      </c>
      <c r="B2088" s="4" t="s">
        <v>11</v>
      </c>
      <c r="C2088" s="4" t="n">
        <v>46</v>
      </c>
      <c r="D2088" s="5" t="n">
        <v>18.75</v>
      </c>
      <c r="E2088" s="6" t="n">
        <f aca="false">DATE(2024,10,14)</f>
        <v>45579</v>
      </c>
      <c r="F2088" s="7" t="n">
        <f aca="false">C2088*D2088</f>
        <v>862.5</v>
      </c>
      <c r="G2088" s="7" t="n">
        <f aca="false">ROUND(F2088*0.2,2)</f>
        <v>172.5</v>
      </c>
      <c r="H2088" s="4" t="str">
        <f aca="false">IF(F2088&gt;500,"Yüksek",IF(F2088&gt;100,"Orta","Düşük"))</f>
        <v>Yüksek</v>
      </c>
    </row>
    <row r="2089" customFormat="false" ht="12.8" hidden="false" customHeight="false" outlineLevel="0" collapsed="false">
      <c r="A2089" s="4" t="s">
        <v>21</v>
      </c>
      <c r="B2089" s="4" t="s">
        <v>13</v>
      </c>
      <c r="C2089" s="4" t="n">
        <v>3</v>
      </c>
      <c r="D2089" s="5" t="n">
        <v>21.5</v>
      </c>
      <c r="E2089" s="6" t="n">
        <f aca="false">DATE(2024,11,15)</f>
        <v>45611</v>
      </c>
      <c r="F2089" s="7" t="n">
        <f aca="false">C2089*D2089</f>
        <v>64.5</v>
      </c>
      <c r="G2089" s="7" t="n">
        <f aca="false">ROUND(F2089*0.2,2)</f>
        <v>12.9</v>
      </c>
      <c r="H2089" s="4" t="str">
        <f aca="false">IF(F2089&gt;500,"Yüksek",IF(F2089&gt;100,"Orta","Düşük"))</f>
        <v>Düşük</v>
      </c>
    </row>
    <row r="2090" customFormat="false" ht="12.8" hidden="false" customHeight="false" outlineLevel="0" collapsed="false">
      <c r="A2090" s="4" t="s">
        <v>22</v>
      </c>
      <c r="B2090" s="4" t="s">
        <v>15</v>
      </c>
      <c r="C2090" s="4" t="n">
        <v>10</v>
      </c>
      <c r="D2090" s="5" t="n">
        <v>24.25</v>
      </c>
      <c r="E2090" s="6" t="n">
        <f aca="false">DATE(2024,12,16)</f>
        <v>45642</v>
      </c>
      <c r="F2090" s="7" t="n">
        <f aca="false">C2090*D2090</f>
        <v>242.5</v>
      </c>
      <c r="G2090" s="7" t="n">
        <f aca="false">ROUND(F2090*0.2,2)</f>
        <v>48.5</v>
      </c>
      <c r="H2090" s="4" t="str">
        <f aca="false">IF(F2090&gt;500,"Yüksek",IF(F2090&gt;100,"Orta","Düşük"))</f>
        <v>Orta</v>
      </c>
    </row>
    <row r="2091" customFormat="false" ht="12.8" hidden="false" customHeight="false" outlineLevel="0" collapsed="false">
      <c r="A2091" s="4" t="s">
        <v>23</v>
      </c>
      <c r="B2091" s="4" t="s">
        <v>17</v>
      </c>
      <c r="C2091" s="4" t="n">
        <v>17</v>
      </c>
      <c r="D2091" s="5" t="n">
        <v>27</v>
      </c>
      <c r="E2091" s="6" t="n">
        <f aca="false">DATE(2024,1,17)</f>
        <v>45308</v>
      </c>
      <c r="F2091" s="7" t="n">
        <f aca="false">C2091*D2091</f>
        <v>459</v>
      </c>
      <c r="G2091" s="7" t="n">
        <f aca="false">ROUND(F2091*0.2,2)</f>
        <v>91.8</v>
      </c>
      <c r="H2091" s="4" t="str">
        <f aca="false">IF(F2091&gt;500,"Yüksek",IF(F2091&gt;100,"Orta","Düşük"))</f>
        <v>Orta</v>
      </c>
    </row>
    <row r="2092" customFormat="false" ht="12.8" hidden="false" customHeight="false" outlineLevel="0" collapsed="false">
      <c r="A2092" s="4" t="s">
        <v>24</v>
      </c>
      <c r="B2092" s="4" t="s">
        <v>19</v>
      </c>
      <c r="C2092" s="4" t="n">
        <v>24</v>
      </c>
      <c r="D2092" s="5" t="n">
        <v>29.75</v>
      </c>
      <c r="E2092" s="6" t="n">
        <f aca="false">DATE(2024,2,18)</f>
        <v>45340</v>
      </c>
      <c r="F2092" s="7" t="n">
        <f aca="false">C2092*D2092</f>
        <v>714</v>
      </c>
      <c r="G2092" s="7" t="n">
        <f aca="false">ROUND(F2092*0.2,2)</f>
        <v>142.8</v>
      </c>
      <c r="H2092" s="4" t="str">
        <f aca="false">IF(F2092&gt;500,"Yüksek",IF(F2092&gt;100,"Orta","Düşük"))</f>
        <v>Yüksek</v>
      </c>
    </row>
    <row r="2093" customFormat="false" ht="12.8" hidden="false" customHeight="false" outlineLevel="0" collapsed="false">
      <c r="A2093" s="4" t="s">
        <v>10</v>
      </c>
      <c r="B2093" s="4" t="s">
        <v>11</v>
      </c>
      <c r="C2093" s="4" t="n">
        <v>31</v>
      </c>
      <c r="D2093" s="5" t="n">
        <v>32.5</v>
      </c>
      <c r="E2093" s="6" t="n">
        <f aca="false">DATE(2024,3,19)</f>
        <v>45370</v>
      </c>
      <c r="F2093" s="7" t="n">
        <f aca="false">C2093*D2093</f>
        <v>1007.5</v>
      </c>
      <c r="G2093" s="7" t="n">
        <f aca="false">ROUND(F2093*0.2,2)</f>
        <v>201.5</v>
      </c>
      <c r="H2093" s="4" t="str">
        <f aca="false">IF(F2093&gt;500,"Yüksek",IF(F2093&gt;100,"Orta","Düşük"))</f>
        <v>Yüksek</v>
      </c>
    </row>
    <row r="2094" customFormat="false" ht="12.8" hidden="false" customHeight="false" outlineLevel="0" collapsed="false">
      <c r="A2094" s="4" t="s">
        <v>12</v>
      </c>
      <c r="B2094" s="4" t="s">
        <v>13</v>
      </c>
      <c r="C2094" s="4" t="n">
        <v>38</v>
      </c>
      <c r="D2094" s="5" t="n">
        <v>35.25</v>
      </c>
      <c r="E2094" s="6" t="n">
        <f aca="false">DATE(2024,4,20)</f>
        <v>45402</v>
      </c>
      <c r="F2094" s="7" t="n">
        <f aca="false">C2094*D2094</f>
        <v>1339.5</v>
      </c>
      <c r="G2094" s="7" t="n">
        <f aca="false">ROUND(F2094*0.2,2)</f>
        <v>267.9</v>
      </c>
      <c r="H2094" s="4" t="str">
        <f aca="false">IF(F2094&gt;500,"Yüksek",IF(F2094&gt;100,"Orta","Düşük"))</f>
        <v>Yüksek</v>
      </c>
    </row>
    <row r="2095" customFormat="false" ht="12.8" hidden="false" customHeight="false" outlineLevel="0" collapsed="false">
      <c r="A2095" s="4" t="s">
        <v>14</v>
      </c>
      <c r="B2095" s="4" t="s">
        <v>15</v>
      </c>
      <c r="C2095" s="4" t="n">
        <v>45</v>
      </c>
      <c r="D2095" s="5" t="n">
        <v>38</v>
      </c>
      <c r="E2095" s="6" t="n">
        <f aca="false">DATE(2024,5,21)</f>
        <v>45433</v>
      </c>
      <c r="F2095" s="7" t="n">
        <f aca="false">C2095*D2095</f>
        <v>1710</v>
      </c>
      <c r="G2095" s="7" t="n">
        <f aca="false">ROUND(F2095*0.2,2)</f>
        <v>342</v>
      </c>
      <c r="H2095" s="4" t="str">
        <f aca="false">IF(F2095&gt;500,"Yüksek",IF(F2095&gt;100,"Orta","Düşük"))</f>
        <v>Yüksek</v>
      </c>
    </row>
    <row r="2096" customFormat="false" ht="12.8" hidden="false" customHeight="false" outlineLevel="0" collapsed="false">
      <c r="A2096" s="4" t="s">
        <v>16</v>
      </c>
      <c r="B2096" s="4" t="s">
        <v>17</v>
      </c>
      <c r="C2096" s="4" t="n">
        <v>2</v>
      </c>
      <c r="D2096" s="5" t="n">
        <v>5</v>
      </c>
      <c r="E2096" s="6" t="n">
        <f aca="false">DATE(2024,6,22)</f>
        <v>45465</v>
      </c>
      <c r="F2096" s="7" t="n">
        <f aca="false">C2096*D2096</f>
        <v>10</v>
      </c>
      <c r="G2096" s="7" t="n">
        <f aca="false">ROUND(F2096*0.2,2)</f>
        <v>2</v>
      </c>
      <c r="H2096" s="4" t="str">
        <f aca="false">IF(F2096&gt;500,"Yüksek",IF(F2096&gt;100,"Orta","Düşük"))</f>
        <v>Düşük</v>
      </c>
    </row>
    <row r="2097" customFormat="false" ht="12.8" hidden="false" customHeight="false" outlineLevel="0" collapsed="false">
      <c r="A2097" s="4" t="s">
        <v>18</v>
      </c>
      <c r="B2097" s="4" t="s">
        <v>19</v>
      </c>
      <c r="C2097" s="4" t="n">
        <v>9</v>
      </c>
      <c r="D2097" s="5" t="n">
        <v>7.75</v>
      </c>
      <c r="E2097" s="6" t="n">
        <f aca="false">DATE(2024,7,23)</f>
        <v>45496</v>
      </c>
      <c r="F2097" s="7" t="n">
        <f aca="false">C2097*D2097</f>
        <v>69.75</v>
      </c>
      <c r="G2097" s="7" t="n">
        <f aca="false">ROUND(F2097*0.2,2)</f>
        <v>13.95</v>
      </c>
      <c r="H2097" s="4" t="str">
        <f aca="false">IF(F2097&gt;500,"Yüksek",IF(F2097&gt;100,"Orta","Düşük"))</f>
        <v>Düşük</v>
      </c>
    </row>
    <row r="2098" customFormat="false" ht="12.8" hidden="false" customHeight="false" outlineLevel="0" collapsed="false">
      <c r="A2098" s="4" t="s">
        <v>20</v>
      </c>
      <c r="B2098" s="4" t="s">
        <v>11</v>
      </c>
      <c r="C2098" s="4" t="n">
        <v>16</v>
      </c>
      <c r="D2098" s="5" t="n">
        <v>10.5</v>
      </c>
      <c r="E2098" s="6" t="n">
        <f aca="false">DATE(2024,8,24)</f>
        <v>45528</v>
      </c>
      <c r="F2098" s="7" t="n">
        <f aca="false">C2098*D2098</f>
        <v>168</v>
      </c>
      <c r="G2098" s="7" t="n">
        <f aca="false">ROUND(F2098*0.2,2)</f>
        <v>33.6</v>
      </c>
      <c r="H2098" s="4" t="str">
        <f aca="false">IF(F2098&gt;500,"Yüksek",IF(F2098&gt;100,"Orta","Düşük"))</f>
        <v>Orta</v>
      </c>
    </row>
    <row r="2099" customFormat="false" ht="12.8" hidden="false" customHeight="false" outlineLevel="0" collapsed="false">
      <c r="A2099" s="4" t="s">
        <v>21</v>
      </c>
      <c r="B2099" s="4" t="s">
        <v>13</v>
      </c>
      <c r="C2099" s="4" t="n">
        <v>23</v>
      </c>
      <c r="D2099" s="5" t="n">
        <v>13.25</v>
      </c>
      <c r="E2099" s="6" t="n">
        <f aca="false">DATE(2024,9,25)</f>
        <v>45560</v>
      </c>
      <c r="F2099" s="7" t="n">
        <f aca="false">C2099*D2099</f>
        <v>304.75</v>
      </c>
      <c r="G2099" s="7" t="n">
        <f aca="false">ROUND(F2099*0.2,2)</f>
        <v>60.95</v>
      </c>
      <c r="H2099" s="4" t="str">
        <f aca="false">IF(F2099&gt;500,"Yüksek",IF(F2099&gt;100,"Orta","Düşük"))</f>
        <v>Orta</v>
      </c>
    </row>
    <row r="2100" customFormat="false" ht="12.8" hidden="false" customHeight="false" outlineLevel="0" collapsed="false">
      <c r="A2100" s="4" t="s">
        <v>22</v>
      </c>
      <c r="B2100" s="4" t="s">
        <v>15</v>
      </c>
      <c r="C2100" s="4" t="n">
        <v>30</v>
      </c>
      <c r="D2100" s="5" t="n">
        <v>16</v>
      </c>
      <c r="E2100" s="6" t="n">
        <f aca="false">DATE(2024,10,26)</f>
        <v>45591</v>
      </c>
      <c r="F2100" s="7" t="n">
        <f aca="false">C2100*D2100</f>
        <v>480</v>
      </c>
      <c r="G2100" s="7" t="n">
        <f aca="false">ROUND(F2100*0.2,2)</f>
        <v>96</v>
      </c>
      <c r="H2100" s="4" t="str">
        <f aca="false">IF(F2100&gt;500,"Yüksek",IF(F2100&gt;100,"Orta","Düşük"))</f>
        <v>Orta</v>
      </c>
    </row>
    <row r="2101" customFormat="false" ht="12.8" hidden="false" customHeight="false" outlineLevel="0" collapsed="false">
      <c r="A2101" s="4" t="s">
        <v>23</v>
      </c>
      <c r="B2101" s="4" t="s">
        <v>17</v>
      </c>
      <c r="C2101" s="4" t="n">
        <v>37</v>
      </c>
      <c r="D2101" s="5" t="n">
        <v>18.75</v>
      </c>
      <c r="E2101" s="6" t="n">
        <f aca="false">DATE(2024,11,27)</f>
        <v>45623</v>
      </c>
      <c r="F2101" s="7" t="n">
        <f aca="false">C2101*D2101</f>
        <v>693.75</v>
      </c>
      <c r="G2101" s="7" t="n">
        <f aca="false">ROUND(F2101*0.2,2)</f>
        <v>138.75</v>
      </c>
      <c r="H2101" s="4" t="str">
        <f aca="false">IF(F2101&gt;500,"Yüksek",IF(F2101&gt;100,"Orta","Düşük"))</f>
        <v>Yüksek</v>
      </c>
    </row>
    <row r="2102" customFormat="false" ht="12.8" hidden="false" customHeight="false" outlineLevel="0" collapsed="false">
      <c r="A2102" s="4" t="s">
        <v>24</v>
      </c>
      <c r="B2102" s="4" t="s">
        <v>19</v>
      </c>
      <c r="C2102" s="4" t="n">
        <v>44</v>
      </c>
      <c r="D2102" s="5" t="n">
        <v>21.5</v>
      </c>
      <c r="E2102" s="6" t="n">
        <f aca="false">DATE(2024,12,28)</f>
        <v>45654</v>
      </c>
      <c r="F2102" s="7" t="n">
        <f aca="false">C2102*D2102</f>
        <v>946</v>
      </c>
      <c r="G2102" s="7" t="n">
        <f aca="false">ROUND(F2102*0.2,2)</f>
        <v>189.2</v>
      </c>
      <c r="H2102" s="4" t="str">
        <f aca="false">IF(F2102&gt;500,"Yüksek",IF(F2102&gt;100,"Orta","Düşük"))</f>
        <v>Yüksek</v>
      </c>
    </row>
    <row r="2103" customFormat="false" ht="12.8" hidden="false" customHeight="false" outlineLevel="0" collapsed="false">
      <c r="A2103" s="4" t="s">
        <v>10</v>
      </c>
      <c r="B2103" s="4" t="s">
        <v>11</v>
      </c>
      <c r="C2103" s="4" t="n">
        <v>1</v>
      </c>
      <c r="D2103" s="5" t="n">
        <v>24.25</v>
      </c>
      <c r="E2103" s="6" t="n">
        <f aca="false">DATE(2024,1,1)</f>
        <v>45292</v>
      </c>
      <c r="F2103" s="7" t="n">
        <f aca="false">C2103*D2103</f>
        <v>24.25</v>
      </c>
      <c r="G2103" s="7" t="n">
        <f aca="false">ROUND(F2103*0.2,2)</f>
        <v>4.85</v>
      </c>
      <c r="H2103" s="4" t="str">
        <f aca="false">IF(F2103&gt;500,"Yüksek",IF(F2103&gt;100,"Orta","Düşük"))</f>
        <v>Düşük</v>
      </c>
    </row>
    <row r="2104" customFormat="false" ht="12.8" hidden="false" customHeight="false" outlineLevel="0" collapsed="false">
      <c r="A2104" s="4" t="s">
        <v>12</v>
      </c>
      <c r="B2104" s="4" t="s">
        <v>13</v>
      </c>
      <c r="C2104" s="4" t="n">
        <v>8</v>
      </c>
      <c r="D2104" s="5" t="n">
        <v>27</v>
      </c>
      <c r="E2104" s="6" t="n">
        <f aca="false">DATE(2024,2,2)</f>
        <v>45324</v>
      </c>
      <c r="F2104" s="7" t="n">
        <f aca="false">C2104*D2104</f>
        <v>216</v>
      </c>
      <c r="G2104" s="7" t="n">
        <f aca="false">ROUND(F2104*0.2,2)</f>
        <v>43.2</v>
      </c>
      <c r="H2104" s="4" t="str">
        <f aca="false">IF(F2104&gt;500,"Yüksek",IF(F2104&gt;100,"Orta","Düşük"))</f>
        <v>Orta</v>
      </c>
    </row>
    <row r="2105" customFormat="false" ht="12.8" hidden="false" customHeight="false" outlineLevel="0" collapsed="false">
      <c r="A2105" s="4" t="s">
        <v>14</v>
      </c>
      <c r="B2105" s="4" t="s">
        <v>15</v>
      </c>
      <c r="C2105" s="4" t="n">
        <v>15</v>
      </c>
      <c r="D2105" s="5" t="n">
        <v>29.75</v>
      </c>
      <c r="E2105" s="6" t="n">
        <f aca="false">DATE(2024,3,3)</f>
        <v>45354</v>
      </c>
      <c r="F2105" s="7" t="n">
        <f aca="false">C2105*D2105</f>
        <v>446.25</v>
      </c>
      <c r="G2105" s="7" t="n">
        <f aca="false">ROUND(F2105*0.2,2)</f>
        <v>89.25</v>
      </c>
      <c r="H2105" s="4" t="str">
        <f aca="false">IF(F2105&gt;500,"Yüksek",IF(F2105&gt;100,"Orta","Düşük"))</f>
        <v>Orta</v>
      </c>
    </row>
    <row r="2106" customFormat="false" ht="12.8" hidden="false" customHeight="false" outlineLevel="0" collapsed="false">
      <c r="A2106" s="4" t="s">
        <v>16</v>
      </c>
      <c r="B2106" s="4" t="s">
        <v>17</v>
      </c>
      <c r="C2106" s="4" t="n">
        <v>22</v>
      </c>
      <c r="D2106" s="5" t="n">
        <v>32.5</v>
      </c>
      <c r="E2106" s="6" t="n">
        <f aca="false">DATE(2024,4,4)</f>
        <v>45386</v>
      </c>
      <c r="F2106" s="7" t="n">
        <f aca="false">C2106*D2106</f>
        <v>715</v>
      </c>
      <c r="G2106" s="7" t="n">
        <f aca="false">ROUND(F2106*0.2,2)</f>
        <v>143</v>
      </c>
      <c r="H2106" s="4" t="str">
        <f aca="false">IF(F2106&gt;500,"Yüksek",IF(F2106&gt;100,"Orta","Düşük"))</f>
        <v>Yüksek</v>
      </c>
    </row>
    <row r="2107" customFormat="false" ht="12.8" hidden="false" customHeight="false" outlineLevel="0" collapsed="false">
      <c r="A2107" s="4" t="s">
        <v>18</v>
      </c>
      <c r="B2107" s="4" t="s">
        <v>19</v>
      </c>
      <c r="C2107" s="4" t="n">
        <v>29</v>
      </c>
      <c r="D2107" s="5" t="n">
        <v>35.25</v>
      </c>
      <c r="E2107" s="6" t="n">
        <f aca="false">DATE(2024,5,5)</f>
        <v>45417</v>
      </c>
      <c r="F2107" s="7" t="n">
        <f aca="false">C2107*D2107</f>
        <v>1022.25</v>
      </c>
      <c r="G2107" s="7" t="n">
        <f aca="false">ROUND(F2107*0.2,2)</f>
        <v>204.45</v>
      </c>
      <c r="H2107" s="4" t="str">
        <f aca="false">IF(F2107&gt;500,"Yüksek",IF(F2107&gt;100,"Orta","Düşük"))</f>
        <v>Yüksek</v>
      </c>
    </row>
    <row r="2108" customFormat="false" ht="12.8" hidden="false" customHeight="false" outlineLevel="0" collapsed="false">
      <c r="A2108" s="4" t="s">
        <v>20</v>
      </c>
      <c r="B2108" s="4" t="s">
        <v>11</v>
      </c>
      <c r="C2108" s="4" t="n">
        <v>36</v>
      </c>
      <c r="D2108" s="5" t="n">
        <v>38</v>
      </c>
      <c r="E2108" s="6" t="n">
        <f aca="false">DATE(2024,6,6)</f>
        <v>45449</v>
      </c>
      <c r="F2108" s="7" t="n">
        <f aca="false">C2108*D2108</f>
        <v>1368</v>
      </c>
      <c r="G2108" s="7" t="n">
        <f aca="false">ROUND(F2108*0.2,2)</f>
        <v>273.6</v>
      </c>
      <c r="H2108" s="4" t="str">
        <f aca="false">IF(F2108&gt;500,"Yüksek",IF(F2108&gt;100,"Orta","Düşük"))</f>
        <v>Yüksek</v>
      </c>
    </row>
    <row r="2109" customFormat="false" ht="12.8" hidden="false" customHeight="false" outlineLevel="0" collapsed="false">
      <c r="A2109" s="4" t="s">
        <v>21</v>
      </c>
      <c r="B2109" s="4" t="s">
        <v>13</v>
      </c>
      <c r="C2109" s="4" t="n">
        <v>43</v>
      </c>
      <c r="D2109" s="5" t="n">
        <v>5</v>
      </c>
      <c r="E2109" s="6" t="n">
        <f aca="false">DATE(2024,7,7)</f>
        <v>45480</v>
      </c>
      <c r="F2109" s="7" t="n">
        <f aca="false">C2109*D2109</f>
        <v>215</v>
      </c>
      <c r="G2109" s="7" t="n">
        <f aca="false">ROUND(F2109*0.2,2)</f>
        <v>43</v>
      </c>
      <c r="H2109" s="4" t="str">
        <f aca="false">IF(F2109&gt;500,"Yüksek",IF(F2109&gt;100,"Orta","Düşük"))</f>
        <v>Orta</v>
      </c>
    </row>
    <row r="2110" customFormat="false" ht="12.8" hidden="false" customHeight="false" outlineLevel="0" collapsed="false">
      <c r="A2110" s="4" t="s">
        <v>22</v>
      </c>
      <c r="B2110" s="4" t="s">
        <v>15</v>
      </c>
      <c r="C2110" s="4" t="n">
        <v>50</v>
      </c>
      <c r="D2110" s="5" t="n">
        <v>7.75</v>
      </c>
      <c r="E2110" s="6" t="n">
        <f aca="false">DATE(2024,8,8)</f>
        <v>45512</v>
      </c>
      <c r="F2110" s="7" t="n">
        <f aca="false">C2110*D2110</f>
        <v>387.5</v>
      </c>
      <c r="G2110" s="7" t="n">
        <f aca="false">ROUND(F2110*0.2,2)</f>
        <v>77.5</v>
      </c>
      <c r="H2110" s="4" t="str">
        <f aca="false">IF(F2110&gt;500,"Yüksek",IF(F2110&gt;100,"Orta","Düşük"))</f>
        <v>Orta</v>
      </c>
    </row>
    <row r="2111" customFormat="false" ht="12.8" hidden="false" customHeight="false" outlineLevel="0" collapsed="false">
      <c r="A2111" s="4" t="s">
        <v>23</v>
      </c>
      <c r="B2111" s="4" t="s">
        <v>17</v>
      </c>
      <c r="C2111" s="4" t="n">
        <v>7</v>
      </c>
      <c r="D2111" s="5" t="n">
        <v>10.5</v>
      </c>
      <c r="E2111" s="6" t="n">
        <f aca="false">DATE(2024,9,9)</f>
        <v>45544</v>
      </c>
      <c r="F2111" s="7" t="n">
        <f aca="false">C2111*D2111</f>
        <v>73.5</v>
      </c>
      <c r="G2111" s="7" t="n">
        <f aca="false">ROUND(F2111*0.2,2)</f>
        <v>14.7</v>
      </c>
      <c r="H2111" s="4" t="str">
        <f aca="false">IF(F2111&gt;500,"Yüksek",IF(F2111&gt;100,"Orta","Düşük"))</f>
        <v>Düşük</v>
      </c>
    </row>
    <row r="2112" customFormat="false" ht="12.8" hidden="false" customHeight="false" outlineLevel="0" collapsed="false">
      <c r="A2112" s="4" t="s">
        <v>24</v>
      </c>
      <c r="B2112" s="4" t="s">
        <v>19</v>
      </c>
      <c r="C2112" s="4" t="n">
        <v>14</v>
      </c>
      <c r="D2112" s="5" t="n">
        <v>13.25</v>
      </c>
      <c r="E2112" s="6" t="n">
        <f aca="false">DATE(2024,10,10)</f>
        <v>45575</v>
      </c>
      <c r="F2112" s="7" t="n">
        <f aca="false">C2112*D2112</f>
        <v>185.5</v>
      </c>
      <c r="G2112" s="7" t="n">
        <f aca="false">ROUND(F2112*0.2,2)</f>
        <v>37.1</v>
      </c>
      <c r="H2112" s="4" t="str">
        <f aca="false">IF(F2112&gt;500,"Yüksek",IF(F2112&gt;100,"Orta","Düşük"))</f>
        <v>Orta</v>
      </c>
    </row>
    <row r="2113" customFormat="false" ht="12.8" hidden="false" customHeight="false" outlineLevel="0" collapsed="false">
      <c r="A2113" s="4" t="s">
        <v>10</v>
      </c>
      <c r="B2113" s="4" t="s">
        <v>11</v>
      </c>
      <c r="C2113" s="4" t="n">
        <v>21</v>
      </c>
      <c r="D2113" s="5" t="n">
        <v>16</v>
      </c>
      <c r="E2113" s="6" t="n">
        <f aca="false">DATE(2024,11,11)</f>
        <v>45607</v>
      </c>
      <c r="F2113" s="7" t="n">
        <f aca="false">C2113*D2113</f>
        <v>336</v>
      </c>
      <c r="G2113" s="7" t="n">
        <f aca="false">ROUND(F2113*0.2,2)</f>
        <v>67.2</v>
      </c>
      <c r="H2113" s="4" t="str">
        <f aca="false">IF(F2113&gt;500,"Yüksek",IF(F2113&gt;100,"Orta","Düşük"))</f>
        <v>Orta</v>
      </c>
    </row>
    <row r="2114" customFormat="false" ht="12.8" hidden="false" customHeight="false" outlineLevel="0" collapsed="false">
      <c r="A2114" s="4" t="s">
        <v>12</v>
      </c>
      <c r="B2114" s="4" t="s">
        <v>13</v>
      </c>
      <c r="C2114" s="4" t="n">
        <v>28</v>
      </c>
      <c r="D2114" s="5" t="n">
        <v>18.75</v>
      </c>
      <c r="E2114" s="6" t="n">
        <f aca="false">DATE(2024,12,12)</f>
        <v>45638</v>
      </c>
      <c r="F2114" s="7" t="n">
        <f aca="false">C2114*D2114</f>
        <v>525</v>
      </c>
      <c r="G2114" s="7" t="n">
        <f aca="false">ROUND(F2114*0.2,2)</f>
        <v>105</v>
      </c>
      <c r="H2114" s="4" t="str">
        <f aca="false">IF(F2114&gt;500,"Yüksek",IF(F2114&gt;100,"Orta","Düşük"))</f>
        <v>Yüksek</v>
      </c>
    </row>
    <row r="2115" customFormat="false" ht="12.8" hidden="false" customHeight="false" outlineLevel="0" collapsed="false">
      <c r="A2115" s="4" t="s">
        <v>14</v>
      </c>
      <c r="B2115" s="4" t="s">
        <v>15</v>
      </c>
      <c r="C2115" s="4" t="n">
        <v>35</v>
      </c>
      <c r="D2115" s="5" t="n">
        <v>21.5</v>
      </c>
      <c r="E2115" s="6" t="n">
        <f aca="false">DATE(2024,1,13)</f>
        <v>45304</v>
      </c>
      <c r="F2115" s="7" t="n">
        <f aca="false">C2115*D2115</f>
        <v>752.5</v>
      </c>
      <c r="G2115" s="7" t="n">
        <f aca="false">ROUND(F2115*0.2,2)</f>
        <v>150.5</v>
      </c>
      <c r="H2115" s="4" t="str">
        <f aca="false">IF(F2115&gt;500,"Yüksek",IF(F2115&gt;100,"Orta","Düşük"))</f>
        <v>Yüksek</v>
      </c>
    </row>
    <row r="2116" customFormat="false" ht="12.8" hidden="false" customHeight="false" outlineLevel="0" collapsed="false">
      <c r="A2116" s="4" t="s">
        <v>16</v>
      </c>
      <c r="B2116" s="4" t="s">
        <v>17</v>
      </c>
      <c r="C2116" s="4" t="n">
        <v>42</v>
      </c>
      <c r="D2116" s="5" t="n">
        <v>24.25</v>
      </c>
      <c r="E2116" s="6" t="n">
        <f aca="false">DATE(2024,2,14)</f>
        <v>45336</v>
      </c>
      <c r="F2116" s="7" t="n">
        <f aca="false">C2116*D2116</f>
        <v>1018.5</v>
      </c>
      <c r="G2116" s="7" t="n">
        <f aca="false">ROUND(F2116*0.2,2)</f>
        <v>203.7</v>
      </c>
      <c r="H2116" s="4" t="str">
        <f aca="false">IF(F2116&gt;500,"Yüksek",IF(F2116&gt;100,"Orta","Düşük"))</f>
        <v>Yüksek</v>
      </c>
    </row>
    <row r="2117" customFormat="false" ht="12.8" hidden="false" customHeight="false" outlineLevel="0" collapsed="false">
      <c r="A2117" s="4" t="s">
        <v>18</v>
      </c>
      <c r="B2117" s="4" t="s">
        <v>19</v>
      </c>
      <c r="C2117" s="4" t="n">
        <v>49</v>
      </c>
      <c r="D2117" s="5" t="n">
        <v>27</v>
      </c>
      <c r="E2117" s="6" t="n">
        <f aca="false">DATE(2024,3,15)</f>
        <v>45366</v>
      </c>
      <c r="F2117" s="7" t="n">
        <f aca="false">C2117*D2117</f>
        <v>1323</v>
      </c>
      <c r="G2117" s="7" t="n">
        <f aca="false">ROUND(F2117*0.2,2)</f>
        <v>264.6</v>
      </c>
      <c r="H2117" s="4" t="str">
        <f aca="false">IF(F2117&gt;500,"Yüksek",IF(F2117&gt;100,"Orta","Düşük"))</f>
        <v>Yüksek</v>
      </c>
    </row>
    <row r="2118" customFormat="false" ht="12.8" hidden="false" customHeight="false" outlineLevel="0" collapsed="false">
      <c r="A2118" s="4" t="s">
        <v>20</v>
      </c>
      <c r="B2118" s="4" t="s">
        <v>11</v>
      </c>
      <c r="C2118" s="4" t="n">
        <v>6</v>
      </c>
      <c r="D2118" s="5" t="n">
        <v>29.75</v>
      </c>
      <c r="E2118" s="6" t="n">
        <f aca="false">DATE(2024,4,16)</f>
        <v>45398</v>
      </c>
      <c r="F2118" s="7" t="n">
        <f aca="false">C2118*D2118</f>
        <v>178.5</v>
      </c>
      <c r="G2118" s="7" t="n">
        <f aca="false">ROUND(F2118*0.2,2)</f>
        <v>35.7</v>
      </c>
      <c r="H2118" s="4" t="str">
        <f aca="false">IF(F2118&gt;500,"Yüksek",IF(F2118&gt;100,"Orta","Düşük"))</f>
        <v>Orta</v>
      </c>
    </row>
    <row r="2119" customFormat="false" ht="12.8" hidden="false" customHeight="false" outlineLevel="0" collapsed="false">
      <c r="A2119" s="4" t="s">
        <v>21</v>
      </c>
      <c r="B2119" s="4" t="s">
        <v>13</v>
      </c>
      <c r="C2119" s="4" t="n">
        <v>13</v>
      </c>
      <c r="D2119" s="5" t="n">
        <v>32.5</v>
      </c>
      <c r="E2119" s="6" t="n">
        <f aca="false">DATE(2024,5,17)</f>
        <v>45429</v>
      </c>
      <c r="F2119" s="7" t="n">
        <f aca="false">C2119*D2119</f>
        <v>422.5</v>
      </c>
      <c r="G2119" s="7" t="n">
        <f aca="false">ROUND(F2119*0.2,2)</f>
        <v>84.5</v>
      </c>
      <c r="H2119" s="4" t="str">
        <f aca="false">IF(F2119&gt;500,"Yüksek",IF(F2119&gt;100,"Orta","Düşük"))</f>
        <v>Orta</v>
      </c>
    </row>
    <row r="2120" customFormat="false" ht="12.8" hidden="false" customHeight="false" outlineLevel="0" collapsed="false">
      <c r="A2120" s="4" t="s">
        <v>22</v>
      </c>
      <c r="B2120" s="4" t="s">
        <v>15</v>
      </c>
      <c r="C2120" s="4" t="n">
        <v>20</v>
      </c>
      <c r="D2120" s="5" t="n">
        <v>35.25</v>
      </c>
      <c r="E2120" s="6" t="n">
        <f aca="false">DATE(2024,6,18)</f>
        <v>45461</v>
      </c>
      <c r="F2120" s="7" t="n">
        <f aca="false">C2120*D2120</f>
        <v>705</v>
      </c>
      <c r="G2120" s="7" t="n">
        <f aca="false">ROUND(F2120*0.2,2)</f>
        <v>141</v>
      </c>
      <c r="H2120" s="4" t="str">
        <f aca="false">IF(F2120&gt;500,"Yüksek",IF(F2120&gt;100,"Orta","Düşük"))</f>
        <v>Yüksek</v>
      </c>
    </row>
    <row r="2121" customFormat="false" ht="12.8" hidden="false" customHeight="false" outlineLevel="0" collapsed="false">
      <c r="A2121" s="4" t="s">
        <v>23</v>
      </c>
      <c r="B2121" s="4" t="s">
        <v>17</v>
      </c>
      <c r="C2121" s="4" t="n">
        <v>27</v>
      </c>
      <c r="D2121" s="5" t="n">
        <v>38</v>
      </c>
      <c r="E2121" s="6" t="n">
        <f aca="false">DATE(2024,7,19)</f>
        <v>45492</v>
      </c>
      <c r="F2121" s="7" t="n">
        <f aca="false">C2121*D2121</f>
        <v>1026</v>
      </c>
      <c r="G2121" s="7" t="n">
        <f aca="false">ROUND(F2121*0.2,2)</f>
        <v>205.2</v>
      </c>
      <c r="H2121" s="4" t="str">
        <f aca="false">IF(F2121&gt;500,"Yüksek",IF(F2121&gt;100,"Orta","Düşük"))</f>
        <v>Yüksek</v>
      </c>
    </row>
    <row r="2122" customFormat="false" ht="12.8" hidden="false" customHeight="false" outlineLevel="0" collapsed="false">
      <c r="A2122" s="4" t="s">
        <v>24</v>
      </c>
      <c r="B2122" s="4" t="s">
        <v>19</v>
      </c>
      <c r="C2122" s="4" t="n">
        <v>34</v>
      </c>
      <c r="D2122" s="5" t="n">
        <v>5</v>
      </c>
      <c r="E2122" s="6" t="n">
        <f aca="false">DATE(2024,8,20)</f>
        <v>45524</v>
      </c>
      <c r="F2122" s="7" t="n">
        <f aca="false">C2122*D2122</f>
        <v>170</v>
      </c>
      <c r="G2122" s="7" t="n">
        <f aca="false">ROUND(F2122*0.2,2)</f>
        <v>34</v>
      </c>
      <c r="H2122" s="4" t="str">
        <f aca="false">IF(F2122&gt;500,"Yüksek",IF(F2122&gt;100,"Orta","Düşük"))</f>
        <v>Orta</v>
      </c>
    </row>
    <row r="2123" customFormat="false" ht="12.8" hidden="false" customHeight="false" outlineLevel="0" collapsed="false">
      <c r="A2123" s="4" t="s">
        <v>10</v>
      </c>
      <c r="B2123" s="4" t="s">
        <v>11</v>
      </c>
      <c r="C2123" s="4" t="n">
        <v>41</v>
      </c>
      <c r="D2123" s="5" t="n">
        <v>7.75</v>
      </c>
      <c r="E2123" s="6" t="n">
        <f aca="false">DATE(2024,9,21)</f>
        <v>45556</v>
      </c>
      <c r="F2123" s="7" t="n">
        <f aca="false">C2123*D2123</f>
        <v>317.75</v>
      </c>
      <c r="G2123" s="7" t="n">
        <f aca="false">ROUND(F2123*0.2,2)</f>
        <v>63.55</v>
      </c>
      <c r="H2123" s="4" t="str">
        <f aca="false">IF(F2123&gt;500,"Yüksek",IF(F2123&gt;100,"Orta","Düşük"))</f>
        <v>Orta</v>
      </c>
    </row>
    <row r="2124" customFormat="false" ht="12.8" hidden="false" customHeight="false" outlineLevel="0" collapsed="false">
      <c r="A2124" s="4" t="s">
        <v>12</v>
      </c>
      <c r="B2124" s="4" t="s">
        <v>13</v>
      </c>
      <c r="C2124" s="4" t="n">
        <v>48</v>
      </c>
      <c r="D2124" s="5" t="n">
        <v>10.5</v>
      </c>
      <c r="E2124" s="6" t="n">
        <f aca="false">DATE(2024,10,22)</f>
        <v>45587</v>
      </c>
      <c r="F2124" s="7" t="n">
        <f aca="false">C2124*D2124</f>
        <v>504</v>
      </c>
      <c r="G2124" s="7" t="n">
        <f aca="false">ROUND(F2124*0.2,2)</f>
        <v>100.8</v>
      </c>
      <c r="H2124" s="4" t="str">
        <f aca="false">IF(F2124&gt;500,"Yüksek",IF(F2124&gt;100,"Orta","Düşük"))</f>
        <v>Yüksek</v>
      </c>
    </row>
    <row r="2125" customFormat="false" ht="12.8" hidden="false" customHeight="false" outlineLevel="0" collapsed="false">
      <c r="A2125" s="4" t="s">
        <v>14</v>
      </c>
      <c r="B2125" s="4" t="s">
        <v>15</v>
      </c>
      <c r="C2125" s="4" t="n">
        <v>5</v>
      </c>
      <c r="D2125" s="5" t="n">
        <v>13.25</v>
      </c>
      <c r="E2125" s="6" t="n">
        <f aca="false">DATE(2024,11,23)</f>
        <v>45619</v>
      </c>
      <c r="F2125" s="7" t="n">
        <f aca="false">C2125*D2125</f>
        <v>66.25</v>
      </c>
      <c r="G2125" s="7" t="n">
        <f aca="false">ROUND(F2125*0.2,2)</f>
        <v>13.25</v>
      </c>
      <c r="H2125" s="4" t="str">
        <f aca="false">IF(F2125&gt;500,"Yüksek",IF(F2125&gt;100,"Orta","Düşük"))</f>
        <v>Düşük</v>
      </c>
    </row>
    <row r="2126" customFormat="false" ht="12.8" hidden="false" customHeight="false" outlineLevel="0" collapsed="false">
      <c r="A2126" s="4" t="s">
        <v>16</v>
      </c>
      <c r="B2126" s="4" t="s">
        <v>17</v>
      </c>
      <c r="C2126" s="4" t="n">
        <v>12</v>
      </c>
      <c r="D2126" s="5" t="n">
        <v>16</v>
      </c>
      <c r="E2126" s="6" t="n">
        <f aca="false">DATE(2024,12,24)</f>
        <v>45650</v>
      </c>
      <c r="F2126" s="7" t="n">
        <f aca="false">C2126*D2126</f>
        <v>192</v>
      </c>
      <c r="G2126" s="7" t="n">
        <f aca="false">ROUND(F2126*0.2,2)</f>
        <v>38.4</v>
      </c>
      <c r="H2126" s="4" t="str">
        <f aca="false">IF(F2126&gt;500,"Yüksek",IF(F2126&gt;100,"Orta","Düşük"))</f>
        <v>Orta</v>
      </c>
    </row>
    <row r="2127" customFormat="false" ht="12.8" hidden="false" customHeight="false" outlineLevel="0" collapsed="false">
      <c r="A2127" s="4" t="s">
        <v>18</v>
      </c>
      <c r="B2127" s="4" t="s">
        <v>19</v>
      </c>
      <c r="C2127" s="4" t="n">
        <v>19</v>
      </c>
      <c r="D2127" s="5" t="n">
        <v>18.75</v>
      </c>
      <c r="E2127" s="6" t="n">
        <f aca="false">DATE(2024,1,25)</f>
        <v>45316</v>
      </c>
      <c r="F2127" s="7" t="n">
        <f aca="false">C2127*D2127</f>
        <v>356.25</v>
      </c>
      <c r="G2127" s="7" t="n">
        <f aca="false">ROUND(F2127*0.2,2)</f>
        <v>71.25</v>
      </c>
      <c r="H2127" s="4" t="str">
        <f aca="false">IF(F2127&gt;500,"Yüksek",IF(F2127&gt;100,"Orta","Düşük"))</f>
        <v>Orta</v>
      </c>
    </row>
    <row r="2128" customFormat="false" ht="12.8" hidden="false" customHeight="false" outlineLevel="0" collapsed="false">
      <c r="A2128" s="4" t="s">
        <v>20</v>
      </c>
      <c r="B2128" s="4" t="s">
        <v>11</v>
      </c>
      <c r="C2128" s="4" t="n">
        <v>26</v>
      </c>
      <c r="D2128" s="5" t="n">
        <v>21.5</v>
      </c>
      <c r="E2128" s="6" t="n">
        <f aca="false">DATE(2024,2,26)</f>
        <v>45348</v>
      </c>
      <c r="F2128" s="7" t="n">
        <f aca="false">C2128*D2128</f>
        <v>559</v>
      </c>
      <c r="G2128" s="7" t="n">
        <f aca="false">ROUND(F2128*0.2,2)</f>
        <v>111.8</v>
      </c>
      <c r="H2128" s="4" t="str">
        <f aca="false">IF(F2128&gt;500,"Yüksek",IF(F2128&gt;100,"Orta","Düşük"))</f>
        <v>Yüksek</v>
      </c>
    </row>
    <row r="2129" customFormat="false" ht="12.8" hidden="false" customHeight="false" outlineLevel="0" collapsed="false">
      <c r="A2129" s="4" t="s">
        <v>21</v>
      </c>
      <c r="B2129" s="4" t="s">
        <v>13</v>
      </c>
      <c r="C2129" s="4" t="n">
        <v>33</v>
      </c>
      <c r="D2129" s="5" t="n">
        <v>24.25</v>
      </c>
      <c r="E2129" s="6" t="n">
        <f aca="false">DATE(2024,3,27)</f>
        <v>45378</v>
      </c>
      <c r="F2129" s="7" t="n">
        <f aca="false">C2129*D2129</f>
        <v>800.25</v>
      </c>
      <c r="G2129" s="7" t="n">
        <f aca="false">ROUND(F2129*0.2,2)</f>
        <v>160.05</v>
      </c>
      <c r="H2129" s="4" t="str">
        <f aca="false">IF(F2129&gt;500,"Yüksek",IF(F2129&gt;100,"Orta","Düşük"))</f>
        <v>Yüksek</v>
      </c>
    </row>
    <row r="2130" customFormat="false" ht="12.8" hidden="false" customHeight="false" outlineLevel="0" collapsed="false">
      <c r="A2130" s="4" t="s">
        <v>22</v>
      </c>
      <c r="B2130" s="4" t="s">
        <v>15</v>
      </c>
      <c r="C2130" s="4" t="n">
        <v>40</v>
      </c>
      <c r="D2130" s="5" t="n">
        <v>27</v>
      </c>
      <c r="E2130" s="6" t="n">
        <f aca="false">DATE(2024,4,28)</f>
        <v>45410</v>
      </c>
      <c r="F2130" s="7" t="n">
        <f aca="false">C2130*D2130</f>
        <v>1080</v>
      </c>
      <c r="G2130" s="7" t="n">
        <f aca="false">ROUND(F2130*0.2,2)</f>
        <v>216</v>
      </c>
      <c r="H2130" s="4" t="str">
        <f aca="false">IF(F2130&gt;500,"Yüksek",IF(F2130&gt;100,"Orta","Düşük"))</f>
        <v>Yüksek</v>
      </c>
    </row>
    <row r="2131" customFormat="false" ht="12.8" hidden="false" customHeight="false" outlineLevel="0" collapsed="false">
      <c r="A2131" s="4" t="s">
        <v>23</v>
      </c>
      <c r="B2131" s="4" t="s">
        <v>17</v>
      </c>
      <c r="C2131" s="4" t="n">
        <v>47</v>
      </c>
      <c r="D2131" s="5" t="n">
        <v>29.75</v>
      </c>
      <c r="E2131" s="6" t="n">
        <f aca="false">DATE(2024,5,1)</f>
        <v>45413</v>
      </c>
      <c r="F2131" s="7" t="n">
        <f aca="false">C2131*D2131</f>
        <v>1398.25</v>
      </c>
      <c r="G2131" s="7" t="n">
        <f aca="false">ROUND(F2131*0.2,2)</f>
        <v>279.65</v>
      </c>
      <c r="H2131" s="4" t="str">
        <f aca="false">IF(F2131&gt;500,"Yüksek",IF(F2131&gt;100,"Orta","Düşük"))</f>
        <v>Yüksek</v>
      </c>
    </row>
    <row r="2132" customFormat="false" ht="12.8" hidden="false" customHeight="false" outlineLevel="0" collapsed="false">
      <c r="A2132" s="4" t="s">
        <v>24</v>
      </c>
      <c r="B2132" s="4" t="s">
        <v>19</v>
      </c>
      <c r="C2132" s="4" t="n">
        <v>4</v>
      </c>
      <c r="D2132" s="5" t="n">
        <v>32.5</v>
      </c>
      <c r="E2132" s="6" t="n">
        <f aca="false">DATE(2024,6,2)</f>
        <v>45445</v>
      </c>
      <c r="F2132" s="7" t="n">
        <f aca="false">C2132*D2132</f>
        <v>130</v>
      </c>
      <c r="G2132" s="7" t="n">
        <f aca="false">ROUND(F2132*0.2,2)</f>
        <v>26</v>
      </c>
      <c r="H2132" s="4" t="str">
        <f aca="false">IF(F2132&gt;500,"Yüksek",IF(F2132&gt;100,"Orta","Düşük"))</f>
        <v>Orta</v>
      </c>
    </row>
    <row r="2133" customFormat="false" ht="12.8" hidden="false" customHeight="false" outlineLevel="0" collapsed="false">
      <c r="A2133" s="4" t="s">
        <v>10</v>
      </c>
      <c r="B2133" s="4" t="s">
        <v>11</v>
      </c>
      <c r="C2133" s="4" t="n">
        <v>11</v>
      </c>
      <c r="D2133" s="5" t="n">
        <v>35.25</v>
      </c>
      <c r="E2133" s="6" t="n">
        <f aca="false">DATE(2024,7,3)</f>
        <v>45476</v>
      </c>
      <c r="F2133" s="7" t="n">
        <f aca="false">C2133*D2133</f>
        <v>387.75</v>
      </c>
      <c r="G2133" s="7" t="n">
        <f aca="false">ROUND(F2133*0.2,2)</f>
        <v>77.55</v>
      </c>
      <c r="H2133" s="4" t="str">
        <f aca="false">IF(F2133&gt;500,"Yüksek",IF(F2133&gt;100,"Orta","Düşük"))</f>
        <v>Orta</v>
      </c>
    </row>
    <row r="2134" customFormat="false" ht="12.8" hidden="false" customHeight="false" outlineLevel="0" collapsed="false">
      <c r="A2134" s="4" t="s">
        <v>12</v>
      </c>
      <c r="B2134" s="4" t="s">
        <v>13</v>
      </c>
      <c r="C2134" s="4" t="n">
        <v>18</v>
      </c>
      <c r="D2134" s="5" t="n">
        <v>38</v>
      </c>
      <c r="E2134" s="6" t="n">
        <f aca="false">DATE(2024,8,4)</f>
        <v>45508</v>
      </c>
      <c r="F2134" s="7" t="n">
        <f aca="false">C2134*D2134</f>
        <v>684</v>
      </c>
      <c r="G2134" s="7" t="n">
        <f aca="false">ROUND(F2134*0.2,2)</f>
        <v>136.8</v>
      </c>
      <c r="H2134" s="4" t="str">
        <f aca="false">IF(F2134&gt;500,"Yüksek",IF(F2134&gt;100,"Orta","Düşük"))</f>
        <v>Yüksek</v>
      </c>
    </row>
    <row r="2135" customFormat="false" ht="12.8" hidden="false" customHeight="false" outlineLevel="0" collapsed="false">
      <c r="A2135" s="4" t="s">
        <v>14</v>
      </c>
      <c r="B2135" s="4" t="s">
        <v>15</v>
      </c>
      <c r="C2135" s="4" t="n">
        <v>25</v>
      </c>
      <c r="D2135" s="5" t="n">
        <v>5</v>
      </c>
      <c r="E2135" s="6" t="n">
        <f aca="false">DATE(2024,9,5)</f>
        <v>45540</v>
      </c>
      <c r="F2135" s="7" t="n">
        <f aca="false">C2135*D2135</f>
        <v>125</v>
      </c>
      <c r="G2135" s="7" t="n">
        <f aca="false">ROUND(F2135*0.2,2)</f>
        <v>25</v>
      </c>
      <c r="H2135" s="4" t="str">
        <f aca="false">IF(F2135&gt;500,"Yüksek",IF(F2135&gt;100,"Orta","Düşük"))</f>
        <v>Orta</v>
      </c>
    </row>
    <row r="2136" customFormat="false" ht="12.8" hidden="false" customHeight="false" outlineLevel="0" collapsed="false">
      <c r="A2136" s="4" t="s">
        <v>16</v>
      </c>
      <c r="B2136" s="4" t="s">
        <v>17</v>
      </c>
      <c r="C2136" s="4" t="n">
        <v>32</v>
      </c>
      <c r="D2136" s="5" t="n">
        <v>7.75</v>
      </c>
      <c r="E2136" s="6" t="n">
        <f aca="false">DATE(2024,10,6)</f>
        <v>45571</v>
      </c>
      <c r="F2136" s="7" t="n">
        <f aca="false">C2136*D2136</f>
        <v>248</v>
      </c>
      <c r="G2136" s="7" t="n">
        <f aca="false">ROUND(F2136*0.2,2)</f>
        <v>49.6</v>
      </c>
      <c r="H2136" s="4" t="str">
        <f aca="false">IF(F2136&gt;500,"Yüksek",IF(F2136&gt;100,"Orta","Düşük"))</f>
        <v>Orta</v>
      </c>
    </row>
    <row r="2137" customFormat="false" ht="12.8" hidden="false" customHeight="false" outlineLevel="0" collapsed="false">
      <c r="A2137" s="4" t="s">
        <v>18</v>
      </c>
      <c r="B2137" s="4" t="s">
        <v>19</v>
      </c>
      <c r="C2137" s="4" t="n">
        <v>39</v>
      </c>
      <c r="D2137" s="5" t="n">
        <v>10.5</v>
      </c>
      <c r="E2137" s="6" t="n">
        <f aca="false">DATE(2024,11,7)</f>
        <v>45603</v>
      </c>
      <c r="F2137" s="7" t="n">
        <f aca="false">C2137*D2137</f>
        <v>409.5</v>
      </c>
      <c r="G2137" s="7" t="n">
        <f aca="false">ROUND(F2137*0.2,2)</f>
        <v>81.9</v>
      </c>
      <c r="H2137" s="4" t="str">
        <f aca="false">IF(F2137&gt;500,"Yüksek",IF(F2137&gt;100,"Orta","Düşük"))</f>
        <v>Orta</v>
      </c>
    </row>
    <row r="2138" customFormat="false" ht="12.8" hidden="false" customHeight="false" outlineLevel="0" collapsed="false">
      <c r="A2138" s="4" t="s">
        <v>20</v>
      </c>
      <c r="B2138" s="4" t="s">
        <v>11</v>
      </c>
      <c r="C2138" s="4" t="n">
        <v>46</v>
      </c>
      <c r="D2138" s="5" t="n">
        <v>13.25</v>
      </c>
      <c r="E2138" s="6" t="n">
        <f aca="false">DATE(2024,12,8)</f>
        <v>45634</v>
      </c>
      <c r="F2138" s="7" t="n">
        <f aca="false">C2138*D2138</f>
        <v>609.5</v>
      </c>
      <c r="G2138" s="7" t="n">
        <f aca="false">ROUND(F2138*0.2,2)</f>
        <v>121.9</v>
      </c>
      <c r="H2138" s="4" t="str">
        <f aca="false">IF(F2138&gt;500,"Yüksek",IF(F2138&gt;100,"Orta","Düşük"))</f>
        <v>Yüksek</v>
      </c>
    </row>
    <row r="2139" customFormat="false" ht="12.8" hidden="false" customHeight="false" outlineLevel="0" collapsed="false">
      <c r="A2139" s="4" t="s">
        <v>21</v>
      </c>
      <c r="B2139" s="4" t="s">
        <v>13</v>
      </c>
      <c r="C2139" s="4" t="n">
        <v>3</v>
      </c>
      <c r="D2139" s="5" t="n">
        <v>16</v>
      </c>
      <c r="E2139" s="6" t="n">
        <f aca="false">DATE(2024,1,9)</f>
        <v>45300</v>
      </c>
      <c r="F2139" s="7" t="n">
        <f aca="false">C2139*D2139</f>
        <v>48</v>
      </c>
      <c r="G2139" s="7" t="n">
        <f aca="false">ROUND(F2139*0.2,2)</f>
        <v>9.6</v>
      </c>
      <c r="H2139" s="4" t="str">
        <f aca="false">IF(F2139&gt;500,"Yüksek",IF(F2139&gt;100,"Orta","Düşük"))</f>
        <v>Düşük</v>
      </c>
    </row>
    <row r="2140" customFormat="false" ht="12.8" hidden="false" customHeight="false" outlineLevel="0" collapsed="false">
      <c r="A2140" s="4" t="s">
        <v>22</v>
      </c>
      <c r="B2140" s="4" t="s">
        <v>15</v>
      </c>
      <c r="C2140" s="4" t="n">
        <v>10</v>
      </c>
      <c r="D2140" s="5" t="n">
        <v>18.75</v>
      </c>
      <c r="E2140" s="6" t="n">
        <f aca="false">DATE(2024,2,10)</f>
        <v>45332</v>
      </c>
      <c r="F2140" s="7" t="n">
        <f aca="false">C2140*D2140</f>
        <v>187.5</v>
      </c>
      <c r="G2140" s="7" t="n">
        <f aca="false">ROUND(F2140*0.2,2)</f>
        <v>37.5</v>
      </c>
      <c r="H2140" s="4" t="str">
        <f aca="false">IF(F2140&gt;500,"Yüksek",IF(F2140&gt;100,"Orta","Düşük"))</f>
        <v>Orta</v>
      </c>
    </row>
    <row r="2141" customFormat="false" ht="12.8" hidden="false" customHeight="false" outlineLevel="0" collapsed="false">
      <c r="A2141" s="4" t="s">
        <v>23</v>
      </c>
      <c r="B2141" s="4" t="s">
        <v>17</v>
      </c>
      <c r="C2141" s="4" t="n">
        <v>17</v>
      </c>
      <c r="D2141" s="5" t="n">
        <v>21.5</v>
      </c>
      <c r="E2141" s="6" t="n">
        <f aca="false">DATE(2024,3,11)</f>
        <v>45362</v>
      </c>
      <c r="F2141" s="7" t="n">
        <f aca="false">C2141*D2141</f>
        <v>365.5</v>
      </c>
      <c r="G2141" s="7" t="n">
        <f aca="false">ROUND(F2141*0.2,2)</f>
        <v>73.1</v>
      </c>
      <c r="H2141" s="4" t="str">
        <f aca="false">IF(F2141&gt;500,"Yüksek",IF(F2141&gt;100,"Orta","Düşük"))</f>
        <v>Orta</v>
      </c>
    </row>
    <row r="2142" customFormat="false" ht="12.8" hidden="false" customHeight="false" outlineLevel="0" collapsed="false">
      <c r="A2142" s="4" t="s">
        <v>24</v>
      </c>
      <c r="B2142" s="4" t="s">
        <v>19</v>
      </c>
      <c r="C2142" s="4" t="n">
        <v>24</v>
      </c>
      <c r="D2142" s="5" t="n">
        <v>24.25</v>
      </c>
      <c r="E2142" s="6" t="n">
        <f aca="false">DATE(2024,4,12)</f>
        <v>45394</v>
      </c>
      <c r="F2142" s="7" t="n">
        <f aca="false">C2142*D2142</f>
        <v>582</v>
      </c>
      <c r="G2142" s="7" t="n">
        <f aca="false">ROUND(F2142*0.2,2)</f>
        <v>116.4</v>
      </c>
      <c r="H2142" s="4" t="str">
        <f aca="false">IF(F2142&gt;500,"Yüksek",IF(F2142&gt;100,"Orta","Düşük"))</f>
        <v>Yüksek</v>
      </c>
    </row>
    <row r="2143" customFormat="false" ht="12.8" hidden="false" customHeight="false" outlineLevel="0" collapsed="false">
      <c r="A2143" s="4" t="s">
        <v>10</v>
      </c>
      <c r="B2143" s="4" t="s">
        <v>11</v>
      </c>
      <c r="C2143" s="4" t="n">
        <v>31</v>
      </c>
      <c r="D2143" s="5" t="n">
        <v>27</v>
      </c>
      <c r="E2143" s="6" t="n">
        <f aca="false">DATE(2024,5,13)</f>
        <v>45425</v>
      </c>
      <c r="F2143" s="7" t="n">
        <f aca="false">C2143*D2143</f>
        <v>837</v>
      </c>
      <c r="G2143" s="7" t="n">
        <f aca="false">ROUND(F2143*0.2,2)</f>
        <v>167.4</v>
      </c>
      <c r="H2143" s="4" t="str">
        <f aca="false">IF(F2143&gt;500,"Yüksek",IF(F2143&gt;100,"Orta","Düşük"))</f>
        <v>Yüksek</v>
      </c>
    </row>
    <row r="2144" customFormat="false" ht="12.8" hidden="false" customHeight="false" outlineLevel="0" collapsed="false">
      <c r="A2144" s="4" t="s">
        <v>12</v>
      </c>
      <c r="B2144" s="4" t="s">
        <v>13</v>
      </c>
      <c r="C2144" s="4" t="n">
        <v>38</v>
      </c>
      <c r="D2144" s="5" t="n">
        <v>29.75</v>
      </c>
      <c r="E2144" s="6" t="n">
        <f aca="false">DATE(2024,6,14)</f>
        <v>45457</v>
      </c>
      <c r="F2144" s="7" t="n">
        <f aca="false">C2144*D2144</f>
        <v>1130.5</v>
      </c>
      <c r="G2144" s="7" t="n">
        <f aca="false">ROUND(F2144*0.2,2)</f>
        <v>226.1</v>
      </c>
      <c r="H2144" s="4" t="str">
        <f aca="false">IF(F2144&gt;500,"Yüksek",IF(F2144&gt;100,"Orta","Düşük"))</f>
        <v>Yüksek</v>
      </c>
    </row>
    <row r="2145" customFormat="false" ht="12.8" hidden="false" customHeight="false" outlineLevel="0" collapsed="false">
      <c r="A2145" s="4" t="s">
        <v>14</v>
      </c>
      <c r="B2145" s="4" t="s">
        <v>15</v>
      </c>
      <c r="C2145" s="4" t="n">
        <v>45</v>
      </c>
      <c r="D2145" s="5" t="n">
        <v>32.5</v>
      </c>
      <c r="E2145" s="6" t="n">
        <f aca="false">DATE(2024,7,15)</f>
        <v>45488</v>
      </c>
      <c r="F2145" s="7" t="n">
        <f aca="false">C2145*D2145</f>
        <v>1462.5</v>
      </c>
      <c r="G2145" s="7" t="n">
        <f aca="false">ROUND(F2145*0.2,2)</f>
        <v>292.5</v>
      </c>
      <c r="H2145" s="4" t="str">
        <f aca="false">IF(F2145&gt;500,"Yüksek",IF(F2145&gt;100,"Orta","Düşük"))</f>
        <v>Yüksek</v>
      </c>
    </row>
    <row r="2146" customFormat="false" ht="12.8" hidden="false" customHeight="false" outlineLevel="0" collapsed="false">
      <c r="A2146" s="4" t="s">
        <v>16</v>
      </c>
      <c r="B2146" s="4" t="s">
        <v>17</v>
      </c>
      <c r="C2146" s="4" t="n">
        <v>2</v>
      </c>
      <c r="D2146" s="5" t="n">
        <v>35.25</v>
      </c>
      <c r="E2146" s="6" t="n">
        <f aca="false">DATE(2024,8,16)</f>
        <v>45520</v>
      </c>
      <c r="F2146" s="7" t="n">
        <f aca="false">C2146*D2146</f>
        <v>70.5</v>
      </c>
      <c r="G2146" s="7" t="n">
        <f aca="false">ROUND(F2146*0.2,2)</f>
        <v>14.1</v>
      </c>
      <c r="H2146" s="4" t="str">
        <f aca="false">IF(F2146&gt;500,"Yüksek",IF(F2146&gt;100,"Orta","Düşük"))</f>
        <v>Düşük</v>
      </c>
    </row>
    <row r="2147" customFormat="false" ht="12.8" hidden="false" customHeight="false" outlineLevel="0" collapsed="false">
      <c r="A2147" s="4" t="s">
        <v>18</v>
      </c>
      <c r="B2147" s="4" t="s">
        <v>19</v>
      </c>
      <c r="C2147" s="4" t="n">
        <v>9</v>
      </c>
      <c r="D2147" s="5" t="n">
        <v>38</v>
      </c>
      <c r="E2147" s="6" t="n">
        <f aca="false">DATE(2024,9,17)</f>
        <v>45552</v>
      </c>
      <c r="F2147" s="7" t="n">
        <f aca="false">C2147*D2147</f>
        <v>342</v>
      </c>
      <c r="G2147" s="7" t="n">
        <f aca="false">ROUND(F2147*0.2,2)</f>
        <v>68.4</v>
      </c>
      <c r="H2147" s="4" t="str">
        <f aca="false">IF(F2147&gt;500,"Yüksek",IF(F2147&gt;100,"Orta","Düşük"))</f>
        <v>Orta</v>
      </c>
    </row>
    <row r="2148" customFormat="false" ht="12.8" hidden="false" customHeight="false" outlineLevel="0" collapsed="false">
      <c r="A2148" s="4" t="s">
        <v>20</v>
      </c>
      <c r="B2148" s="4" t="s">
        <v>11</v>
      </c>
      <c r="C2148" s="4" t="n">
        <v>16</v>
      </c>
      <c r="D2148" s="5" t="n">
        <v>5</v>
      </c>
      <c r="E2148" s="6" t="n">
        <f aca="false">DATE(2024,10,18)</f>
        <v>45583</v>
      </c>
      <c r="F2148" s="7" t="n">
        <f aca="false">C2148*D2148</f>
        <v>80</v>
      </c>
      <c r="G2148" s="7" t="n">
        <f aca="false">ROUND(F2148*0.2,2)</f>
        <v>16</v>
      </c>
      <c r="H2148" s="4" t="str">
        <f aca="false">IF(F2148&gt;500,"Yüksek",IF(F2148&gt;100,"Orta","Düşük"))</f>
        <v>Düşük</v>
      </c>
    </row>
    <row r="2149" customFormat="false" ht="12.8" hidden="false" customHeight="false" outlineLevel="0" collapsed="false">
      <c r="A2149" s="4" t="s">
        <v>21</v>
      </c>
      <c r="B2149" s="4" t="s">
        <v>13</v>
      </c>
      <c r="C2149" s="4" t="n">
        <v>23</v>
      </c>
      <c r="D2149" s="5" t="n">
        <v>7.75</v>
      </c>
      <c r="E2149" s="6" t="n">
        <f aca="false">DATE(2024,11,19)</f>
        <v>45615</v>
      </c>
      <c r="F2149" s="7" t="n">
        <f aca="false">C2149*D2149</f>
        <v>178.25</v>
      </c>
      <c r="G2149" s="7" t="n">
        <f aca="false">ROUND(F2149*0.2,2)</f>
        <v>35.65</v>
      </c>
      <c r="H2149" s="4" t="str">
        <f aca="false">IF(F2149&gt;500,"Yüksek",IF(F2149&gt;100,"Orta","Düşük"))</f>
        <v>Orta</v>
      </c>
    </row>
    <row r="2150" customFormat="false" ht="12.8" hidden="false" customHeight="false" outlineLevel="0" collapsed="false">
      <c r="A2150" s="4" t="s">
        <v>22</v>
      </c>
      <c r="B2150" s="4" t="s">
        <v>15</v>
      </c>
      <c r="C2150" s="4" t="n">
        <v>30</v>
      </c>
      <c r="D2150" s="5" t="n">
        <v>10.5</v>
      </c>
      <c r="E2150" s="6" t="n">
        <f aca="false">DATE(2024,12,20)</f>
        <v>45646</v>
      </c>
      <c r="F2150" s="7" t="n">
        <f aca="false">C2150*D2150</f>
        <v>315</v>
      </c>
      <c r="G2150" s="7" t="n">
        <f aca="false">ROUND(F2150*0.2,2)</f>
        <v>63</v>
      </c>
      <c r="H2150" s="4" t="str">
        <f aca="false">IF(F2150&gt;500,"Yüksek",IF(F2150&gt;100,"Orta","Düşük"))</f>
        <v>Orta</v>
      </c>
    </row>
    <row r="2151" customFormat="false" ht="12.8" hidden="false" customHeight="false" outlineLevel="0" collapsed="false">
      <c r="A2151" s="4" t="s">
        <v>23</v>
      </c>
      <c r="B2151" s="4" t="s">
        <v>17</v>
      </c>
      <c r="C2151" s="4" t="n">
        <v>37</v>
      </c>
      <c r="D2151" s="5" t="n">
        <v>13.25</v>
      </c>
      <c r="E2151" s="6" t="n">
        <f aca="false">DATE(2024,1,21)</f>
        <v>45312</v>
      </c>
      <c r="F2151" s="7" t="n">
        <f aca="false">C2151*D2151</f>
        <v>490.25</v>
      </c>
      <c r="G2151" s="7" t="n">
        <f aca="false">ROUND(F2151*0.2,2)</f>
        <v>98.05</v>
      </c>
      <c r="H2151" s="4" t="str">
        <f aca="false">IF(F2151&gt;500,"Yüksek",IF(F2151&gt;100,"Orta","Düşük"))</f>
        <v>Orta</v>
      </c>
    </row>
    <row r="2152" customFormat="false" ht="12.8" hidden="false" customHeight="false" outlineLevel="0" collapsed="false">
      <c r="A2152" s="4" t="s">
        <v>24</v>
      </c>
      <c r="B2152" s="4" t="s">
        <v>19</v>
      </c>
      <c r="C2152" s="4" t="n">
        <v>44</v>
      </c>
      <c r="D2152" s="5" t="n">
        <v>16</v>
      </c>
      <c r="E2152" s="6" t="n">
        <f aca="false">DATE(2024,2,22)</f>
        <v>45344</v>
      </c>
      <c r="F2152" s="7" t="n">
        <f aca="false">C2152*D2152</f>
        <v>704</v>
      </c>
      <c r="G2152" s="7" t="n">
        <f aca="false">ROUND(F2152*0.2,2)</f>
        <v>140.8</v>
      </c>
      <c r="H2152" s="4" t="str">
        <f aca="false">IF(F2152&gt;500,"Yüksek",IF(F2152&gt;100,"Orta","Düşük"))</f>
        <v>Yüksek</v>
      </c>
    </row>
    <row r="2153" customFormat="false" ht="12.8" hidden="false" customHeight="false" outlineLevel="0" collapsed="false">
      <c r="A2153" s="4" t="s">
        <v>10</v>
      </c>
      <c r="B2153" s="4" t="s">
        <v>11</v>
      </c>
      <c r="C2153" s="4" t="n">
        <v>1</v>
      </c>
      <c r="D2153" s="5" t="n">
        <v>18.75</v>
      </c>
      <c r="E2153" s="6" t="n">
        <f aca="false">DATE(2024,3,23)</f>
        <v>45374</v>
      </c>
      <c r="F2153" s="7" t="n">
        <f aca="false">C2153*D2153</f>
        <v>18.75</v>
      </c>
      <c r="G2153" s="7" t="n">
        <f aca="false">ROUND(F2153*0.2,2)</f>
        <v>3.75</v>
      </c>
      <c r="H2153" s="4" t="str">
        <f aca="false">IF(F2153&gt;500,"Yüksek",IF(F2153&gt;100,"Orta","Düşük"))</f>
        <v>Düşük</v>
      </c>
    </row>
    <row r="2154" customFormat="false" ht="12.8" hidden="false" customHeight="false" outlineLevel="0" collapsed="false">
      <c r="A2154" s="4" t="s">
        <v>12</v>
      </c>
      <c r="B2154" s="4" t="s">
        <v>13</v>
      </c>
      <c r="C2154" s="4" t="n">
        <v>8</v>
      </c>
      <c r="D2154" s="5" t="n">
        <v>21.5</v>
      </c>
      <c r="E2154" s="6" t="n">
        <f aca="false">DATE(2024,4,24)</f>
        <v>45406</v>
      </c>
      <c r="F2154" s="7" t="n">
        <f aca="false">C2154*D2154</f>
        <v>172</v>
      </c>
      <c r="G2154" s="7" t="n">
        <f aca="false">ROUND(F2154*0.2,2)</f>
        <v>34.4</v>
      </c>
      <c r="H2154" s="4" t="str">
        <f aca="false">IF(F2154&gt;500,"Yüksek",IF(F2154&gt;100,"Orta","Düşük"))</f>
        <v>Orta</v>
      </c>
    </row>
    <row r="2155" customFormat="false" ht="12.8" hidden="false" customHeight="false" outlineLevel="0" collapsed="false">
      <c r="A2155" s="4" t="s">
        <v>14</v>
      </c>
      <c r="B2155" s="4" t="s">
        <v>15</v>
      </c>
      <c r="C2155" s="4" t="n">
        <v>15</v>
      </c>
      <c r="D2155" s="5" t="n">
        <v>24.25</v>
      </c>
      <c r="E2155" s="6" t="n">
        <f aca="false">DATE(2024,5,25)</f>
        <v>45437</v>
      </c>
      <c r="F2155" s="7" t="n">
        <f aca="false">C2155*D2155</f>
        <v>363.75</v>
      </c>
      <c r="G2155" s="7" t="n">
        <f aca="false">ROUND(F2155*0.2,2)</f>
        <v>72.75</v>
      </c>
      <c r="H2155" s="4" t="str">
        <f aca="false">IF(F2155&gt;500,"Yüksek",IF(F2155&gt;100,"Orta","Düşük"))</f>
        <v>Orta</v>
      </c>
    </row>
    <row r="2156" customFormat="false" ht="12.8" hidden="false" customHeight="false" outlineLevel="0" collapsed="false">
      <c r="A2156" s="4" t="s">
        <v>16</v>
      </c>
      <c r="B2156" s="4" t="s">
        <v>17</v>
      </c>
      <c r="C2156" s="4" t="n">
        <v>22</v>
      </c>
      <c r="D2156" s="5" t="n">
        <v>27</v>
      </c>
      <c r="E2156" s="6" t="n">
        <f aca="false">DATE(2024,6,26)</f>
        <v>45469</v>
      </c>
      <c r="F2156" s="7" t="n">
        <f aca="false">C2156*D2156</f>
        <v>594</v>
      </c>
      <c r="G2156" s="7" t="n">
        <f aca="false">ROUND(F2156*0.2,2)</f>
        <v>118.8</v>
      </c>
      <c r="H2156" s="4" t="str">
        <f aca="false">IF(F2156&gt;500,"Yüksek",IF(F2156&gt;100,"Orta","Düşük"))</f>
        <v>Yüksek</v>
      </c>
    </row>
    <row r="2157" customFormat="false" ht="12.8" hidden="false" customHeight="false" outlineLevel="0" collapsed="false">
      <c r="A2157" s="4" t="s">
        <v>18</v>
      </c>
      <c r="B2157" s="4" t="s">
        <v>19</v>
      </c>
      <c r="C2157" s="4" t="n">
        <v>29</v>
      </c>
      <c r="D2157" s="5" t="n">
        <v>29.75</v>
      </c>
      <c r="E2157" s="6" t="n">
        <f aca="false">DATE(2024,7,27)</f>
        <v>45500</v>
      </c>
      <c r="F2157" s="7" t="n">
        <f aca="false">C2157*D2157</f>
        <v>862.75</v>
      </c>
      <c r="G2157" s="7" t="n">
        <f aca="false">ROUND(F2157*0.2,2)</f>
        <v>172.55</v>
      </c>
      <c r="H2157" s="4" t="str">
        <f aca="false">IF(F2157&gt;500,"Yüksek",IF(F2157&gt;100,"Orta","Düşük"))</f>
        <v>Yüksek</v>
      </c>
    </row>
    <row r="2158" customFormat="false" ht="12.8" hidden="false" customHeight="false" outlineLevel="0" collapsed="false">
      <c r="A2158" s="4" t="s">
        <v>20</v>
      </c>
      <c r="B2158" s="4" t="s">
        <v>11</v>
      </c>
      <c r="C2158" s="4" t="n">
        <v>36</v>
      </c>
      <c r="D2158" s="5" t="n">
        <v>32.5</v>
      </c>
      <c r="E2158" s="6" t="n">
        <f aca="false">DATE(2024,8,28)</f>
        <v>45532</v>
      </c>
      <c r="F2158" s="7" t="n">
        <f aca="false">C2158*D2158</f>
        <v>1170</v>
      </c>
      <c r="G2158" s="7" t="n">
        <f aca="false">ROUND(F2158*0.2,2)</f>
        <v>234</v>
      </c>
      <c r="H2158" s="4" t="str">
        <f aca="false">IF(F2158&gt;500,"Yüksek",IF(F2158&gt;100,"Orta","Düşük"))</f>
        <v>Yüksek</v>
      </c>
    </row>
    <row r="2159" customFormat="false" ht="12.8" hidden="false" customHeight="false" outlineLevel="0" collapsed="false">
      <c r="A2159" s="4" t="s">
        <v>21</v>
      </c>
      <c r="B2159" s="4" t="s">
        <v>13</v>
      </c>
      <c r="C2159" s="4" t="n">
        <v>43</v>
      </c>
      <c r="D2159" s="5" t="n">
        <v>35.25</v>
      </c>
      <c r="E2159" s="6" t="n">
        <f aca="false">DATE(2024,9,1)</f>
        <v>45536</v>
      </c>
      <c r="F2159" s="7" t="n">
        <f aca="false">C2159*D2159</f>
        <v>1515.75</v>
      </c>
      <c r="G2159" s="7" t="n">
        <f aca="false">ROUND(F2159*0.2,2)</f>
        <v>303.15</v>
      </c>
      <c r="H2159" s="4" t="str">
        <f aca="false">IF(F2159&gt;500,"Yüksek",IF(F2159&gt;100,"Orta","Düşük"))</f>
        <v>Yüksek</v>
      </c>
    </row>
    <row r="2160" customFormat="false" ht="12.8" hidden="false" customHeight="false" outlineLevel="0" collapsed="false">
      <c r="A2160" s="4" t="s">
        <v>22</v>
      </c>
      <c r="B2160" s="4" t="s">
        <v>15</v>
      </c>
      <c r="C2160" s="4" t="n">
        <v>50</v>
      </c>
      <c r="D2160" s="5" t="n">
        <v>38</v>
      </c>
      <c r="E2160" s="6" t="n">
        <f aca="false">DATE(2024,10,2)</f>
        <v>45567</v>
      </c>
      <c r="F2160" s="7" t="n">
        <f aca="false">C2160*D2160</f>
        <v>1900</v>
      </c>
      <c r="G2160" s="7" t="n">
        <f aca="false">ROUND(F2160*0.2,2)</f>
        <v>380</v>
      </c>
      <c r="H2160" s="4" t="str">
        <f aca="false">IF(F2160&gt;500,"Yüksek",IF(F2160&gt;100,"Orta","Düşük"))</f>
        <v>Yüksek</v>
      </c>
    </row>
    <row r="2161" customFormat="false" ht="12.8" hidden="false" customHeight="false" outlineLevel="0" collapsed="false">
      <c r="A2161" s="4" t="s">
        <v>23</v>
      </c>
      <c r="B2161" s="4" t="s">
        <v>17</v>
      </c>
      <c r="C2161" s="4" t="n">
        <v>7</v>
      </c>
      <c r="D2161" s="5" t="n">
        <v>5</v>
      </c>
      <c r="E2161" s="6" t="n">
        <f aca="false">DATE(2024,11,3)</f>
        <v>45599</v>
      </c>
      <c r="F2161" s="7" t="n">
        <f aca="false">C2161*D2161</f>
        <v>35</v>
      </c>
      <c r="G2161" s="7" t="n">
        <f aca="false">ROUND(F2161*0.2,2)</f>
        <v>7</v>
      </c>
      <c r="H2161" s="4" t="str">
        <f aca="false">IF(F2161&gt;500,"Yüksek",IF(F2161&gt;100,"Orta","Düşük"))</f>
        <v>Düşük</v>
      </c>
    </row>
    <row r="2162" customFormat="false" ht="12.8" hidden="false" customHeight="false" outlineLevel="0" collapsed="false">
      <c r="A2162" s="4" t="s">
        <v>24</v>
      </c>
      <c r="B2162" s="4" t="s">
        <v>19</v>
      </c>
      <c r="C2162" s="4" t="n">
        <v>14</v>
      </c>
      <c r="D2162" s="5" t="n">
        <v>7.75</v>
      </c>
      <c r="E2162" s="6" t="n">
        <f aca="false">DATE(2024,12,4)</f>
        <v>45630</v>
      </c>
      <c r="F2162" s="7" t="n">
        <f aca="false">C2162*D2162</f>
        <v>108.5</v>
      </c>
      <c r="G2162" s="7" t="n">
        <f aca="false">ROUND(F2162*0.2,2)</f>
        <v>21.7</v>
      </c>
      <c r="H2162" s="4" t="str">
        <f aca="false">IF(F2162&gt;500,"Yüksek",IF(F2162&gt;100,"Orta","Düşük"))</f>
        <v>Orta</v>
      </c>
    </row>
    <row r="2163" customFormat="false" ht="12.8" hidden="false" customHeight="false" outlineLevel="0" collapsed="false">
      <c r="A2163" s="4" t="s">
        <v>10</v>
      </c>
      <c r="B2163" s="4" t="s">
        <v>11</v>
      </c>
      <c r="C2163" s="4" t="n">
        <v>21</v>
      </c>
      <c r="D2163" s="5" t="n">
        <v>10.5</v>
      </c>
      <c r="E2163" s="6" t="n">
        <f aca="false">DATE(2024,1,5)</f>
        <v>45296</v>
      </c>
      <c r="F2163" s="7" t="n">
        <f aca="false">C2163*D2163</f>
        <v>220.5</v>
      </c>
      <c r="G2163" s="7" t="n">
        <f aca="false">ROUND(F2163*0.2,2)</f>
        <v>44.1</v>
      </c>
      <c r="H2163" s="4" t="str">
        <f aca="false">IF(F2163&gt;500,"Yüksek",IF(F2163&gt;100,"Orta","Düşük"))</f>
        <v>Orta</v>
      </c>
    </row>
    <row r="2164" customFormat="false" ht="12.8" hidden="false" customHeight="false" outlineLevel="0" collapsed="false">
      <c r="A2164" s="4" t="s">
        <v>12</v>
      </c>
      <c r="B2164" s="4" t="s">
        <v>13</v>
      </c>
      <c r="C2164" s="4" t="n">
        <v>28</v>
      </c>
      <c r="D2164" s="5" t="n">
        <v>13.25</v>
      </c>
      <c r="E2164" s="6" t="n">
        <f aca="false">DATE(2024,2,6)</f>
        <v>45328</v>
      </c>
      <c r="F2164" s="7" t="n">
        <f aca="false">C2164*D2164</f>
        <v>371</v>
      </c>
      <c r="G2164" s="7" t="n">
        <f aca="false">ROUND(F2164*0.2,2)</f>
        <v>74.2</v>
      </c>
      <c r="H2164" s="4" t="str">
        <f aca="false">IF(F2164&gt;500,"Yüksek",IF(F2164&gt;100,"Orta","Düşük"))</f>
        <v>Orta</v>
      </c>
    </row>
    <row r="2165" customFormat="false" ht="12.8" hidden="false" customHeight="false" outlineLevel="0" collapsed="false">
      <c r="A2165" s="4" t="s">
        <v>14</v>
      </c>
      <c r="B2165" s="4" t="s">
        <v>15</v>
      </c>
      <c r="C2165" s="4" t="n">
        <v>35</v>
      </c>
      <c r="D2165" s="5" t="n">
        <v>16</v>
      </c>
      <c r="E2165" s="6" t="n">
        <f aca="false">DATE(2024,3,7)</f>
        <v>45358</v>
      </c>
      <c r="F2165" s="7" t="n">
        <f aca="false">C2165*D2165</f>
        <v>560</v>
      </c>
      <c r="G2165" s="7" t="n">
        <f aca="false">ROUND(F2165*0.2,2)</f>
        <v>112</v>
      </c>
      <c r="H2165" s="4" t="str">
        <f aca="false">IF(F2165&gt;500,"Yüksek",IF(F2165&gt;100,"Orta","Düşük"))</f>
        <v>Yüksek</v>
      </c>
    </row>
    <row r="2166" customFormat="false" ht="12.8" hidden="false" customHeight="false" outlineLevel="0" collapsed="false">
      <c r="A2166" s="4" t="s">
        <v>16</v>
      </c>
      <c r="B2166" s="4" t="s">
        <v>17</v>
      </c>
      <c r="C2166" s="4" t="n">
        <v>42</v>
      </c>
      <c r="D2166" s="5" t="n">
        <v>18.75</v>
      </c>
      <c r="E2166" s="6" t="n">
        <f aca="false">DATE(2024,4,8)</f>
        <v>45390</v>
      </c>
      <c r="F2166" s="7" t="n">
        <f aca="false">C2166*D2166</f>
        <v>787.5</v>
      </c>
      <c r="G2166" s="7" t="n">
        <f aca="false">ROUND(F2166*0.2,2)</f>
        <v>157.5</v>
      </c>
      <c r="H2166" s="4" t="str">
        <f aca="false">IF(F2166&gt;500,"Yüksek",IF(F2166&gt;100,"Orta","Düşük"))</f>
        <v>Yüksek</v>
      </c>
    </row>
    <row r="2167" customFormat="false" ht="12.8" hidden="false" customHeight="false" outlineLevel="0" collapsed="false">
      <c r="A2167" s="4" t="s">
        <v>18</v>
      </c>
      <c r="B2167" s="4" t="s">
        <v>19</v>
      </c>
      <c r="C2167" s="4" t="n">
        <v>49</v>
      </c>
      <c r="D2167" s="5" t="n">
        <v>21.5</v>
      </c>
      <c r="E2167" s="6" t="n">
        <f aca="false">DATE(2024,5,9)</f>
        <v>45421</v>
      </c>
      <c r="F2167" s="7" t="n">
        <f aca="false">C2167*D2167</f>
        <v>1053.5</v>
      </c>
      <c r="G2167" s="7" t="n">
        <f aca="false">ROUND(F2167*0.2,2)</f>
        <v>210.7</v>
      </c>
      <c r="H2167" s="4" t="str">
        <f aca="false">IF(F2167&gt;500,"Yüksek",IF(F2167&gt;100,"Orta","Düşük"))</f>
        <v>Yüksek</v>
      </c>
    </row>
    <row r="2168" customFormat="false" ht="12.8" hidden="false" customHeight="false" outlineLevel="0" collapsed="false">
      <c r="A2168" s="4" t="s">
        <v>20</v>
      </c>
      <c r="B2168" s="4" t="s">
        <v>11</v>
      </c>
      <c r="C2168" s="4" t="n">
        <v>6</v>
      </c>
      <c r="D2168" s="5" t="n">
        <v>24.25</v>
      </c>
      <c r="E2168" s="6" t="n">
        <f aca="false">DATE(2024,6,10)</f>
        <v>45453</v>
      </c>
      <c r="F2168" s="7" t="n">
        <f aca="false">C2168*D2168</f>
        <v>145.5</v>
      </c>
      <c r="G2168" s="7" t="n">
        <f aca="false">ROUND(F2168*0.2,2)</f>
        <v>29.1</v>
      </c>
      <c r="H2168" s="4" t="str">
        <f aca="false">IF(F2168&gt;500,"Yüksek",IF(F2168&gt;100,"Orta","Düşük"))</f>
        <v>Orta</v>
      </c>
    </row>
    <row r="2169" customFormat="false" ht="12.8" hidden="false" customHeight="false" outlineLevel="0" collapsed="false">
      <c r="A2169" s="4" t="s">
        <v>21</v>
      </c>
      <c r="B2169" s="4" t="s">
        <v>13</v>
      </c>
      <c r="C2169" s="4" t="n">
        <v>13</v>
      </c>
      <c r="D2169" s="5" t="n">
        <v>27</v>
      </c>
      <c r="E2169" s="6" t="n">
        <f aca="false">DATE(2024,7,11)</f>
        <v>45484</v>
      </c>
      <c r="F2169" s="7" t="n">
        <f aca="false">C2169*D2169</f>
        <v>351</v>
      </c>
      <c r="G2169" s="7" t="n">
        <f aca="false">ROUND(F2169*0.2,2)</f>
        <v>70.2</v>
      </c>
      <c r="H2169" s="4" t="str">
        <f aca="false">IF(F2169&gt;500,"Yüksek",IF(F2169&gt;100,"Orta","Düşük"))</f>
        <v>Orta</v>
      </c>
    </row>
    <row r="2170" customFormat="false" ht="12.8" hidden="false" customHeight="false" outlineLevel="0" collapsed="false">
      <c r="A2170" s="4" t="s">
        <v>22</v>
      </c>
      <c r="B2170" s="4" t="s">
        <v>15</v>
      </c>
      <c r="C2170" s="4" t="n">
        <v>20</v>
      </c>
      <c r="D2170" s="5" t="n">
        <v>29.75</v>
      </c>
      <c r="E2170" s="6" t="n">
        <f aca="false">DATE(2024,8,12)</f>
        <v>45516</v>
      </c>
      <c r="F2170" s="7" t="n">
        <f aca="false">C2170*D2170</f>
        <v>595</v>
      </c>
      <c r="G2170" s="7" t="n">
        <f aca="false">ROUND(F2170*0.2,2)</f>
        <v>119</v>
      </c>
      <c r="H2170" s="4" t="str">
        <f aca="false">IF(F2170&gt;500,"Yüksek",IF(F2170&gt;100,"Orta","Düşük"))</f>
        <v>Yüksek</v>
      </c>
    </row>
    <row r="2171" customFormat="false" ht="12.8" hidden="false" customHeight="false" outlineLevel="0" collapsed="false">
      <c r="A2171" s="4" t="s">
        <v>23</v>
      </c>
      <c r="B2171" s="4" t="s">
        <v>17</v>
      </c>
      <c r="C2171" s="4" t="n">
        <v>27</v>
      </c>
      <c r="D2171" s="5" t="n">
        <v>32.5</v>
      </c>
      <c r="E2171" s="6" t="n">
        <f aca="false">DATE(2024,9,13)</f>
        <v>45548</v>
      </c>
      <c r="F2171" s="7" t="n">
        <f aca="false">C2171*D2171</f>
        <v>877.5</v>
      </c>
      <c r="G2171" s="7" t="n">
        <f aca="false">ROUND(F2171*0.2,2)</f>
        <v>175.5</v>
      </c>
      <c r="H2171" s="4" t="str">
        <f aca="false">IF(F2171&gt;500,"Yüksek",IF(F2171&gt;100,"Orta","Düşük"))</f>
        <v>Yüksek</v>
      </c>
    </row>
    <row r="2172" customFormat="false" ht="12.8" hidden="false" customHeight="false" outlineLevel="0" collapsed="false">
      <c r="A2172" s="4" t="s">
        <v>24</v>
      </c>
      <c r="B2172" s="4" t="s">
        <v>19</v>
      </c>
      <c r="C2172" s="4" t="n">
        <v>34</v>
      </c>
      <c r="D2172" s="5" t="n">
        <v>35.25</v>
      </c>
      <c r="E2172" s="6" t="n">
        <f aca="false">DATE(2024,10,14)</f>
        <v>45579</v>
      </c>
      <c r="F2172" s="7" t="n">
        <f aca="false">C2172*D2172</f>
        <v>1198.5</v>
      </c>
      <c r="G2172" s="7" t="n">
        <f aca="false">ROUND(F2172*0.2,2)</f>
        <v>239.7</v>
      </c>
      <c r="H2172" s="4" t="str">
        <f aca="false">IF(F2172&gt;500,"Yüksek",IF(F2172&gt;100,"Orta","Düşük"))</f>
        <v>Yüksek</v>
      </c>
    </row>
    <row r="2173" customFormat="false" ht="12.8" hidden="false" customHeight="false" outlineLevel="0" collapsed="false">
      <c r="A2173" s="4" t="s">
        <v>10</v>
      </c>
      <c r="B2173" s="4" t="s">
        <v>11</v>
      </c>
      <c r="C2173" s="4" t="n">
        <v>41</v>
      </c>
      <c r="D2173" s="5" t="n">
        <v>38</v>
      </c>
      <c r="E2173" s="6" t="n">
        <f aca="false">DATE(2024,11,15)</f>
        <v>45611</v>
      </c>
      <c r="F2173" s="7" t="n">
        <f aca="false">C2173*D2173</f>
        <v>1558</v>
      </c>
      <c r="G2173" s="7" t="n">
        <f aca="false">ROUND(F2173*0.2,2)</f>
        <v>311.6</v>
      </c>
      <c r="H2173" s="4" t="str">
        <f aca="false">IF(F2173&gt;500,"Yüksek",IF(F2173&gt;100,"Orta","Düşük"))</f>
        <v>Yüksek</v>
      </c>
    </row>
    <row r="2174" customFormat="false" ht="12.8" hidden="false" customHeight="false" outlineLevel="0" collapsed="false">
      <c r="A2174" s="4" t="s">
        <v>12</v>
      </c>
      <c r="B2174" s="4" t="s">
        <v>13</v>
      </c>
      <c r="C2174" s="4" t="n">
        <v>48</v>
      </c>
      <c r="D2174" s="5" t="n">
        <v>5</v>
      </c>
      <c r="E2174" s="6" t="n">
        <f aca="false">DATE(2024,12,16)</f>
        <v>45642</v>
      </c>
      <c r="F2174" s="7" t="n">
        <f aca="false">C2174*D2174</f>
        <v>240</v>
      </c>
      <c r="G2174" s="7" t="n">
        <f aca="false">ROUND(F2174*0.2,2)</f>
        <v>48</v>
      </c>
      <c r="H2174" s="4" t="str">
        <f aca="false">IF(F2174&gt;500,"Yüksek",IF(F2174&gt;100,"Orta","Düşük"))</f>
        <v>Orta</v>
      </c>
    </row>
    <row r="2175" customFormat="false" ht="12.8" hidden="false" customHeight="false" outlineLevel="0" collapsed="false">
      <c r="A2175" s="4" t="s">
        <v>14</v>
      </c>
      <c r="B2175" s="4" t="s">
        <v>15</v>
      </c>
      <c r="C2175" s="4" t="n">
        <v>5</v>
      </c>
      <c r="D2175" s="5" t="n">
        <v>7.75</v>
      </c>
      <c r="E2175" s="6" t="n">
        <f aca="false">DATE(2024,1,17)</f>
        <v>45308</v>
      </c>
      <c r="F2175" s="7" t="n">
        <f aca="false">C2175*D2175</f>
        <v>38.75</v>
      </c>
      <c r="G2175" s="7" t="n">
        <f aca="false">ROUND(F2175*0.2,2)</f>
        <v>7.75</v>
      </c>
      <c r="H2175" s="4" t="str">
        <f aca="false">IF(F2175&gt;500,"Yüksek",IF(F2175&gt;100,"Orta","Düşük"))</f>
        <v>Düşük</v>
      </c>
    </row>
    <row r="2176" customFormat="false" ht="12.8" hidden="false" customHeight="false" outlineLevel="0" collapsed="false">
      <c r="A2176" s="4" t="s">
        <v>16</v>
      </c>
      <c r="B2176" s="4" t="s">
        <v>17</v>
      </c>
      <c r="C2176" s="4" t="n">
        <v>12</v>
      </c>
      <c r="D2176" s="5" t="n">
        <v>10.5</v>
      </c>
      <c r="E2176" s="6" t="n">
        <f aca="false">DATE(2024,2,18)</f>
        <v>45340</v>
      </c>
      <c r="F2176" s="7" t="n">
        <f aca="false">C2176*D2176</f>
        <v>126</v>
      </c>
      <c r="G2176" s="7" t="n">
        <f aca="false">ROUND(F2176*0.2,2)</f>
        <v>25.2</v>
      </c>
      <c r="H2176" s="4" t="str">
        <f aca="false">IF(F2176&gt;500,"Yüksek",IF(F2176&gt;100,"Orta","Düşük"))</f>
        <v>Orta</v>
      </c>
    </row>
    <row r="2177" customFormat="false" ht="12.8" hidden="false" customHeight="false" outlineLevel="0" collapsed="false">
      <c r="A2177" s="4" t="s">
        <v>18</v>
      </c>
      <c r="B2177" s="4" t="s">
        <v>19</v>
      </c>
      <c r="C2177" s="4" t="n">
        <v>19</v>
      </c>
      <c r="D2177" s="5" t="n">
        <v>13.25</v>
      </c>
      <c r="E2177" s="6" t="n">
        <f aca="false">DATE(2024,3,19)</f>
        <v>45370</v>
      </c>
      <c r="F2177" s="7" t="n">
        <f aca="false">C2177*D2177</f>
        <v>251.75</v>
      </c>
      <c r="G2177" s="7" t="n">
        <f aca="false">ROUND(F2177*0.2,2)</f>
        <v>50.35</v>
      </c>
      <c r="H2177" s="4" t="str">
        <f aca="false">IF(F2177&gt;500,"Yüksek",IF(F2177&gt;100,"Orta","Düşük"))</f>
        <v>Orta</v>
      </c>
    </row>
    <row r="2178" customFormat="false" ht="12.8" hidden="false" customHeight="false" outlineLevel="0" collapsed="false">
      <c r="A2178" s="4" t="s">
        <v>20</v>
      </c>
      <c r="B2178" s="4" t="s">
        <v>11</v>
      </c>
      <c r="C2178" s="4" t="n">
        <v>26</v>
      </c>
      <c r="D2178" s="5" t="n">
        <v>16</v>
      </c>
      <c r="E2178" s="6" t="n">
        <f aca="false">DATE(2024,4,20)</f>
        <v>45402</v>
      </c>
      <c r="F2178" s="7" t="n">
        <f aca="false">C2178*D2178</f>
        <v>416</v>
      </c>
      <c r="G2178" s="7" t="n">
        <f aca="false">ROUND(F2178*0.2,2)</f>
        <v>83.2</v>
      </c>
      <c r="H2178" s="4" t="str">
        <f aca="false">IF(F2178&gt;500,"Yüksek",IF(F2178&gt;100,"Orta","Düşük"))</f>
        <v>Orta</v>
      </c>
    </row>
    <row r="2179" customFormat="false" ht="12.8" hidden="false" customHeight="false" outlineLevel="0" collapsed="false">
      <c r="A2179" s="4" t="s">
        <v>21</v>
      </c>
      <c r="B2179" s="4" t="s">
        <v>13</v>
      </c>
      <c r="C2179" s="4" t="n">
        <v>33</v>
      </c>
      <c r="D2179" s="5" t="n">
        <v>18.75</v>
      </c>
      <c r="E2179" s="6" t="n">
        <f aca="false">DATE(2024,5,21)</f>
        <v>45433</v>
      </c>
      <c r="F2179" s="7" t="n">
        <f aca="false">C2179*D2179</f>
        <v>618.75</v>
      </c>
      <c r="G2179" s="7" t="n">
        <f aca="false">ROUND(F2179*0.2,2)</f>
        <v>123.75</v>
      </c>
      <c r="H2179" s="4" t="str">
        <f aca="false">IF(F2179&gt;500,"Yüksek",IF(F2179&gt;100,"Orta","Düşük"))</f>
        <v>Yüksek</v>
      </c>
    </row>
    <row r="2180" customFormat="false" ht="12.8" hidden="false" customHeight="false" outlineLevel="0" collapsed="false">
      <c r="A2180" s="4" t="s">
        <v>22</v>
      </c>
      <c r="B2180" s="4" t="s">
        <v>15</v>
      </c>
      <c r="C2180" s="4" t="n">
        <v>40</v>
      </c>
      <c r="D2180" s="5" t="n">
        <v>21.5</v>
      </c>
      <c r="E2180" s="6" t="n">
        <f aca="false">DATE(2024,6,22)</f>
        <v>45465</v>
      </c>
      <c r="F2180" s="7" t="n">
        <f aca="false">C2180*D2180</f>
        <v>860</v>
      </c>
      <c r="G2180" s="7" t="n">
        <f aca="false">ROUND(F2180*0.2,2)</f>
        <v>172</v>
      </c>
      <c r="H2180" s="4" t="str">
        <f aca="false">IF(F2180&gt;500,"Yüksek",IF(F2180&gt;100,"Orta","Düşük"))</f>
        <v>Yüksek</v>
      </c>
    </row>
    <row r="2181" customFormat="false" ht="12.8" hidden="false" customHeight="false" outlineLevel="0" collapsed="false">
      <c r="A2181" s="4" t="s">
        <v>23</v>
      </c>
      <c r="B2181" s="4" t="s">
        <v>17</v>
      </c>
      <c r="C2181" s="4" t="n">
        <v>47</v>
      </c>
      <c r="D2181" s="5" t="n">
        <v>24.25</v>
      </c>
      <c r="E2181" s="6" t="n">
        <f aca="false">DATE(2024,7,23)</f>
        <v>45496</v>
      </c>
      <c r="F2181" s="7" t="n">
        <f aca="false">C2181*D2181</f>
        <v>1139.75</v>
      </c>
      <c r="G2181" s="7" t="n">
        <f aca="false">ROUND(F2181*0.2,2)</f>
        <v>227.95</v>
      </c>
      <c r="H2181" s="4" t="str">
        <f aca="false">IF(F2181&gt;500,"Yüksek",IF(F2181&gt;100,"Orta","Düşük"))</f>
        <v>Yüksek</v>
      </c>
    </row>
    <row r="2182" customFormat="false" ht="12.8" hidden="false" customHeight="false" outlineLevel="0" collapsed="false">
      <c r="A2182" s="4" t="s">
        <v>24</v>
      </c>
      <c r="B2182" s="4" t="s">
        <v>19</v>
      </c>
      <c r="C2182" s="4" t="n">
        <v>4</v>
      </c>
      <c r="D2182" s="5" t="n">
        <v>27</v>
      </c>
      <c r="E2182" s="6" t="n">
        <f aca="false">DATE(2024,8,24)</f>
        <v>45528</v>
      </c>
      <c r="F2182" s="7" t="n">
        <f aca="false">C2182*D2182</f>
        <v>108</v>
      </c>
      <c r="G2182" s="7" t="n">
        <f aca="false">ROUND(F2182*0.2,2)</f>
        <v>21.6</v>
      </c>
      <c r="H2182" s="4" t="str">
        <f aca="false">IF(F2182&gt;500,"Yüksek",IF(F2182&gt;100,"Orta","Düşük"))</f>
        <v>Orta</v>
      </c>
    </row>
    <row r="2183" customFormat="false" ht="12.8" hidden="false" customHeight="false" outlineLevel="0" collapsed="false">
      <c r="A2183" s="4" t="s">
        <v>10</v>
      </c>
      <c r="B2183" s="4" t="s">
        <v>11</v>
      </c>
      <c r="C2183" s="4" t="n">
        <v>11</v>
      </c>
      <c r="D2183" s="5" t="n">
        <v>29.75</v>
      </c>
      <c r="E2183" s="6" t="n">
        <f aca="false">DATE(2024,9,25)</f>
        <v>45560</v>
      </c>
      <c r="F2183" s="7" t="n">
        <f aca="false">C2183*D2183</f>
        <v>327.25</v>
      </c>
      <c r="G2183" s="7" t="n">
        <f aca="false">ROUND(F2183*0.2,2)</f>
        <v>65.45</v>
      </c>
      <c r="H2183" s="4" t="str">
        <f aca="false">IF(F2183&gt;500,"Yüksek",IF(F2183&gt;100,"Orta","Düşük"))</f>
        <v>Orta</v>
      </c>
    </row>
    <row r="2184" customFormat="false" ht="12.8" hidden="false" customHeight="false" outlineLevel="0" collapsed="false">
      <c r="A2184" s="4" t="s">
        <v>12</v>
      </c>
      <c r="B2184" s="4" t="s">
        <v>13</v>
      </c>
      <c r="C2184" s="4" t="n">
        <v>18</v>
      </c>
      <c r="D2184" s="5" t="n">
        <v>32.5</v>
      </c>
      <c r="E2184" s="6" t="n">
        <f aca="false">DATE(2024,10,26)</f>
        <v>45591</v>
      </c>
      <c r="F2184" s="7" t="n">
        <f aca="false">C2184*D2184</f>
        <v>585</v>
      </c>
      <c r="G2184" s="7" t="n">
        <f aca="false">ROUND(F2184*0.2,2)</f>
        <v>117</v>
      </c>
      <c r="H2184" s="4" t="str">
        <f aca="false">IF(F2184&gt;500,"Yüksek",IF(F2184&gt;100,"Orta","Düşük"))</f>
        <v>Yüksek</v>
      </c>
    </row>
    <row r="2185" customFormat="false" ht="12.8" hidden="false" customHeight="false" outlineLevel="0" collapsed="false">
      <c r="A2185" s="4" t="s">
        <v>14</v>
      </c>
      <c r="B2185" s="4" t="s">
        <v>15</v>
      </c>
      <c r="C2185" s="4" t="n">
        <v>25</v>
      </c>
      <c r="D2185" s="5" t="n">
        <v>35.25</v>
      </c>
      <c r="E2185" s="6" t="n">
        <f aca="false">DATE(2024,11,27)</f>
        <v>45623</v>
      </c>
      <c r="F2185" s="7" t="n">
        <f aca="false">C2185*D2185</f>
        <v>881.25</v>
      </c>
      <c r="G2185" s="7" t="n">
        <f aca="false">ROUND(F2185*0.2,2)</f>
        <v>176.25</v>
      </c>
      <c r="H2185" s="4" t="str">
        <f aca="false">IF(F2185&gt;500,"Yüksek",IF(F2185&gt;100,"Orta","Düşük"))</f>
        <v>Yüksek</v>
      </c>
    </row>
    <row r="2186" customFormat="false" ht="12.8" hidden="false" customHeight="false" outlineLevel="0" collapsed="false">
      <c r="A2186" s="4" t="s">
        <v>16</v>
      </c>
      <c r="B2186" s="4" t="s">
        <v>17</v>
      </c>
      <c r="C2186" s="4" t="n">
        <v>32</v>
      </c>
      <c r="D2186" s="5" t="n">
        <v>38</v>
      </c>
      <c r="E2186" s="6" t="n">
        <f aca="false">DATE(2024,12,28)</f>
        <v>45654</v>
      </c>
      <c r="F2186" s="7" t="n">
        <f aca="false">C2186*D2186</f>
        <v>1216</v>
      </c>
      <c r="G2186" s="7" t="n">
        <f aca="false">ROUND(F2186*0.2,2)</f>
        <v>243.2</v>
      </c>
      <c r="H2186" s="4" t="str">
        <f aca="false">IF(F2186&gt;500,"Yüksek",IF(F2186&gt;100,"Orta","Düşük"))</f>
        <v>Yüksek</v>
      </c>
    </row>
    <row r="2187" customFormat="false" ht="12.8" hidden="false" customHeight="false" outlineLevel="0" collapsed="false">
      <c r="A2187" s="4" t="s">
        <v>18</v>
      </c>
      <c r="B2187" s="4" t="s">
        <v>19</v>
      </c>
      <c r="C2187" s="4" t="n">
        <v>39</v>
      </c>
      <c r="D2187" s="5" t="n">
        <v>5</v>
      </c>
      <c r="E2187" s="6" t="n">
        <f aca="false">DATE(2024,1,1)</f>
        <v>45292</v>
      </c>
      <c r="F2187" s="7" t="n">
        <f aca="false">C2187*D2187</f>
        <v>195</v>
      </c>
      <c r="G2187" s="7" t="n">
        <f aca="false">ROUND(F2187*0.2,2)</f>
        <v>39</v>
      </c>
      <c r="H2187" s="4" t="str">
        <f aca="false">IF(F2187&gt;500,"Yüksek",IF(F2187&gt;100,"Orta","Düşük"))</f>
        <v>Orta</v>
      </c>
    </row>
    <row r="2188" customFormat="false" ht="12.8" hidden="false" customHeight="false" outlineLevel="0" collapsed="false">
      <c r="A2188" s="4" t="s">
        <v>20</v>
      </c>
      <c r="B2188" s="4" t="s">
        <v>11</v>
      </c>
      <c r="C2188" s="4" t="n">
        <v>46</v>
      </c>
      <c r="D2188" s="5" t="n">
        <v>7.75</v>
      </c>
      <c r="E2188" s="6" t="n">
        <f aca="false">DATE(2024,2,2)</f>
        <v>45324</v>
      </c>
      <c r="F2188" s="7" t="n">
        <f aca="false">C2188*D2188</f>
        <v>356.5</v>
      </c>
      <c r="G2188" s="7" t="n">
        <f aca="false">ROUND(F2188*0.2,2)</f>
        <v>71.3</v>
      </c>
      <c r="H2188" s="4" t="str">
        <f aca="false">IF(F2188&gt;500,"Yüksek",IF(F2188&gt;100,"Orta","Düşük"))</f>
        <v>Orta</v>
      </c>
    </row>
    <row r="2189" customFormat="false" ht="12.8" hidden="false" customHeight="false" outlineLevel="0" collapsed="false">
      <c r="A2189" s="4" t="s">
        <v>21</v>
      </c>
      <c r="B2189" s="4" t="s">
        <v>13</v>
      </c>
      <c r="C2189" s="4" t="n">
        <v>3</v>
      </c>
      <c r="D2189" s="5" t="n">
        <v>10.5</v>
      </c>
      <c r="E2189" s="6" t="n">
        <f aca="false">DATE(2024,3,3)</f>
        <v>45354</v>
      </c>
      <c r="F2189" s="7" t="n">
        <f aca="false">C2189*D2189</f>
        <v>31.5</v>
      </c>
      <c r="G2189" s="7" t="n">
        <f aca="false">ROUND(F2189*0.2,2)</f>
        <v>6.3</v>
      </c>
      <c r="H2189" s="4" t="str">
        <f aca="false">IF(F2189&gt;500,"Yüksek",IF(F2189&gt;100,"Orta","Düşük"))</f>
        <v>Düşük</v>
      </c>
    </row>
    <row r="2190" customFormat="false" ht="12.8" hidden="false" customHeight="false" outlineLevel="0" collapsed="false">
      <c r="A2190" s="4" t="s">
        <v>22</v>
      </c>
      <c r="B2190" s="4" t="s">
        <v>15</v>
      </c>
      <c r="C2190" s="4" t="n">
        <v>10</v>
      </c>
      <c r="D2190" s="5" t="n">
        <v>13.25</v>
      </c>
      <c r="E2190" s="6" t="n">
        <f aca="false">DATE(2024,4,4)</f>
        <v>45386</v>
      </c>
      <c r="F2190" s="7" t="n">
        <f aca="false">C2190*D2190</f>
        <v>132.5</v>
      </c>
      <c r="G2190" s="7" t="n">
        <f aca="false">ROUND(F2190*0.2,2)</f>
        <v>26.5</v>
      </c>
      <c r="H2190" s="4" t="str">
        <f aca="false">IF(F2190&gt;500,"Yüksek",IF(F2190&gt;100,"Orta","Düşük"))</f>
        <v>Orta</v>
      </c>
    </row>
    <row r="2191" customFormat="false" ht="12.8" hidden="false" customHeight="false" outlineLevel="0" collapsed="false">
      <c r="A2191" s="4" t="s">
        <v>23</v>
      </c>
      <c r="B2191" s="4" t="s">
        <v>17</v>
      </c>
      <c r="C2191" s="4" t="n">
        <v>17</v>
      </c>
      <c r="D2191" s="5" t="n">
        <v>16</v>
      </c>
      <c r="E2191" s="6" t="n">
        <f aca="false">DATE(2024,5,5)</f>
        <v>45417</v>
      </c>
      <c r="F2191" s="7" t="n">
        <f aca="false">C2191*D2191</f>
        <v>272</v>
      </c>
      <c r="G2191" s="7" t="n">
        <f aca="false">ROUND(F2191*0.2,2)</f>
        <v>54.4</v>
      </c>
      <c r="H2191" s="4" t="str">
        <f aca="false">IF(F2191&gt;500,"Yüksek",IF(F2191&gt;100,"Orta","Düşük"))</f>
        <v>Orta</v>
      </c>
    </row>
    <row r="2192" customFormat="false" ht="12.8" hidden="false" customHeight="false" outlineLevel="0" collapsed="false">
      <c r="A2192" s="4" t="s">
        <v>24</v>
      </c>
      <c r="B2192" s="4" t="s">
        <v>19</v>
      </c>
      <c r="C2192" s="4" t="n">
        <v>24</v>
      </c>
      <c r="D2192" s="5" t="n">
        <v>18.75</v>
      </c>
      <c r="E2192" s="6" t="n">
        <f aca="false">DATE(2024,6,6)</f>
        <v>45449</v>
      </c>
      <c r="F2192" s="7" t="n">
        <f aca="false">C2192*D2192</f>
        <v>450</v>
      </c>
      <c r="G2192" s="7" t="n">
        <f aca="false">ROUND(F2192*0.2,2)</f>
        <v>90</v>
      </c>
      <c r="H2192" s="4" t="str">
        <f aca="false">IF(F2192&gt;500,"Yüksek",IF(F2192&gt;100,"Orta","Düşük"))</f>
        <v>Orta</v>
      </c>
    </row>
    <row r="2193" customFormat="false" ht="12.8" hidden="false" customHeight="false" outlineLevel="0" collapsed="false">
      <c r="A2193" s="4" t="s">
        <v>10</v>
      </c>
      <c r="B2193" s="4" t="s">
        <v>11</v>
      </c>
      <c r="C2193" s="4" t="n">
        <v>31</v>
      </c>
      <c r="D2193" s="5" t="n">
        <v>21.5</v>
      </c>
      <c r="E2193" s="6" t="n">
        <f aca="false">DATE(2024,7,7)</f>
        <v>45480</v>
      </c>
      <c r="F2193" s="7" t="n">
        <f aca="false">C2193*D2193</f>
        <v>666.5</v>
      </c>
      <c r="G2193" s="7" t="n">
        <f aca="false">ROUND(F2193*0.2,2)</f>
        <v>133.3</v>
      </c>
      <c r="H2193" s="4" t="str">
        <f aca="false">IF(F2193&gt;500,"Yüksek",IF(F2193&gt;100,"Orta","Düşük"))</f>
        <v>Yüksek</v>
      </c>
    </row>
    <row r="2194" customFormat="false" ht="12.8" hidden="false" customHeight="false" outlineLevel="0" collapsed="false">
      <c r="A2194" s="4" t="s">
        <v>12</v>
      </c>
      <c r="B2194" s="4" t="s">
        <v>13</v>
      </c>
      <c r="C2194" s="4" t="n">
        <v>38</v>
      </c>
      <c r="D2194" s="5" t="n">
        <v>24.25</v>
      </c>
      <c r="E2194" s="6" t="n">
        <f aca="false">DATE(2024,8,8)</f>
        <v>45512</v>
      </c>
      <c r="F2194" s="7" t="n">
        <f aca="false">C2194*D2194</f>
        <v>921.5</v>
      </c>
      <c r="G2194" s="7" t="n">
        <f aca="false">ROUND(F2194*0.2,2)</f>
        <v>184.3</v>
      </c>
      <c r="H2194" s="4" t="str">
        <f aca="false">IF(F2194&gt;500,"Yüksek",IF(F2194&gt;100,"Orta","Düşük"))</f>
        <v>Yüksek</v>
      </c>
    </row>
    <row r="2195" customFormat="false" ht="12.8" hidden="false" customHeight="false" outlineLevel="0" collapsed="false">
      <c r="A2195" s="4" t="s">
        <v>14</v>
      </c>
      <c r="B2195" s="4" t="s">
        <v>15</v>
      </c>
      <c r="C2195" s="4" t="n">
        <v>45</v>
      </c>
      <c r="D2195" s="5" t="n">
        <v>27</v>
      </c>
      <c r="E2195" s="6" t="n">
        <f aca="false">DATE(2024,9,9)</f>
        <v>45544</v>
      </c>
      <c r="F2195" s="7" t="n">
        <f aca="false">C2195*D2195</f>
        <v>1215</v>
      </c>
      <c r="G2195" s="7" t="n">
        <f aca="false">ROUND(F2195*0.2,2)</f>
        <v>243</v>
      </c>
      <c r="H2195" s="4" t="str">
        <f aca="false">IF(F2195&gt;500,"Yüksek",IF(F2195&gt;100,"Orta","Düşük"))</f>
        <v>Yüksek</v>
      </c>
    </row>
    <row r="2196" customFormat="false" ht="12.8" hidden="false" customHeight="false" outlineLevel="0" collapsed="false">
      <c r="A2196" s="4" t="s">
        <v>16</v>
      </c>
      <c r="B2196" s="4" t="s">
        <v>17</v>
      </c>
      <c r="C2196" s="4" t="n">
        <v>2</v>
      </c>
      <c r="D2196" s="5" t="n">
        <v>29.75</v>
      </c>
      <c r="E2196" s="6" t="n">
        <f aca="false">DATE(2024,10,10)</f>
        <v>45575</v>
      </c>
      <c r="F2196" s="7" t="n">
        <f aca="false">C2196*D2196</f>
        <v>59.5</v>
      </c>
      <c r="G2196" s="7" t="n">
        <f aca="false">ROUND(F2196*0.2,2)</f>
        <v>11.9</v>
      </c>
      <c r="H2196" s="4" t="str">
        <f aca="false">IF(F2196&gt;500,"Yüksek",IF(F2196&gt;100,"Orta","Düşük"))</f>
        <v>Düşük</v>
      </c>
    </row>
    <row r="2197" customFormat="false" ht="12.8" hidden="false" customHeight="false" outlineLevel="0" collapsed="false">
      <c r="A2197" s="4" t="s">
        <v>18</v>
      </c>
      <c r="B2197" s="4" t="s">
        <v>19</v>
      </c>
      <c r="C2197" s="4" t="n">
        <v>9</v>
      </c>
      <c r="D2197" s="5" t="n">
        <v>32.5</v>
      </c>
      <c r="E2197" s="6" t="n">
        <f aca="false">DATE(2024,11,11)</f>
        <v>45607</v>
      </c>
      <c r="F2197" s="7" t="n">
        <f aca="false">C2197*D2197</f>
        <v>292.5</v>
      </c>
      <c r="G2197" s="7" t="n">
        <f aca="false">ROUND(F2197*0.2,2)</f>
        <v>58.5</v>
      </c>
      <c r="H2197" s="4" t="str">
        <f aca="false">IF(F2197&gt;500,"Yüksek",IF(F2197&gt;100,"Orta","Düşük"))</f>
        <v>Orta</v>
      </c>
    </row>
    <row r="2198" customFormat="false" ht="12.8" hidden="false" customHeight="false" outlineLevel="0" collapsed="false">
      <c r="A2198" s="4" t="s">
        <v>20</v>
      </c>
      <c r="B2198" s="4" t="s">
        <v>11</v>
      </c>
      <c r="C2198" s="4" t="n">
        <v>16</v>
      </c>
      <c r="D2198" s="5" t="n">
        <v>35.25</v>
      </c>
      <c r="E2198" s="6" t="n">
        <f aca="false">DATE(2024,12,12)</f>
        <v>45638</v>
      </c>
      <c r="F2198" s="7" t="n">
        <f aca="false">C2198*D2198</f>
        <v>564</v>
      </c>
      <c r="G2198" s="7" t="n">
        <f aca="false">ROUND(F2198*0.2,2)</f>
        <v>112.8</v>
      </c>
      <c r="H2198" s="4" t="str">
        <f aca="false">IF(F2198&gt;500,"Yüksek",IF(F2198&gt;100,"Orta","Düşük"))</f>
        <v>Yüksek</v>
      </c>
    </row>
    <row r="2199" customFormat="false" ht="12.8" hidden="false" customHeight="false" outlineLevel="0" collapsed="false">
      <c r="A2199" s="4" t="s">
        <v>21</v>
      </c>
      <c r="B2199" s="4" t="s">
        <v>13</v>
      </c>
      <c r="C2199" s="4" t="n">
        <v>23</v>
      </c>
      <c r="D2199" s="5" t="n">
        <v>38</v>
      </c>
      <c r="E2199" s="6" t="n">
        <f aca="false">DATE(2024,1,13)</f>
        <v>45304</v>
      </c>
      <c r="F2199" s="7" t="n">
        <f aca="false">C2199*D2199</f>
        <v>874</v>
      </c>
      <c r="G2199" s="7" t="n">
        <f aca="false">ROUND(F2199*0.2,2)</f>
        <v>174.8</v>
      </c>
      <c r="H2199" s="4" t="str">
        <f aca="false">IF(F2199&gt;500,"Yüksek",IF(F2199&gt;100,"Orta","Düşük"))</f>
        <v>Yüksek</v>
      </c>
    </row>
    <row r="2200" customFormat="false" ht="12.8" hidden="false" customHeight="false" outlineLevel="0" collapsed="false">
      <c r="A2200" s="4" t="s">
        <v>22</v>
      </c>
      <c r="B2200" s="4" t="s">
        <v>15</v>
      </c>
      <c r="C2200" s="4" t="n">
        <v>30</v>
      </c>
      <c r="D2200" s="5" t="n">
        <v>5</v>
      </c>
      <c r="E2200" s="6" t="n">
        <f aca="false">DATE(2024,2,14)</f>
        <v>45336</v>
      </c>
      <c r="F2200" s="7" t="n">
        <f aca="false">C2200*D2200</f>
        <v>150</v>
      </c>
      <c r="G2200" s="7" t="n">
        <f aca="false">ROUND(F2200*0.2,2)</f>
        <v>30</v>
      </c>
      <c r="H2200" s="4" t="str">
        <f aca="false">IF(F2200&gt;500,"Yüksek",IF(F2200&gt;100,"Orta","Düşük"))</f>
        <v>Orta</v>
      </c>
    </row>
    <row r="2201" customFormat="false" ht="12.8" hidden="false" customHeight="false" outlineLevel="0" collapsed="false">
      <c r="A2201" s="4" t="s">
        <v>23</v>
      </c>
      <c r="B2201" s="4" t="s">
        <v>17</v>
      </c>
      <c r="C2201" s="4" t="n">
        <v>37</v>
      </c>
      <c r="D2201" s="5" t="n">
        <v>7.75</v>
      </c>
      <c r="E2201" s="6" t="n">
        <f aca="false">DATE(2024,3,15)</f>
        <v>45366</v>
      </c>
      <c r="F2201" s="7" t="n">
        <f aca="false">C2201*D2201</f>
        <v>286.75</v>
      </c>
      <c r="G2201" s="7" t="n">
        <f aca="false">ROUND(F2201*0.2,2)</f>
        <v>57.35</v>
      </c>
      <c r="H2201" s="4" t="str">
        <f aca="false">IF(F2201&gt;500,"Yüksek",IF(F2201&gt;100,"Orta","Düşük"))</f>
        <v>Orta</v>
      </c>
    </row>
    <row r="2202" customFormat="false" ht="12.8" hidden="false" customHeight="false" outlineLevel="0" collapsed="false">
      <c r="A2202" s="4" t="s">
        <v>24</v>
      </c>
      <c r="B2202" s="4" t="s">
        <v>19</v>
      </c>
      <c r="C2202" s="4" t="n">
        <v>44</v>
      </c>
      <c r="D2202" s="5" t="n">
        <v>10.5</v>
      </c>
      <c r="E2202" s="6" t="n">
        <f aca="false">DATE(2024,4,16)</f>
        <v>45398</v>
      </c>
      <c r="F2202" s="7" t="n">
        <f aca="false">C2202*D2202</f>
        <v>462</v>
      </c>
      <c r="G2202" s="7" t="n">
        <f aca="false">ROUND(F2202*0.2,2)</f>
        <v>92.4</v>
      </c>
      <c r="H2202" s="4" t="str">
        <f aca="false">IF(F2202&gt;500,"Yüksek",IF(F2202&gt;100,"Orta","Düşük"))</f>
        <v>Orta</v>
      </c>
    </row>
    <row r="2203" customFormat="false" ht="12.8" hidden="false" customHeight="false" outlineLevel="0" collapsed="false">
      <c r="A2203" s="4" t="s">
        <v>10</v>
      </c>
      <c r="B2203" s="4" t="s">
        <v>11</v>
      </c>
      <c r="C2203" s="4" t="n">
        <v>1</v>
      </c>
      <c r="D2203" s="5" t="n">
        <v>13.25</v>
      </c>
      <c r="E2203" s="6" t="n">
        <f aca="false">DATE(2024,5,17)</f>
        <v>45429</v>
      </c>
      <c r="F2203" s="7" t="n">
        <f aca="false">C2203*D2203</f>
        <v>13.25</v>
      </c>
      <c r="G2203" s="7" t="n">
        <f aca="false">ROUND(F2203*0.2,2)</f>
        <v>2.65</v>
      </c>
      <c r="H2203" s="4" t="str">
        <f aca="false">IF(F2203&gt;500,"Yüksek",IF(F2203&gt;100,"Orta","Düşük"))</f>
        <v>Düşük</v>
      </c>
    </row>
    <row r="2204" customFormat="false" ht="12.8" hidden="false" customHeight="false" outlineLevel="0" collapsed="false">
      <c r="A2204" s="4" t="s">
        <v>12</v>
      </c>
      <c r="B2204" s="4" t="s">
        <v>13</v>
      </c>
      <c r="C2204" s="4" t="n">
        <v>8</v>
      </c>
      <c r="D2204" s="5" t="n">
        <v>16</v>
      </c>
      <c r="E2204" s="6" t="n">
        <f aca="false">DATE(2024,6,18)</f>
        <v>45461</v>
      </c>
      <c r="F2204" s="7" t="n">
        <f aca="false">C2204*D2204</f>
        <v>128</v>
      </c>
      <c r="G2204" s="7" t="n">
        <f aca="false">ROUND(F2204*0.2,2)</f>
        <v>25.6</v>
      </c>
      <c r="H2204" s="4" t="str">
        <f aca="false">IF(F2204&gt;500,"Yüksek",IF(F2204&gt;100,"Orta","Düşük"))</f>
        <v>Orta</v>
      </c>
    </row>
    <row r="2205" customFormat="false" ht="12.8" hidden="false" customHeight="false" outlineLevel="0" collapsed="false">
      <c r="A2205" s="4" t="s">
        <v>14</v>
      </c>
      <c r="B2205" s="4" t="s">
        <v>15</v>
      </c>
      <c r="C2205" s="4" t="n">
        <v>15</v>
      </c>
      <c r="D2205" s="5" t="n">
        <v>18.75</v>
      </c>
      <c r="E2205" s="6" t="n">
        <f aca="false">DATE(2024,7,19)</f>
        <v>45492</v>
      </c>
      <c r="F2205" s="7" t="n">
        <f aca="false">C2205*D2205</f>
        <v>281.25</v>
      </c>
      <c r="G2205" s="7" t="n">
        <f aca="false">ROUND(F2205*0.2,2)</f>
        <v>56.25</v>
      </c>
      <c r="H2205" s="4" t="str">
        <f aca="false">IF(F2205&gt;500,"Yüksek",IF(F2205&gt;100,"Orta","Düşük"))</f>
        <v>Orta</v>
      </c>
    </row>
    <row r="2206" customFormat="false" ht="12.8" hidden="false" customHeight="false" outlineLevel="0" collapsed="false">
      <c r="A2206" s="4" t="s">
        <v>16</v>
      </c>
      <c r="B2206" s="4" t="s">
        <v>17</v>
      </c>
      <c r="C2206" s="4" t="n">
        <v>22</v>
      </c>
      <c r="D2206" s="5" t="n">
        <v>21.5</v>
      </c>
      <c r="E2206" s="6" t="n">
        <f aca="false">DATE(2024,8,20)</f>
        <v>45524</v>
      </c>
      <c r="F2206" s="7" t="n">
        <f aca="false">C2206*D2206</f>
        <v>473</v>
      </c>
      <c r="G2206" s="7" t="n">
        <f aca="false">ROUND(F2206*0.2,2)</f>
        <v>94.6</v>
      </c>
      <c r="H2206" s="4" t="str">
        <f aca="false">IF(F2206&gt;500,"Yüksek",IF(F2206&gt;100,"Orta","Düşük"))</f>
        <v>Orta</v>
      </c>
    </row>
    <row r="2207" customFormat="false" ht="12.8" hidden="false" customHeight="false" outlineLevel="0" collapsed="false">
      <c r="A2207" s="4" t="s">
        <v>18</v>
      </c>
      <c r="B2207" s="4" t="s">
        <v>19</v>
      </c>
      <c r="C2207" s="4" t="n">
        <v>29</v>
      </c>
      <c r="D2207" s="5" t="n">
        <v>24.25</v>
      </c>
      <c r="E2207" s="6" t="n">
        <f aca="false">DATE(2024,9,21)</f>
        <v>45556</v>
      </c>
      <c r="F2207" s="7" t="n">
        <f aca="false">C2207*D2207</f>
        <v>703.25</v>
      </c>
      <c r="G2207" s="7" t="n">
        <f aca="false">ROUND(F2207*0.2,2)</f>
        <v>140.65</v>
      </c>
      <c r="H2207" s="4" t="str">
        <f aca="false">IF(F2207&gt;500,"Yüksek",IF(F2207&gt;100,"Orta","Düşük"))</f>
        <v>Yüksek</v>
      </c>
    </row>
    <row r="2208" customFormat="false" ht="12.8" hidden="false" customHeight="false" outlineLevel="0" collapsed="false">
      <c r="A2208" s="4" t="s">
        <v>20</v>
      </c>
      <c r="B2208" s="4" t="s">
        <v>11</v>
      </c>
      <c r="C2208" s="4" t="n">
        <v>36</v>
      </c>
      <c r="D2208" s="5" t="n">
        <v>27</v>
      </c>
      <c r="E2208" s="6" t="n">
        <f aca="false">DATE(2024,10,22)</f>
        <v>45587</v>
      </c>
      <c r="F2208" s="7" t="n">
        <f aca="false">C2208*D2208</f>
        <v>972</v>
      </c>
      <c r="G2208" s="7" t="n">
        <f aca="false">ROUND(F2208*0.2,2)</f>
        <v>194.4</v>
      </c>
      <c r="H2208" s="4" t="str">
        <f aca="false">IF(F2208&gt;500,"Yüksek",IF(F2208&gt;100,"Orta","Düşük"))</f>
        <v>Yüksek</v>
      </c>
    </row>
    <row r="2209" customFormat="false" ht="12.8" hidden="false" customHeight="false" outlineLevel="0" collapsed="false">
      <c r="A2209" s="4" t="s">
        <v>21</v>
      </c>
      <c r="B2209" s="4" t="s">
        <v>13</v>
      </c>
      <c r="C2209" s="4" t="n">
        <v>43</v>
      </c>
      <c r="D2209" s="5" t="n">
        <v>29.75</v>
      </c>
      <c r="E2209" s="6" t="n">
        <f aca="false">DATE(2024,11,23)</f>
        <v>45619</v>
      </c>
      <c r="F2209" s="7" t="n">
        <f aca="false">C2209*D2209</f>
        <v>1279.25</v>
      </c>
      <c r="G2209" s="7" t="n">
        <f aca="false">ROUND(F2209*0.2,2)</f>
        <v>255.85</v>
      </c>
      <c r="H2209" s="4" t="str">
        <f aca="false">IF(F2209&gt;500,"Yüksek",IF(F2209&gt;100,"Orta","Düşük"))</f>
        <v>Yüksek</v>
      </c>
    </row>
    <row r="2210" customFormat="false" ht="12.8" hidden="false" customHeight="false" outlineLevel="0" collapsed="false">
      <c r="A2210" s="4" t="s">
        <v>22</v>
      </c>
      <c r="B2210" s="4" t="s">
        <v>15</v>
      </c>
      <c r="C2210" s="4" t="n">
        <v>50</v>
      </c>
      <c r="D2210" s="5" t="n">
        <v>32.5</v>
      </c>
      <c r="E2210" s="6" t="n">
        <f aca="false">DATE(2024,12,24)</f>
        <v>45650</v>
      </c>
      <c r="F2210" s="7" t="n">
        <f aca="false">C2210*D2210</f>
        <v>1625</v>
      </c>
      <c r="G2210" s="7" t="n">
        <f aca="false">ROUND(F2210*0.2,2)</f>
        <v>325</v>
      </c>
      <c r="H2210" s="4" t="str">
        <f aca="false">IF(F2210&gt;500,"Yüksek",IF(F2210&gt;100,"Orta","Düşük"))</f>
        <v>Yüksek</v>
      </c>
    </row>
    <row r="2211" customFormat="false" ht="12.8" hidden="false" customHeight="false" outlineLevel="0" collapsed="false">
      <c r="A2211" s="4" t="s">
        <v>23</v>
      </c>
      <c r="B2211" s="4" t="s">
        <v>17</v>
      </c>
      <c r="C2211" s="4" t="n">
        <v>7</v>
      </c>
      <c r="D2211" s="5" t="n">
        <v>35.25</v>
      </c>
      <c r="E2211" s="6" t="n">
        <f aca="false">DATE(2024,1,25)</f>
        <v>45316</v>
      </c>
      <c r="F2211" s="7" t="n">
        <f aca="false">C2211*D2211</f>
        <v>246.75</v>
      </c>
      <c r="G2211" s="7" t="n">
        <f aca="false">ROUND(F2211*0.2,2)</f>
        <v>49.35</v>
      </c>
      <c r="H2211" s="4" t="str">
        <f aca="false">IF(F2211&gt;500,"Yüksek",IF(F2211&gt;100,"Orta","Düşük"))</f>
        <v>Orta</v>
      </c>
    </row>
    <row r="2212" customFormat="false" ht="12.8" hidden="false" customHeight="false" outlineLevel="0" collapsed="false">
      <c r="A2212" s="4" t="s">
        <v>24</v>
      </c>
      <c r="B2212" s="4" t="s">
        <v>19</v>
      </c>
      <c r="C2212" s="4" t="n">
        <v>14</v>
      </c>
      <c r="D2212" s="5" t="n">
        <v>38</v>
      </c>
      <c r="E2212" s="6" t="n">
        <f aca="false">DATE(2024,2,26)</f>
        <v>45348</v>
      </c>
      <c r="F2212" s="7" t="n">
        <f aca="false">C2212*D2212</f>
        <v>532</v>
      </c>
      <c r="G2212" s="7" t="n">
        <f aca="false">ROUND(F2212*0.2,2)</f>
        <v>106.4</v>
      </c>
      <c r="H2212" s="4" t="str">
        <f aca="false">IF(F2212&gt;500,"Yüksek",IF(F2212&gt;100,"Orta","Düşük"))</f>
        <v>Yüksek</v>
      </c>
    </row>
    <row r="2213" customFormat="false" ht="12.8" hidden="false" customHeight="false" outlineLevel="0" collapsed="false">
      <c r="A2213" s="4" t="s">
        <v>10</v>
      </c>
      <c r="B2213" s="4" t="s">
        <v>11</v>
      </c>
      <c r="C2213" s="4" t="n">
        <v>21</v>
      </c>
      <c r="D2213" s="5" t="n">
        <v>5</v>
      </c>
      <c r="E2213" s="6" t="n">
        <f aca="false">DATE(2024,3,27)</f>
        <v>45378</v>
      </c>
      <c r="F2213" s="7" t="n">
        <f aca="false">C2213*D2213</f>
        <v>105</v>
      </c>
      <c r="G2213" s="7" t="n">
        <f aca="false">ROUND(F2213*0.2,2)</f>
        <v>21</v>
      </c>
      <c r="H2213" s="4" t="str">
        <f aca="false">IF(F2213&gt;500,"Yüksek",IF(F2213&gt;100,"Orta","Düşük"))</f>
        <v>Orta</v>
      </c>
    </row>
    <row r="2214" customFormat="false" ht="12.8" hidden="false" customHeight="false" outlineLevel="0" collapsed="false">
      <c r="A2214" s="4" t="s">
        <v>12</v>
      </c>
      <c r="B2214" s="4" t="s">
        <v>13</v>
      </c>
      <c r="C2214" s="4" t="n">
        <v>28</v>
      </c>
      <c r="D2214" s="5" t="n">
        <v>7.75</v>
      </c>
      <c r="E2214" s="6" t="n">
        <f aca="false">DATE(2024,4,28)</f>
        <v>45410</v>
      </c>
      <c r="F2214" s="7" t="n">
        <f aca="false">C2214*D2214</f>
        <v>217</v>
      </c>
      <c r="G2214" s="7" t="n">
        <f aca="false">ROUND(F2214*0.2,2)</f>
        <v>43.4</v>
      </c>
      <c r="H2214" s="4" t="str">
        <f aca="false">IF(F2214&gt;500,"Yüksek",IF(F2214&gt;100,"Orta","Düşük"))</f>
        <v>Orta</v>
      </c>
    </row>
    <row r="2215" customFormat="false" ht="12.8" hidden="false" customHeight="false" outlineLevel="0" collapsed="false">
      <c r="A2215" s="4" t="s">
        <v>14</v>
      </c>
      <c r="B2215" s="4" t="s">
        <v>15</v>
      </c>
      <c r="C2215" s="4" t="n">
        <v>35</v>
      </c>
      <c r="D2215" s="5" t="n">
        <v>10.5</v>
      </c>
      <c r="E2215" s="6" t="n">
        <f aca="false">DATE(2024,5,1)</f>
        <v>45413</v>
      </c>
      <c r="F2215" s="7" t="n">
        <f aca="false">C2215*D2215</f>
        <v>367.5</v>
      </c>
      <c r="G2215" s="7" t="n">
        <f aca="false">ROUND(F2215*0.2,2)</f>
        <v>73.5</v>
      </c>
      <c r="H2215" s="4" t="str">
        <f aca="false">IF(F2215&gt;500,"Yüksek",IF(F2215&gt;100,"Orta","Düşük"))</f>
        <v>Orta</v>
      </c>
    </row>
    <row r="2216" customFormat="false" ht="12.8" hidden="false" customHeight="false" outlineLevel="0" collapsed="false">
      <c r="A2216" s="4" t="s">
        <v>16</v>
      </c>
      <c r="B2216" s="4" t="s">
        <v>17</v>
      </c>
      <c r="C2216" s="4" t="n">
        <v>42</v>
      </c>
      <c r="D2216" s="5" t="n">
        <v>13.25</v>
      </c>
      <c r="E2216" s="6" t="n">
        <f aca="false">DATE(2024,6,2)</f>
        <v>45445</v>
      </c>
      <c r="F2216" s="7" t="n">
        <f aca="false">C2216*D2216</f>
        <v>556.5</v>
      </c>
      <c r="G2216" s="7" t="n">
        <f aca="false">ROUND(F2216*0.2,2)</f>
        <v>111.3</v>
      </c>
      <c r="H2216" s="4" t="str">
        <f aca="false">IF(F2216&gt;500,"Yüksek",IF(F2216&gt;100,"Orta","Düşük"))</f>
        <v>Yüksek</v>
      </c>
    </row>
    <row r="2217" customFormat="false" ht="12.8" hidden="false" customHeight="false" outlineLevel="0" collapsed="false">
      <c r="A2217" s="4" t="s">
        <v>18</v>
      </c>
      <c r="B2217" s="4" t="s">
        <v>19</v>
      </c>
      <c r="C2217" s="4" t="n">
        <v>49</v>
      </c>
      <c r="D2217" s="5" t="n">
        <v>16</v>
      </c>
      <c r="E2217" s="6" t="n">
        <f aca="false">DATE(2024,7,3)</f>
        <v>45476</v>
      </c>
      <c r="F2217" s="7" t="n">
        <f aca="false">C2217*D2217</f>
        <v>784</v>
      </c>
      <c r="G2217" s="7" t="n">
        <f aca="false">ROUND(F2217*0.2,2)</f>
        <v>156.8</v>
      </c>
      <c r="H2217" s="4" t="str">
        <f aca="false">IF(F2217&gt;500,"Yüksek",IF(F2217&gt;100,"Orta","Düşük"))</f>
        <v>Yüksek</v>
      </c>
    </row>
    <row r="2218" customFormat="false" ht="12.8" hidden="false" customHeight="false" outlineLevel="0" collapsed="false">
      <c r="A2218" s="4" t="s">
        <v>20</v>
      </c>
      <c r="B2218" s="4" t="s">
        <v>11</v>
      </c>
      <c r="C2218" s="4" t="n">
        <v>6</v>
      </c>
      <c r="D2218" s="5" t="n">
        <v>18.75</v>
      </c>
      <c r="E2218" s="6" t="n">
        <f aca="false">DATE(2024,8,4)</f>
        <v>45508</v>
      </c>
      <c r="F2218" s="7" t="n">
        <f aca="false">C2218*D2218</f>
        <v>112.5</v>
      </c>
      <c r="G2218" s="7" t="n">
        <f aca="false">ROUND(F2218*0.2,2)</f>
        <v>22.5</v>
      </c>
      <c r="H2218" s="4" t="str">
        <f aca="false">IF(F2218&gt;500,"Yüksek",IF(F2218&gt;100,"Orta","Düşük"))</f>
        <v>Orta</v>
      </c>
    </row>
    <row r="2219" customFormat="false" ht="12.8" hidden="false" customHeight="false" outlineLevel="0" collapsed="false">
      <c r="A2219" s="4" t="s">
        <v>21</v>
      </c>
      <c r="B2219" s="4" t="s">
        <v>13</v>
      </c>
      <c r="C2219" s="4" t="n">
        <v>13</v>
      </c>
      <c r="D2219" s="5" t="n">
        <v>21.5</v>
      </c>
      <c r="E2219" s="6" t="n">
        <f aca="false">DATE(2024,9,5)</f>
        <v>45540</v>
      </c>
      <c r="F2219" s="7" t="n">
        <f aca="false">C2219*D2219</f>
        <v>279.5</v>
      </c>
      <c r="G2219" s="7" t="n">
        <f aca="false">ROUND(F2219*0.2,2)</f>
        <v>55.9</v>
      </c>
      <c r="H2219" s="4" t="str">
        <f aca="false">IF(F2219&gt;500,"Yüksek",IF(F2219&gt;100,"Orta","Düşük"))</f>
        <v>Orta</v>
      </c>
    </row>
    <row r="2220" customFormat="false" ht="12.8" hidden="false" customHeight="false" outlineLevel="0" collapsed="false">
      <c r="A2220" s="4" t="s">
        <v>22</v>
      </c>
      <c r="B2220" s="4" t="s">
        <v>15</v>
      </c>
      <c r="C2220" s="4" t="n">
        <v>20</v>
      </c>
      <c r="D2220" s="5" t="n">
        <v>24.25</v>
      </c>
      <c r="E2220" s="6" t="n">
        <f aca="false">DATE(2024,10,6)</f>
        <v>45571</v>
      </c>
      <c r="F2220" s="7" t="n">
        <f aca="false">C2220*D2220</f>
        <v>485</v>
      </c>
      <c r="G2220" s="7" t="n">
        <f aca="false">ROUND(F2220*0.2,2)</f>
        <v>97</v>
      </c>
      <c r="H2220" s="4" t="str">
        <f aca="false">IF(F2220&gt;500,"Yüksek",IF(F2220&gt;100,"Orta","Düşük"))</f>
        <v>Orta</v>
      </c>
    </row>
    <row r="2221" customFormat="false" ht="12.8" hidden="false" customHeight="false" outlineLevel="0" collapsed="false">
      <c r="A2221" s="4" t="s">
        <v>23</v>
      </c>
      <c r="B2221" s="4" t="s">
        <v>17</v>
      </c>
      <c r="C2221" s="4" t="n">
        <v>27</v>
      </c>
      <c r="D2221" s="5" t="n">
        <v>27</v>
      </c>
      <c r="E2221" s="6" t="n">
        <f aca="false">DATE(2024,11,7)</f>
        <v>45603</v>
      </c>
      <c r="F2221" s="7" t="n">
        <f aca="false">C2221*D2221</f>
        <v>729</v>
      </c>
      <c r="G2221" s="7" t="n">
        <f aca="false">ROUND(F2221*0.2,2)</f>
        <v>145.8</v>
      </c>
      <c r="H2221" s="4" t="str">
        <f aca="false">IF(F2221&gt;500,"Yüksek",IF(F2221&gt;100,"Orta","Düşük"))</f>
        <v>Yüksek</v>
      </c>
    </row>
    <row r="2222" customFormat="false" ht="12.8" hidden="false" customHeight="false" outlineLevel="0" collapsed="false">
      <c r="A2222" s="4" t="s">
        <v>24</v>
      </c>
      <c r="B2222" s="4" t="s">
        <v>19</v>
      </c>
      <c r="C2222" s="4" t="n">
        <v>34</v>
      </c>
      <c r="D2222" s="5" t="n">
        <v>29.75</v>
      </c>
      <c r="E2222" s="6" t="n">
        <f aca="false">DATE(2024,12,8)</f>
        <v>45634</v>
      </c>
      <c r="F2222" s="7" t="n">
        <f aca="false">C2222*D2222</f>
        <v>1011.5</v>
      </c>
      <c r="G2222" s="7" t="n">
        <f aca="false">ROUND(F2222*0.2,2)</f>
        <v>202.3</v>
      </c>
      <c r="H2222" s="4" t="str">
        <f aca="false">IF(F2222&gt;500,"Yüksek",IF(F2222&gt;100,"Orta","Düşük"))</f>
        <v>Yüksek</v>
      </c>
    </row>
    <row r="2223" customFormat="false" ht="12.8" hidden="false" customHeight="false" outlineLevel="0" collapsed="false">
      <c r="A2223" s="4" t="s">
        <v>10</v>
      </c>
      <c r="B2223" s="4" t="s">
        <v>11</v>
      </c>
      <c r="C2223" s="4" t="n">
        <v>41</v>
      </c>
      <c r="D2223" s="5" t="n">
        <v>32.5</v>
      </c>
      <c r="E2223" s="6" t="n">
        <f aca="false">DATE(2024,1,9)</f>
        <v>45300</v>
      </c>
      <c r="F2223" s="7" t="n">
        <f aca="false">C2223*D2223</f>
        <v>1332.5</v>
      </c>
      <c r="G2223" s="7" t="n">
        <f aca="false">ROUND(F2223*0.2,2)</f>
        <v>266.5</v>
      </c>
      <c r="H2223" s="4" t="str">
        <f aca="false">IF(F2223&gt;500,"Yüksek",IF(F2223&gt;100,"Orta","Düşük"))</f>
        <v>Yüksek</v>
      </c>
    </row>
    <row r="2224" customFormat="false" ht="12.8" hidden="false" customHeight="false" outlineLevel="0" collapsed="false">
      <c r="A2224" s="4" t="s">
        <v>12</v>
      </c>
      <c r="B2224" s="4" t="s">
        <v>13</v>
      </c>
      <c r="C2224" s="4" t="n">
        <v>48</v>
      </c>
      <c r="D2224" s="5" t="n">
        <v>35.25</v>
      </c>
      <c r="E2224" s="6" t="n">
        <f aca="false">DATE(2024,2,10)</f>
        <v>45332</v>
      </c>
      <c r="F2224" s="7" t="n">
        <f aca="false">C2224*D2224</f>
        <v>1692</v>
      </c>
      <c r="G2224" s="7" t="n">
        <f aca="false">ROUND(F2224*0.2,2)</f>
        <v>338.4</v>
      </c>
      <c r="H2224" s="4" t="str">
        <f aca="false">IF(F2224&gt;500,"Yüksek",IF(F2224&gt;100,"Orta","Düşük"))</f>
        <v>Yüksek</v>
      </c>
    </row>
    <row r="2225" customFormat="false" ht="12.8" hidden="false" customHeight="false" outlineLevel="0" collapsed="false">
      <c r="A2225" s="4" t="s">
        <v>14</v>
      </c>
      <c r="B2225" s="4" t="s">
        <v>15</v>
      </c>
      <c r="C2225" s="4" t="n">
        <v>5</v>
      </c>
      <c r="D2225" s="5" t="n">
        <v>38</v>
      </c>
      <c r="E2225" s="6" t="n">
        <f aca="false">DATE(2024,3,11)</f>
        <v>45362</v>
      </c>
      <c r="F2225" s="7" t="n">
        <f aca="false">C2225*D2225</f>
        <v>190</v>
      </c>
      <c r="G2225" s="7" t="n">
        <f aca="false">ROUND(F2225*0.2,2)</f>
        <v>38</v>
      </c>
      <c r="H2225" s="4" t="str">
        <f aca="false">IF(F2225&gt;500,"Yüksek",IF(F2225&gt;100,"Orta","Düşük"))</f>
        <v>Orta</v>
      </c>
    </row>
    <row r="2226" customFormat="false" ht="12.8" hidden="false" customHeight="false" outlineLevel="0" collapsed="false">
      <c r="A2226" s="4" t="s">
        <v>16</v>
      </c>
      <c r="B2226" s="4" t="s">
        <v>17</v>
      </c>
      <c r="C2226" s="4" t="n">
        <v>12</v>
      </c>
      <c r="D2226" s="5" t="n">
        <v>5</v>
      </c>
      <c r="E2226" s="6" t="n">
        <f aca="false">DATE(2024,4,12)</f>
        <v>45394</v>
      </c>
      <c r="F2226" s="7" t="n">
        <f aca="false">C2226*D2226</f>
        <v>60</v>
      </c>
      <c r="G2226" s="7" t="n">
        <f aca="false">ROUND(F2226*0.2,2)</f>
        <v>12</v>
      </c>
      <c r="H2226" s="4" t="str">
        <f aca="false">IF(F2226&gt;500,"Yüksek",IF(F2226&gt;100,"Orta","Düşük"))</f>
        <v>Düşük</v>
      </c>
    </row>
    <row r="2227" customFormat="false" ht="12.8" hidden="false" customHeight="false" outlineLevel="0" collapsed="false">
      <c r="A2227" s="4" t="s">
        <v>18</v>
      </c>
      <c r="B2227" s="4" t="s">
        <v>19</v>
      </c>
      <c r="C2227" s="4" t="n">
        <v>19</v>
      </c>
      <c r="D2227" s="5" t="n">
        <v>7.75</v>
      </c>
      <c r="E2227" s="6" t="n">
        <f aca="false">DATE(2024,5,13)</f>
        <v>45425</v>
      </c>
      <c r="F2227" s="7" t="n">
        <f aca="false">C2227*D2227</f>
        <v>147.25</v>
      </c>
      <c r="G2227" s="7" t="n">
        <f aca="false">ROUND(F2227*0.2,2)</f>
        <v>29.45</v>
      </c>
      <c r="H2227" s="4" t="str">
        <f aca="false">IF(F2227&gt;500,"Yüksek",IF(F2227&gt;100,"Orta","Düşük"))</f>
        <v>Orta</v>
      </c>
    </row>
    <row r="2228" customFormat="false" ht="12.8" hidden="false" customHeight="false" outlineLevel="0" collapsed="false">
      <c r="A2228" s="4" t="s">
        <v>20</v>
      </c>
      <c r="B2228" s="4" t="s">
        <v>11</v>
      </c>
      <c r="C2228" s="4" t="n">
        <v>26</v>
      </c>
      <c r="D2228" s="5" t="n">
        <v>10.5</v>
      </c>
      <c r="E2228" s="6" t="n">
        <f aca="false">DATE(2024,6,14)</f>
        <v>45457</v>
      </c>
      <c r="F2228" s="7" t="n">
        <f aca="false">C2228*D2228</f>
        <v>273</v>
      </c>
      <c r="G2228" s="7" t="n">
        <f aca="false">ROUND(F2228*0.2,2)</f>
        <v>54.6</v>
      </c>
      <c r="H2228" s="4" t="str">
        <f aca="false">IF(F2228&gt;500,"Yüksek",IF(F2228&gt;100,"Orta","Düşük"))</f>
        <v>Orta</v>
      </c>
    </row>
    <row r="2229" customFormat="false" ht="12.8" hidden="false" customHeight="false" outlineLevel="0" collapsed="false">
      <c r="A2229" s="4" t="s">
        <v>21</v>
      </c>
      <c r="B2229" s="4" t="s">
        <v>13</v>
      </c>
      <c r="C2229" s="4" t="n">
        <v>33</v>
      </c>
      <c r="D2229" s="5" t="n">
        <v>13.25</v>
      </c>
      <c r="E2229" s="6" t="n">
        <f aca="false">DATE(2024,7,15)</f>
        <v>45488</v>
      </c>
      <c r="F2229" s="7" t="n">
        <f aca="false">C2229*D2229</f>
        <v>437.25</v>
      </c>
      <c r="G2229" s="7" t="n">
        <f aca="false">ROUND(F2229*0.2,2)</f>
        <v>87.45</v>
      </c>
      <c r="H2229" s="4" t="str">
        <f aca="false">IF(F2229&gt;500,"Yüksek",IF(F2229&gt;100,"Orta","Düşük"))</f>
        <v>Orta</v>
      </c>
    </row>
    <row r="2230" customFormat="false" ht="12.8" hidden="false" customHeight="false" outlineLevel="0" collapsed="false">
      <c r="A2230" s="4" t="s">
        <v>22</v>
      </c>
      <c r="B2230" s="4" t="s">
        <v>15</v>
      </c>
      <c r="C2230" s="4" t="n">
        <v>40</v>
      </c>
      <c r="D2230" s="5" t="n">
        <v>16</v>
      </c>
      <c r="E2230" s="6" t="n">
        <f aca="false">DATE(2024,8,16)</f>
        <v>45520</v>
      </c>
      <c r="F2230" s="7" t="n">
        <f aca="false">C2230*D2230</f>
        <v>640</v>
      </c>
      <c r="G2230" s="7" t="n">
        <f aca="false">ROUND(F2230*0.2,2)</f>
        <v>128</v>
      </c>
      <c r="H2230" s="4" t="str">
        <f aca="false">IF(F2230&gt;500,"Yüksek",IF(F2230&gt;100,"Orta","Düşük"))</f>
        <v>Yüksek</v>
      </c>
    </row>
    <row r="2231" customFormat="false" ht="12.8" hidden="false" customHeight="false" outlineLevel="0" collapsed="false">
      <c r="A2231" s="4" t="s">
        <v>23</v>
      </c>
      <c r="B2231" s="4" t="s">
        <v>17</v>
      </c>
      <c r="C2231" s="4" t="n">
        <v>47</v>
      </c>
      <c r="D2231" s="5" t="n">
        <v>18.75</v>
      </c>
      <c r="E2231" s="6" t="n">
        <f aca="false">DATE(2024,9,17)</f>
        <v>45552</v>
      </c>
      <c r="F2231" s="7" t="n">
        <f aca="false">C2231*D2231</f>
        <v>881.25</v>
      </c>
      <c r="G2231" s="7" t="n">
        <f aca="false">ROUND(F2231*0.2,2)</f>
        <v>176.25</v>
      </c>
      <c r="H2231" s="4" t="str">
        <f aca="false">IF(F2231&gt;500,"Yüksek",IF(F2231&gt;100,"Orta","Düşük"))</f>
        <v>Yüksek</v>
      </c>
    </row>
    <row r="2232" customFormat="false" ht="12.8" hidden="false" customHeight="false" outlineLevel="0" collapsed="false">
      <c r="A2232" s="4" t="s">
        <v>24</v>
      </c>
      <c r="B2232" s="4" t="s">
        <v>19</v>
      </c>
      <c r="C2232" s="4" t="n">
        <v>4</v>
      </c>
      <c r="D2232" s="5" t="n">
        <v>21.5</v>
      </c>
      <c r="E2232" s="6" t="n">
        <f aca="false">DATE(2024,10,18)</f>
        <v>45583</v>
      </c>
      <c r="F2232" s="7" t="n">
        <f aca="false">C2232*D2232</f>
        <v>86</v>
      </c>
      <c r="G2232" s="7" t="n">
        <f aca="false">ROUND(F2232*0.2,2)</f>
        <v>17.2</v>
      </c>
      <c r="H2232" s="4" t="str">
        <f aca="false">IF(F2232&gt;500,"Yüksek",IF(F2232&gt;100,"Orta","Düşük"))</f>
        <v>Düşük</v>
      </c>
    </row>
    <row r="2233" customFormat="false" ht="12.8" hidden="false" customHeight="false" outlineLevel="0" collapsed="false">
      <c r="A2233" s="4" t="s">
        <v>10</v>
      </c>
      <c r="B2233" s="4" t="s">
        <v>11</v>
      </c>
      <c r="C2233" s="4" t="n">
        <v>11</v>
      </c>
      <c r="D2233" s="5" t="n">
        <v>24.25</v>
      </c>
      <c r="E2233" s="6" t="n">
        <f aca="false">DATE(2024,11,19)</f>
        <v>45615</v>
      </c>
      <c r="F2233" s="7" t="n">
        <f aca="false">C2233*D2233</f>
        <v>266.75</v>
      </c>
      <c r="G2233" s="7" t="n">
        <f aca="false">ROUND(F2233*0.2,2)</f>
        <v>53.35</v>
      </c>
      <c r="H2233" s="4" t="str">
        <f aca="false">IF(F2233&gt;500,"Yüksek",IF(F2233&gt;100,"Orta","Düşük"))</f>
        <v>Orta</v>
      </c>
    </row>
    <row r="2234" customFormat="false" ht="12.8" hidden="false" customHeight="false" outlineLevel="0" collapsed="false">
      <c r="A2234" s="4" t="s">
        <v>12</v>
      </c>
      <c r="B2234" s="4" t="s">
        <v>13</v>
      </c>
      <c r="C2234" s="4" t="n">
        <v>18</v>
      </c>
      <c r="D2234" s="5" t="n">
        <v>27</v>
      </c>
      <c r="E2234" s="6" t="n">
        <f aca="false">DATE(2024,12,20)</f>
        <v>45646</v>
      </c>
      <c r="F2234" s="7" t="n">
        <f aca="false">C2234*D2234</f>
        <v>486</v>
      </c>
      <c r="G2234" s="7" t="n">
        <f aca="false">ROUND(F2234*0.2,2)</f>
        <v>97.2</v>
      </c>
      <c r="H2234" s="4" t="str">
        <f aca="false">IF(F2234&gt;500,"Yüksek",IF(F2234&gt;100,"Orta","Düşük"))</f>
        <v>Orta</v>
      </c>
    </row>
    <row r="2235" customFormat="false" ht="12.8" hidden="false" customHeight="false" outlineLevel="0" collapsed="false">
      <c r="A2235" s="4" t="s">
        <v>14</v>
      </c>
      <c r="B2235" s="4" t="s">
        <v>15</v>
      </c>
      <c r="C2235" s="4" t="n">
        <v>25</v>
      </c>
      <c r="D2235" s="5" t="n">
        <v>29.75</v>
      </c>
      <c r="E2235" s="6" t="n">
        <f aca="false">DATE(2024,1,21)</f>
        <v>45312</v>
      </c>
      <c r="F2235" s="7" t="n">
        <f aca="false">C2235*D2235</f>
        <v>743.75</v>
      </c>
      <c r="G2235" s="7" t="n">
        <f aca="false">ROUND(F2235*0.2,2)</f>
        <v>148.75</v>
      </c>
      <c r="H2235" s="4" t="str">
        <f aca="false">IF(F2235&gt;500,"Yüksek",IF(F2235&gt;100,"Orta","Düşük"))</f>
        <v>Yüksek</v>
      </c>
    </row>
    <row r="2236" customFormat="false" ht="12.8" hidden="false" customHeight="false" outlineLevel="0" collapsed="false">
      <c r="A2236" s="4" t="s">
        <v>16</v>
      </c>
      <c r="B2236" s="4" t="s">
        <v>17</v>
      </c>
      <c r="C2236" s="4" t="n">
        <v>32</v>
      </c>
      <c r="D2236" s="5" t="n">
        <v>32.5</v>
      </c>
      <c r="E2236" s="6" t="n">
        <f aca="false">DATE(2024,2,22)</f>
        <v>45344</v>
      </c>
      <c r="F2236" s="7" t="n">
        <f aca="false">C2236*D2236</f>
        <v>1040</v>
      </c>
      <c r="G2236" s="7" t="n">
        <f aca="false">ROUND(F2236*0.2,2)</f>
        <v>208</v>
      </c>
      <c r="H2236" s="4" t="str">
        <f aca="false">IF(F2236&gt;500,"Yüksek",IF(F2236&gt;100,"Orta","Düşük"))</f>
        <v>Yüksek</v>
      </c>
    </row>
    <row r="2237" customFormat="false" ht="12.8" hidden="false" customHeight="false" outlineLevel="0" collapsed="false">
      <c r="A2237" s="4" t="s">
        <v>18</v>
      </c>
      <c r="B2237" s="4" t="s">
        <v>19</v>
      </c>
      <c r="C2237" s="4" t="n">
        <v>39</v>
      </c>
      <c r="D2237" s="5" t="n">
        <v>35.25</v>
      </c>
      <c r="E2237" s="6" t="n">
        <f aca="false">DATE(2024,3,23)</f>
        <v>45374</v>
      </c>
      <c r="F2237" s="7" t="n">
        <f aca="false">C2237*D2237</f>
        <v>1374.75</v>
      </c>
      <c r="G2237" s="7" t="n">
        <f aca="false">ROUND(F2237*0.2,2)</f>
        <v>274.95</v>
      </c>
      <c r="H2237" s="4" t="str">
        <f aca="false">IF(F2237&gt;500,"Yüksek",IF(F2237&gt;100,"Orta","Düşük"))</f>
        <v>Yüksek</v>
      </c>
    </row>
    <row r="2238" customFormat="false" ht="12.8" hidden="false" customHeight="false" outlineLevel="0" collapsed="false">
      <c r="A2238" s="4" t="s">
        <v>20</v>
      </c>
      <c r="B2238" s="4" t="s">
        <v>11</v>
      </c>
      <c r="C2238" s="4" t="n">
        <v>46</v>
      </c>
      <c r="D2238" s="5" t="n">
        <v>38</v>
      </c>
      <c r="E2238" s="6" t="n">
        <f aca="false">DATE(2024,4,24)</f>
        <v>45406</v>
      </c>
      <c r="F2238" s="7" t="n">
        <f aca="false">C2238*D2238</f>
        <v>1748</v>
      </c>
      <c r="G2238" s="7" t="n">
        <f aca="false">ROUND(F2238*0.2,2)</f>
        <v>349.6</v>
      </c>
      <c r="H2238" s="4" t="str">
        <f aca="false">IF(F2238&gt;500,"Yüksek",IF(F2238&gt;100,"Orta","Düşük"))</f>
        <v>Yüksek</v>
      </c>
    </row>
    <row r="2239" customFormat="false" ht="12.8" hidden="false" customHeight="false" outlineLevel="0" collapsed="false">
      <c r="A2239" s="4" t="s">
        <v>21</v>
      </c>
      <c r="B2239" s="4" t="s">
        <v>13</v>
      </c>
      <c r="C2239" s="4" t="n">
        <v>3</v>
      </c>
      <c r="D2239" s="5" t="n">
        <v>5</v>
      </c>
      <c r="E2239" s="6" t="n">
        <f aca="false">DATE(2024,5,25)</f>
        <v>45437</v>
      </c>
      <c r="F2239" s="7" t="n">
        <f aca="false">C2239*D2239</f>
        <v>15</v>
      </c>
      <c r="G2239" s="7" t="n">
        <f aca="false">ROUND(F2239*0.2,2)</f>
        <v>3</v>
      </c>
      <c r="H2239" s="4" t="str">
        <f aca="false">IF(F2239&gt;500,"Yüksek",IF(F2239&gt;100,"Orta","Düşük"))</f>
        <v>Düşük</v>
      </c>
    </row>
    <row r="2240" customFormat="false" ht="12.8" hidden="false" customHeight="false" outlineLevel="0" collapsed="false">
      <c r="A2240" s="4" t="s">
        <v>22</v>
      </c>
      <c r="B2240" s="4" t="s">
        <v>15</v>
      </c>
      <c r="C2240" s="4" t="n">
        <v>10</v>
      </c>
      <c r="D2240" s="5" t="n">
        <v>7.75</v>
      </c>
      <c r="E2240" s="6" t="n">
        <f aca="false">DATE(2024,6,26)</f>
        <v>45469</v>
      </c>
      <c r="F2240" s="7" t="n">
        <f aca="false">C2240*D2240</f>
        <v>77.5</v>
      </c>
      <c r="G2240" s="7" t="n">
        <f aca="false">ROUND(F2240*0.2,2)</f>
        <v>15.5</v>
      </c>
      <c r="H2240" s="4" t="str">
        <f aca="false">IF(F2240&gt;500,"Yüksek",IF(F2240&gt;100,"Orta","Düşük"))</f>
        <v>Düşük</v>
      </c>
    </row>
    <row r="2241" customFormat="false" ht="12.8" hidden="false" customHeight="false" outlineLevel="0" collapsed="false">
      <c r="A2241" s="4" t="s">
        <v>23</v>
      </c>
      <c r="B2241" s="4" t="s">
        <v>17</v>
      </c>
      <c r="C2241" s="4" t="n">
        <v>17</v>
      </c>
      <c r="D2241" s="5" t="n">
        <v>10.5</v>
      </c>
      <c r="E2241" s="6" t="n">
        <f aca="false">DATE(2024,7,27)</f>
        <v>45500</v>
      </c>
      <c r="F2241" s="7" t="n">
        <f aca="false">C2241*D2241</f>
        <v>178.5</v>
      </c>
      <c r="G2241" s="7" t="n">
        <f aca="false">ROUND(F2241*0.2,2)</f>
        <v>35.7</v>
      </c>
      <c r="H2241" s="4" t="str">
        <f aca="false">IF(F2241&gt;500,"Yüksek",IF(F2241&gt;100,"Orta","Düşük"))</f>
        <v>Orta</v>
      </c>
    </row>
    <row r="2242" customFormat="false" ht="12.8" hidden="false" customHeight="false" outlineLevel="0" collapsed="false">
      <c r="A2242" s="4" t="s">
        <v>24</v>
      </c>
      <c r="B2242" s="4" t="s">
        <v>19</v>
      </c>
      <c r="C2242" s="4" t="n">
        <v>24</v>
      </c>
      <c r="D2242" s="5" t="n">
        <v>13.25</v>
      </c>
      <c r="E2242" s="6" t="n">
        <f aca="false">DATE(2024,8,28)</f>
        <v>45532</v>
      </c>
      <c r="F2242" s="7" t="n">
        <f aca="false">C2242*D2242</f>
        <v>318</v>
      </c>
      <c r="G2242" s="7" t="n">
        <f aca="false">ROUND(F2242*0.2,2)</f>
        <v>63.6</v>
      </c>
      <c r="H2242" s="4" t="str">
        <f aca="false">IF(F2242&gt;500,"Yüksek",IF(F2242&gt;100,"Orta","Düşük"))</f>
        <v>Orta</v>
      </c>
    </row>
    <row r="2243" customFormat="false" ht="12.8" hidden="false" customHeight="false" outlineLevel="0" collapsed="false">
      <c r="A2243" s="4" t="s">
        <v>10</v>
      </c>
      <c r="B2243" s="4" t="s">
        <v>11</v>
      </c>
      <c r="C2243" s="4" t="n">
        <v>31</v>
      </c>
      <c r="D2243" s="5" t="n">
        <v>16</v>
      </c>
      <c r="E2243" s="6" t="n">
        <f aca="false">DATE(2024,9,1)</f>
        <v>45536</v>
      </c>
      <c r="F2243" s="7" t="n">
        <f aca="false">C2243*D2243</f>
        <v>496</v>
      </c>
      <c r="G2243" s="7" t="n">
        <f aca="false">ROUND(F2243*0.2,2)</f>
        <v>99.2</v>
      </c>
      <c r="H2243" s="4" t="str">
        <f aca="false">IF(F2243&gt;500,"Yüksek",IF(F2243&gt;100,"Orta","Düşük"))</f>
        <v>Orta</v>
      </c>
    </row>
    <row r="2244" customFormat="false" ht="12.8" hidden="false" customHeight="false" outlineLevel="0" collapsed="false">
      <c r="A2244" s="4" t="s">
        <v>12</v>
      </c>
      <c r="B2244" s="4" t="s">
        <v>13</v>
      </c>
      <c r="C2244" s="4" t="n">
        <v>38</v>
      </c>
      <c r="D2244" s="5" t="n">
        <v>18.75</v>
      </c>
      <c r="E2244" s="6" t="n">
        <f aca="false">DATE(2024,10,2)</f>
        <v>45567</v>
      </c>
      <c r="F2244" s="7" t="n">
        <f aca="false">C2244*D2244</f>
        <v>712.5</v>
      </c>
      <c r="G2244" s="7" t="n">
        <f aca="false">ROUND(F2244*0.2,2)</f>
        <v>142.5</v>
      </c>
      <c r="H2244" s="4" t="str">
        <f aca="false">IF(F2244&gt;500,"Yüksek",IF(F2244&gt;100,"Orta","Düşük"))</f>
        <v>Yüksek</v>
      </c>
    </row>
    <row r="2245" customFormat="false" ht="12.8" hidden="false" customHeight="false" outlineLevel="0" collapsed="false">
      <c r="A2245" s="4" t="s">
        <v>14</v>
      </c>
      <c r="B2245" s="4" t="s">
        <v>15</v>
      </c>
      <c r="C2245" s="4" t="n">
        <v>45</v>
      </c>
      <c r="D2245" s="5" t="n">
        <v>21.5</v>
      </c>
      <c r="E2245" s="6" t="n">
        <f aca="false">DATE(2024,11,3)</f>
        <v>45599</v>
      </c>
      <c r="F2245" s="7" t="n">
        <f aca="false">C2245*D2245</f>
        <v>967.5</v>
      </c>
      <c r="G2245" s="7" t="n">
        <f aca="false">ROUND(F2245*0.2,2)</f>
        <v>193.5</v>
      </c>
      <c r="H2245" s="4" t="str">
        <f aca="false">IF(F2245&gt;500,"Yüksek",IF(F2245&gt;100,"Orta","Düşük"))</f>
        <v>Yüksek</v>
      </c>
    </row>
    <row r="2246" customFormat="false" ht="12.8" hidden="false" customHeight="false" outlineLevel="0" collapsed="false">
      <c r="A2246" s="4" t="s">
        <v>16</v>
      </c>
      <c r="B2246" s="4" t="s">
        <v>17</v>
      </c>
      <c r="C2246" s="4" t="n">
        <v>2</v>
      </c>
      <c r="D2246" s="5" t="n">
        <v>24.25</v>
      </c>
      <c r="E2246" s="6" t="n">
        <f aca="false">DATE(2024,12,4)</f>
        <v>45630</v>
      </c>
      <c r="F2246" s="7" t="n">
        <f aca="false">C2246*D2246</f>
        <v>48.5</v>
      </c>
      <c r="G2246" s="7" t="n">
        <f aca="false">ROUND(F2246*0.2,2)</f>
        <v>9.7</v>
      </c>
      <c r="H2246" s="4" t="str">
        <f aca="false">IF(F2246&gt;500,"Yüksek",IF(F2246&gt;100,"Orta","Düşük"))</f>
        <v>Düşük</v>
      </c>
    </row>
    <row r="2247" customFormat="false" ht="12.8" hidden="false" customHeight="false" outlineLevel="0" collapsed="false">
      <c r="A2247" s="4" t="s">
        <v>18</v>
      </c>
      <c r="B2247" s="4" t="s">
        <v>19</v>
      </c>
      <c r="C2247" s="4" t="n">
        <v>9</v>
      </c>
      <c r="D2247" s="5" t="n">
        <v>27</v>
      </c>
      <c r="E2247" s="6" t="n">
        <f aca="false">DATE(2024,1,5)</f>
        <v>45296</v>
      </c>
      <c r="F2247" s="7" t="n">
        <f aca="false">C2247*D2247</f>
        <v>243</v>
      </c>
      <c r="G2247" s="7" t="n">
        <f aca="false">ROUND(F2247*0.2,2)</f>
        <v>48.6</v>
      </c>
      <c r="H2247" s="4" t="str">
        <f aca="false">IF(F2247&gt;500,"Yüksek",IF(F2247&gt;100,"Orta","Düşük"))</f>
        <v>Orta</v>
      </c>
    </row>
    <row r="2248" customFormat="false" ht="12.8" hidden="false" customHeight="false" outlineLevel="0" collapsed="false">
      <c r="A2248" s="4" t="s">
        <v>20</v>
      </c>
      <c r="B2248" s="4" t="s">
        <v>11</v>
      </c>
      <c r="C2248" s="4" t="n">
        <v>16</v>
      </c>
      <c r="D2248" s="5" t="n">
        <v>29.75</v>
      </c>
      <c r="E2248" s="6" t="n">
        <f aca="false">DATE(2024,2,6)</f>
        <v>45328</v>
      </c>
      <c r="F2248" s="7" t="n">
        <f aca="false">C2248*D2248</f>
        <v>476</v>
      </c>
      <c r="G2248" s="7" t="n">
        <f aca="false">ROUND(F2248*0.2,2)</f>
        <v>95.2</v>
      </c>
      <c r="H2248" s="4" t="str">
        <f aca="false">IF(F2248&gt;500,"Yüksek",IF(F2248&gt;100,"Orta","Düşük"))</f>
        <v>Orta</v>
      </c>
    </row>
    <row r="2249" customFormat="false" ht="12.8" hidden="false" customHeight="false" outlineLevel="0" collapsed="false">
      <c r="A2249" s="4" t="s">
        <v>21</v>
      </c>
      <c r="B2249" s="4" t="s">
        <v>13</v>
      </c>
      <c r="C2249" s="4" t="n">
        <v>23</v>
      </c>
      <c r="D2249" s="5" t="n">
        <v>32.5</v>
      </c>
      <c r="E2249" s="6" t="n">
        <f aca="false">DATE(2024,3,7)</f>
        <v>45358</v>
      </c>
      <c r="F2249" s="7" t="n">
        <f aca="false">C2249*D2249</f>
        <v>747.5</v>
      </c>
      <c r="G2249" s="7" t="n">
        <f aca="false">ROUND(F2249*0.2,2)</f>
        <v>149.5</v>
      </c>
      <c r="H2249" s="4" t="str">
        <f aca="false">IF(F2249&gt;500,"Yüksek",IF(F2249&gt;100,"Orta","Düşük"))</f>
        <v>Yüksek</v>
      </c>
    </row>
    <row r="2250" customFormat="false" ht="12.8" hidden="false" customHeight="false" outlineLevel="0" collapsed="false">
      <c r="A2250" s="4" t="s">
        <v>22</v>
      </c>
      <c r="B2250" s="4" t="s">
        <v>15</v>
      </c>
      <c r="C2250" s="4" t="n">
        <v>30</v>
      </c>
      <c r="D2250" s="5" t="n">
        <v>35.25</v>
      </c>
      <c r="E2250" s="6" t="n">
        <f aca="false">DATE(2024,4,8)</f>
        <v>45390</v>
      </c>
      <c r="F2250" s="7" t="n">
        <f aca="false">C2250*D2250</f>
        <v>1057.5</v>
      </c>
      <c r="G2250" s="7" t="n">
        <f aca="false">ROUND(F2250*0.2,2)</f>
        <v>211.5</v>
      </c>
      <c r="H2250" s="4" t="str">
        <f aca="false">IF(F2250&gt;500,"Yüksek",IF(F2250&gt;100,"Orta","Düşük"))</f>
        <v>Yüksek</v>
      </c>
    </row>
    <row r="2251" customFormat="false" ht="12.8" hidden="false" customHeight="false" outlineLevel="0" collapsed="false">
      <c r="A2251" s="4" t="s">
        <v>23</v>
      </c>
      <c r="B2251" s="4" t="s">
        <v>17</v>
      </c>
      <c r="C2251" s="4" t="n">
        <v>37</v>
      </c>
      <c r="D2251" s="5" t="n">
        <v>38</v>
      </c>
      <c r="E2251" s="6" t="n">
        <f aca="false">DATE(2024,5,9)</f>
        <v>45421</v>
      </c>
      <c r="F2251" s="7" t="n">
        <f aca="false">C2251*D2251</f>
        <v>1406</v>
      </c>
      <c r="G2251" s="7" t="n">
        <f aca="false">ROUND(F2251*0.2,2)</f>
        <v>281.2</v>
      </c>
      <c r="H2251" s="4" t="str">
        <f aca="false">IF(F2251&gt;500,"Yüksek",IF(F2251&gt;100,"Orta","Düşük"))</f>
        <v>Yüksek</v>
      </c>
    </row>
    <row r="2252" customFormat="false" ht="12.8" hidden="false" customHeight="false" outlineLevel="0" collapsed="false">
      <c r="A2252" s="4" t="s">
        <v>24</v>
      </c>
      <c r="B2252" s="4" t="s">
        <v>19</v>
      </c>
      <c r="C2252" s="4" t="n">
        <v>44</v>
      </c>
      <c r="D2252" s="5" t="n">
        <v>5</v>
      </c>
      <c r="E2252" s="6" t="n">
        <f aca="false">DATE(2024,6,10)</f>
        <v>45453</v>
      </c>
      <c r="F2252" s="7" t="n">
        <f aca="false">C2252*D2252</f>
        <v>220</v>
      </c>
      <c r="G2252" s="7" t="n">
        <f aca="false">ROUND(F2252*0.2,2)</f>
        <v>44</v>
      </c>
      <c r="H2252" s="4" t="str">
        <f aca="false">IF(F2252&gt;500,"Yüksek",IF(F2252&gt;100,"Orta","Düşük"))</f>
        <v>Orta</v>
      </c>
    </row>
    <row r="2253" customFormat="false" ht="12.8" hidden="false" customHeight="false" outlineLevel="0" collapsed="false">
      <c r="A2253" s="4" t="s">
        <v>10</v>
      </c>
      <c r="B2253" s="4" t="s">
        <v>11</v>
      </c>
      <c r="C2253" s="4" t="n">
        <v>1</v>
      </c>
      <c r="D2253" s="5" t="n">
        <v>7.75</v>
      </c>
      <c r="E2253" s="6" t="n">
        <f aca="false">DATE(2024,7,11)</f>
        <v>45484</v>
      </c>
      <c r="F2253" s="7" t="n">
        <f aca="false">C2253*D2253</f>
        <v>7.75</v>
      </c>
      <c r="G2253" s="7" t="n">
        <f aca="false">ROUND(F2253*0.2,2)</f>
        <v>1.55</v>
      </c>
      <c r="H2253" s="4" t="str">
        <f aca="false">IF(F2253&gt;500,"Yüksek",IF(F2253&gt;100,"Orta","Düşük"))</f>
        <v>Düşük</v>
      </c>
    </row>
    <row r="2254" customFormat="false" ht="12.8" hidden="false" customHeight="false" outlineLevel="0" collapsed="false">
      <c r="A2254" s="4" t="s">
        <v>12</v>
      </c>
      <c r="B2254" s="4" t="s">
        <v>13</v>
      </c>
      <c r="C2254" s="4" t="n">
        <v>8</v>
      </c>
      <c r="D2254" s="5" t="n">
        <v>10.5</v>
      </c>
      <c r="E2254" s="6" t="n">
        <f aca="false">DATE(2024,8,12)</f>
        <v>45516</v>
      </c>
      <c r="F2254" s="7" t="n">
        <f aca="false">C2254*D2254</f>
        <v>84</v>
      </c>
      <c r="G2254" s="7" t="n">
        <f aca="false">ROUND(F2254*0.2,2)</f>
        <v>16.8</v>
      </c>
      <c r="H2254" s="4" t="str">
        <f aca="false">IF(F2254&gt;500,"Yüksek",IF(F2254&gt;100,"Orta","Düşük"))</f>
        <v>Düşük</v>
      </c>
    </row>
    <row r="2255" customFormat="false" ht="12.8" hidden="false" customHeight="false" outlineLevel="0" collapsed="false">
      <c r="A2255" s="4" t="s">
        <v>14</v>
      </c>
      <c r="B2255" s="4" t="s">
        <v>15</v>
      </c>
      <c r="C2255" s="4" t="n">
        <v>15</v>
      </c>
      <c r="D2255" s="5" t="n">
        <v>13.25</v>
      </c>
      <c r="E2255" s="6" t="n">
        <f aca="false">DATE(2024,9,13)</f>
        <v>45548</v>
      </c>
      <c r="F2255" s="7" t="n">
        <f aca="false">C2255*D2255</f>
        <v>198.75</v>
      </c>
      <c r="G2255" s="7" t="n">
        <f aca="false">ROUND(F2255*0.2,2)</f>
        <v>39.75</v>
      </c>
      <c r="H2255" s="4" t="str">
        <f aca="false">IF(F2255&gt;500,"Yüksek",IF(F2255&gt;100,"Orta","Düşük"))</f>
        <v>Orta</v>
      </c>
    </row>
    <row r="2256" customFormat="false" ht="12.8" hidden="false" customHeight="false" outlineLevel="0" collapsed="false">
      <c r="A2256" s="4" t="s">
        <v>16</v>
      </c>
      <c r="B2256" s="4" t="s">
        <v>17</v>
      </c>
      <c r="C2256" s="4" t="n">
        <v>22</v>
      </c>
      <c r="D2256" s="5" t="n">
        <v>16</v>
      </c>
      <c r="E2256" s="6" t="n">
        <f aca="false">DATE(2024,10,14)</f>
        <v>45579</v>
      </c>
      <c r="F2256" s="7" t="n">
        <f aca="false">C2256*D2256</f>
        <v>352</v>
      </c>
      <c r="G2256" s="7" t="n">
        <f aca="false">ROUND(F2256*0.2,2)</f>
        <v>70.4</v>
      </c>
      <c r="H2256" s="4" t="str">
        <f aca="false">IF(F2256&gt;500,"Yüksek",IF(F2256&gt;100,"Orta","Düşük"))</f>
        <v>Orta</v>
      </c>
    </row>
    <row r="2257" customFormat="false" ht="12.8" hidden="false" customHeight="false" outlineLevel="0" collapsed="false">
      <c r="A2257" s="4" t="s">
        <v>18</v>
      </c>
      <c r="B2257" s="4" t="s">
        <v>19</v>
      </c>
      <c r="C2257" s="4" t="n">
        <v>29</v>
      </c>
      <c r="D2257" s="5" t="n">
        <v>18.75</v>
      </c>
      <c r="E2257" s="6" t="n">
        <f aca="false">DATE(2024,11,15)</f>
        <v>45611</v>
      </c>
      <c r="F2257" s="7" t="n">
        <f aca="false">C2257*D2257</f>
        <v>543.75</v>
      </c>
      <c r="G2257" s="7" t="n">
        <f aca="false">ROUND(F2257*0.2,2)</f>
        <v>108.75</v>
      </c>
      <c r="H2257" s="4" t="str">
        <f aca="false">IF(F2257&gt;500,"Yüksek",IF(F2257&gt;100,"Orta","Düşük"))</f>
        <v>Yüksek</v>
      </c>
    </row>
    <row r="2258" customFormat="false" ht="12.8" hidden="false" customHeight="false" outlineLevel="0" collapsed="false">
      <c r="A2258" s="4" t="s">
        <v>20</v>
      </c>
      <c r="B2258" s="4" t="s">
        <v>11</v>
      </c>
      <c r="C2258" s="4" t="n">
        <v>36</v>
      </c>
      <c r="D2258" s="5" t="n">
        <v>21.5</v>
      </c>
      <c r="E2258" s="6" t="n">
        <f aca="false">DATE(2024,12,16)</f>
        <v>45642</v>
      </c>
      <c r="F2258" s="7" t="n">
        <f aca="false">C2258*D2258</f>
        <v>774</v>
      </c>
      <c r="G2258" s="7" t="n">
        <f aca="false">ROUND(F2258*0.2,2)</f>
        <v>154.8</v>
      </c>
      <c r="H2258" s="4" t="str">
        <f aca="false">IF(F2258&gt;500,"Yüksek",IF(F2258&gt;100,"Orta","Düşük"))</f>
        <v>Yüksek</v>
      </c>
    </row>
    <row r="2259" customFormat="false" ht="12.8" hidden="false" customHeight="false" outlineLevel="0" collapsed="false">
      <c r="A2259" s="4" t="s">
        <v>21</v>
      </c>
      <c r="B2259" s="4" t="s">
        <v>13</v>
      </c>
      <c r="C2259" s="4" t="n">
        <v>43</v>
      </c>
      <c r="D2259" s="5" t="n">
        <v>24.25</v>
      </c>
      <c r="E2259" s="6" t="n">
        <f aca="false">DATE(2024,1,17)</f>
        <v>45308</v>
      </c>
      <c r="F2259" s="7" t="n">
        <f aca="false">C2259*D2259</f>
        <v>1042.75</v>
      </c>
      <c r="G2259" s="7" t="n">
        <f aca="false">ROUND(F2259*0.2,2)</f>
        <v>208.55</v>
      </c>
      <c r="H2259" s="4" t="str">
        <f aca="false">IF(F2259&gt;500,"Yüksek",IF(F2259&gt;100,"Orta","Düşük"))</f>
        <v>Yüksek</v>
      </c>
    </row>
    <row r="2260" customFormat="false" ht="12.8" hidden="false" customHeight="false" outlineLevel="0" collapsed="false">
      <c r="A2260" s="4" t="s">
        <v>22</v>
      </c>
      <c r="B2260" s="4" t="s">
        <v>15</v>
      </c>
      <c r="C2260" s="4" t="n">
        <v>50</v>
      </c>
      <c r="D2260" s="5" t="n">
        <v>27</v>
      </c>
      <c r="E2260" s="6" t="n">
        <f aca="false">DATE(2024,2,18)</f>
        <v>45340</v>
      </c>
      <c r="F2260" s="7" t="n">
        <f aca="false">C2260*D2260</f>
        <v>1350</v>
      </c>
      <c r="G2260" s="7" t="n">
        <f aca="false">ROUND(F2260*0.2,2)</f>
        <v>270</v>
      </c>
      <c r="H2260" s="4" t="str">
        <f aca="false">IF(F2260&gt;500,"Yüksek",IF(F2260&gt;100,"Orta","Düşük"))</f>
        <v>Yüksek</v>
      </c>
    </row>
    <row r="2261" customFormat="false" ht="12.8" hidden="false" customHeight="false" outlineLevel="0" collapsed="false">
      <c r="A2261" s="4" t="s">
        <v>23</v>
      </c>
      <c r="B2261" s="4" t="s">
        <v>17</v>
      </c>
      <c r="C2261" s="4" t="n">
        <v>7</v>
      </c>
      <c r="D2261" s="5" t="n">
        <v>29.75</v>
      </c>
      <c r="E2261" s="6" t="n">
        <f aca="false">DATE(2024,3,19)</f>
        <v>45370</v>
      </c>
      <c r="F2261" s="7" t="n">
        <f aca="false">C2261*D2261</f>
        <v>208.25</v>
      </c>
      <c r="G2261" s="7" t="n">
        <f aca="false">ROUND(F2261*0.2,2)</f>
        <v>41.65</v>
      </c>
      <c r="H2261" s="4" t="str">
        <f aca="false">IF(F2261&gt;500,"Yüksek",IF(F2261&gt;100,"Orta","Düşük"))</f>
        <v>Orta</v>
      </c>
    </row>
    <row r="2262" customFormat="false" ht="12.8" hidden="false" customHeight="false" outlineLevel="0" collapsed="false">
      <c r="A2262" s="4" t="s">
        <v>24</v>
      </c>
      <c r="B2262" s="4" t="s">
        <v>19</v>
      </c>
      <c r="C2262" s="4" t="n">
        <v>14</v>
      </c>
      <c r="D2262" s="5" t="n">
        <v>32.5</v>
      </c>
      <c r="E2262" s="6" t="n">
        <f aca="false">DATE(2024,4,20)</f>
        <v>45402</v>
      </c>
      <c r="F2262" s="7" t="n">
        <f aca="false">C2262*D2262</f>
        <v>455</v>
      </c>
      <c r="G2262" s="7" t="n">
        <f aca="false">ROUND(F2262*0.2,2)</f>
        <v>91</v>
      </c>
      <c r="H2262" s="4" t="str">
        <f aca="false">IF(F2262&gt;500,"Yüksek",IF(F2262&gt;100,"Orta","Düşük"))</f>
        <v>Orta</v>
      </c>
    </row>
    <row r="2263" customFormat="false" ht="12.8" hidden="false" customHeight="false" outlineLevel="0" collapsed="false">
      <c r="A2263" s="4" t="s">
        <v>10</v>
      </c>
      <c r="B2263" s="4" t="s">
        <v>11</v>
      </c>
      <c r="C2263" s="4" t="n">
        <v>21</v>
      </c>
      <c r="D2263" s="5" t="n">
        <v>35.25</v>
      </c>
      <c r="E2263" s="6" t="n">
        <f aca="false">DATE(2024,5,21)</f>
        <v>45433</v>
      </c>
      <c r="F2263" s="7" t="n">
        <f aca="false">C2263*D2263</f>
        <v>740.25</v>
      </c>
      <c r="G2263" s="7" t="n">
        <f aca="false">ROUND(F2263*0.2,2)</f>
        <v>148.05</v>
      </c>
      <c r="H2263" s="4" t="str">
        <f aca="false">IF(F2263&gt;500,"Yüksek",IF(F2263&gt;100,"Orta","Düşük"))</f>
        <v>Yüksek</v>
      </c>
    </row>
    <row r="2264" customFormat="false" ht="12.8" hidden="false" customHeight="false" outlineLevel="0" collapsed="false">
      <c r="A2264" s="4" t="s">
        <v>12</v>
      </c>
      <c r="B2264" s="4" t="s">
        <v>13</v>
      </c>
      <c r="C2264" s="4" t="n">
        <v>28</v>
      </c>
      <c r="D2264" s="5" t="n">
        <v>38</v>
      </c>
      <c r="E2264" s="6" t="n">
        <f aca="false">DATE(2024,6,22)</f>
        <v>45465</v>
      </c>
      <c r="F2264" s="7" t="n">
        <f aca="false">C2264*D2264</f>
        <v>1064</v>
      </c>
      <c r="G2264" s="7" t="n">
        <f aca="false">ROUND(F2264*0.2,2)</f>
        <v>212.8</v>
      </c>
      <c r="H2264" s="4" t="str">
        <f aca="false">IF(F2264&gt;500,"Yüksek",IF(F2264&gt;100,"Orta","Düşük"))</f>
        <v>Yüksek</v>
      </c>
    </row>
    <row r="2265" customFormat="false" ht="12.8" hidden="false" customHeight="false" outlineLevel="0" collapsed="false">
      <c r="A2265" s="4" t="s">
        <v>14</v>
      </c>
      <c r="B2265" s="4" t="s">
        <v>15</v>
      </c>
      <c r="C2265" s="4" t="n">
        <v>35</v>
      </c>
      <c r="D2265" s="5" t="n">
        <v>5</v>
      </c>
      <c r="E2265" s="6" t="n">
        <f aca="false">DATE(2024,7,23)</f>
        <v>45496</v>
      </c>
      <c r="F2265" s="7" t="n">
        <f aca="false">C2265*D2265</f>
        <v>175</v>
      </c>
      <c r="G2265" s="7" t="n">
        <f aca="false">ROUND(F2265*0.2,2)</f>
        <v>35</v>
      </c>
      <c r="H2265" s="4" t="str">
        <f aca="false">IF(F2265&gt;500,"Yüksek",IF(F2265&gt;100,"Orta","Düşük"))</f>
        <v>Orta</v>
      </c>
    </row>
    <row r="2266" customFormat="false" ht="12.8" hidden="false" customHeight="false" outlineLevel="0" collapsed="false">
      <c r="A2266" s="4" t="s">
        <v>16</v>
      </c>
      <c r="B2266" s="4" t="s">
        <v>17</v>
      </c>
      <c r="C2266" s="4" t="n">
        <v>42</v>
      </c>
      <c r="D2266" s="5" t="n">
        <v>7.75</v>
      </c>
      <c r="E2266" s="6" t="n">
        <f aca="false">DATE(2024,8,24)</f>
        <v>45528</v>
      </c>
      <c r="F2266" s="7" t="n">
        <f aca="false">C2266*D2266</f>
        <v>325.5</v>
      </c>
      <c r="G2266" s="7" t="n">
        <f aca="false">ROUND(F2266*0.2,2)</f>
        <v>65.1</v>
      </c>
      <c r="H2266" s="4" t="str">
        <f aca="false">IF(F2266&gt;500,"Yüksek",IF(F2266&gt;100,"Orta","Düşük"))</f>
        <v>Orta</v>
      </c>
    </row>
    <row r="2267" customFormat="false" ht="12.8" hidden="false" customHeight="false" outlineLevel="0" collapsed="false">
      <c r="A2267" s="4" t="s">
        <v>18</v>
      </c>
      <c r="B2267" s="4" t="s">
        <v>19</v>
      </c>
      <c r="C2267" s="4" t="n">
        <v>49</v>
      </c>
      <c r="D2267" s="5" t="n">
        <v>10.5</v>
      </c>
      <c r="E2267" s="6" t="n">
        <f aca="false">DATE(2024,9,25)</f>
        <v>45560</v>
      </c>
      <c r="F2267" s="7" t="n">
        <f aca="false">C2267*D2267</f>
        <v>514.5</v>
      </c>
      <c r="G2267" s="7" t="n">
        <f aca="false">ROUND(F2267*0.2,2)</f>
        <v>102.9</v>
      </c>
      <c r="H2267" s="4" t="str">
        <f aca="false">IF(F2267&gt;500,"Yüksek",IF(F2267&gt;100,"Orta","Düşük"))</f>
        <v>Yüksek</v>
      </c>
    </row>
    <row r="2268" customFormat="false" ht="12.8" hidden="false" customHeight="false" outlineLevel="0" collapsed="false">
      <c r="A2268" s="4" t="s">
        <v>20</v>
      </c>
      <c r="B2268" s="4" t="s">
        <v>11</v>
      </c>
      <c r="C2268" s="4" t="n">
        <v>6</v>
      </c>
      <c r="D2268" s="5" t="n">
        <v>13.25</v>
      </c>
      <c r="E2268" s="6" t="n">
        <f aca="false">DATE(2024,10,26)</f>
        <v>45591</v>
      </c>
      <c r="F2268" s="7" t="n">
        <f aca="false">C2268*D2268</f>
        <v>79.5</v>
      </c>
      <c r="G2268" s="7" t="n">
        <f aca="false">ROUND(F2268*0.2,2)</f>
        <v>15.9</v>
      </c>
      <c r="H2268" s="4" t="str">
        <f aca="false">IF(F2268&gt;500,"Yüksek",IF(F2268&gt;100,"Orta","Düşük"))</f>
        <v>Düşük</v>
      </c>
    </row>
    <row r="2269" customFormat="false" ht="12.8" hidden="false" customHeight="false" outlineLevel="0" collapsed="false">
      <c r="A2269" s="4" t="s">
        <v>21</v>
      </c>
      <c r="B2269" s="4" t="s">
        <v>13</v>
      </c>
      <c r="C2269" s="4" t="n">
        <v>13</v>
      </c>
      <c r="D2269" s="5" t="n">
        <v>16</v>
      </c>
      <c r="E2269" s="6" t="n">
        <f aca="false">DATE(2024,11,27)</f>
        <v>45623</v>
      </c>
      <c r="F2269" s="7" t="n">
        <f aca="false">C2269*D2269</f>
        <v>208</v>
      </c>
      <c r="G2269" s="7" t="n">
        <f aca="false">ROUND(F2269*0.2,2)</f>
        <v>41.6</v>
      </c>
      <c r="H2269" s="4" t="str">
        <f aca="false">IF(F2269&gt;500,"Yüksek",IF(F2269&gt;100,"Orta","Düşük"))</f>
        <v>Orta</v>
      </c>
    </row>
    <row r="2270" customFormat="false" ht="12.8" hidden="false" customHeight="false" outlineLevel="0" collapsed="false">
      <c r="A2270" s="4" t="s">
        <v>22</v>
      </c>
      <c r="B2270" s="4" t="s">
        <v>15</v>
      </c>
      <c r="C2270" s="4" t="n">
        <v>20</v>
      </c>
      <c r="D2270" s="5" t="n">
        <v>18.75</v>
      </c>
      <c r="E2270" s="6" t="n">
        <f aca="false">DATE(2024,12,28)</f>
        <v>45654</v>
      </c>
      <c r="F2270" s="7" t="n">
        <f aca="false">C2270*D2270</f>
        <v>375</v>
      </c>
      <c r="G2270" s="7" t="n">
        <f aca="false">ROUND(F2270*0.2,2)</f>
        <v>75</v>
      </c>
      <c r="H2270" s="4" t="str">
        <f aca="false">IF(F2270&gt;500,"Yüksek",IF(F2270&gt;100,"Orta","Düşük"))</f>
        <v>Orta</v>
      </c>
    </row>
    <row r="2271" customFormat="false" ht="12.8" hidden="false" customHeight="false" outlineLevel="0" collapsed="false">
      <c r="A2271" s="4" t="s">
        <v>23</v>
      </c>
      <c r="B2271" s="4" t="s">
        <v>17</v>
      </c>
      <c r="C2271" s="4" t="n">
        <v>27</v>
      </c>
      <c r="D2271" s="5" t="n">
        <v>21.5</v>
      </c>
      <c r="E2271" s="6" t="n">
        <f aca="false">DATE(2024,1,1)</f>
        <v>45292</v>
      </c>
      <c r="F2271" s="7" t="n">
        <f aca="false">C2271*D2271</f>
        <v>580.5</v>
      </c>
      <c r="G2271" s="7" t="n">
        <f aca="false">ROUND(F2271*0.2,2)</f>
        <v>116.1</v>
      </c>
      <c r="H2271" s="4" t="str">
        <f aca="false">IF(F2271&gt;500,"Yüksek",IF(F2271&gt;100,"Orta","Düşük"))</f>
        <v>Yüksek</v>
      </c>
    </row>
    <row r="2272" customFormat="false" ht="12.8" hidden="false" customHeight="false" outlineLevel="0" collapsed="false">
      <c r="A2272" s="4" t="s">
        <v>24</v>
      </c>
      <c r="B2272" s="4" t="s">
        <v>19</v>
      </c>
      <c r="C2272" s="4" t="n">
        <v>34</v>
      </c>
      <c r="D2272" s="5" t="n">
        <v>24.25</v>
      </c>
      <c r="E2272" s="6" t="n">
        <f aca="false">DATE(2024,2,2)</f>
        <v>45324</v>
      </c>
      <c r="F2272" s="7" t="n">
        <f aca="false">C2272*D2272</f>
        <v>824.5</v>
      </c>
      <c r="G2272" s="7" t="n">
        <f aca="false">ROUND(F2272*0.2,2)</f>
        <v>164.9</v>
      </c>
      <c r="H2272" s="4" t="str">
        <f aca="false">IF(F2272&gt;500,"Yüksek",IF(F2272&gt;100,"Orta","Düşük"))</f>
        <v>Yüksek</v>
      </c>
    </row>
    <row r="2273" customFormat="false" ht="12.8" hidden="false" customHeight="false" outlineLevel="0" collapsed="false">
      <c r="A2273" s="4" t="s">
        <v>10</v>
      </c>
      <c r="B2273" s="4" t="s">
        <v>11</v>
      </c>
      <c r="C2273" s="4" t="n">
        <v>41</v>
      </c>
      <c r="D2273" s="5" t="n">
        <v>27</v>
      </c>
      <c r="E2273" s="6" t="n">
        <f aca="false">DATE(2024,3,3)</f>
        <v>45354</v>
      </c>
      <c r="F2273" s="7" t="n">
        <f aca="false">C2273*D2273</f>
        <v>1107</v>
      </c>
      <c r="G2273" s="7" t="n">
        <f aca="false">ROUND(F2273*0.2,2)</f>
        <v>221.4</v>
      </c>
      <c r="H2273" s="4" t="str">
        <f aca="false">IF(F2273&gt;500,"Yüksek",IF(F2273&gt;100,"Orta","Düşük"))</f>
        <v>Yüksek</v>
      </c>
    </row>
    <row r="2274" customFormat="false" ht="12.8" hidden="false" customHeight="false" outlineLevel="0" collapsed="false">
      <c r="A2274" s="4" t="s">
        <v>12</v>
      </c>
      <c r="B2274" s="4" t="s">
        <v>13</v>
      </c>
      <c r="C2274" s="4" t="n">
        <v>48</v>
      </c>
      <c r="D2274" s="5" t="n">
        <v>29.75</v>
      </c>
      <c r="E2274" s="6" t="n">
        <f aca="false">DATE(2024,4,4)</f>
        <v>45386</v>
      </c>
      <c r="F2274" s="7" t="n">
        <f aca="false">C2274*D2274</f>
        <v>1428</v>
      </c>
      <c r="G2274" s="7" t="n">
        <f aca="false">ROUND(F2274*0.2,2)</f>
        <v>285.6</v>
      </c>
      <c r="H2274" s="4" t="str">
        <f aca="false">IF(F2274&gt;500,"Yüksek",IF(F2274&gt;100,"Orta","Düşük"))</f>
        <v>Yüksek</v>
      </c>
    </row>
    <row r="2275" customFormat="false" ht="12.8" hidden="false" customHeight="false" outlineLevel="0" collapsed="false">
      <c r="A2275" s="4" t="s">
        <v>14</v>
      </c>
      <c r="B2275" s="4" t="s">
        <v>15</v>
      </c>
      <c r="C2275" s="4" t="n">
        <v>5</v>
      </c>
      <c r="D2275" s="5" t="n">
        <v>32.5</v>
      </c>
      <c r="E2275" s="6" t="n">
        <f aca="false">DATE(2024,5,5)</f>
        <v>45417</v>
      </c>
      <c r="F2275" s="7" t="n">
        <f aca="false">C2275*D2275</f>
        <v>162.5</v>
      </c>
      <c r="G2275" s="7" t="n">
        <f aca="false">ROUND(F2275*0.2,2)</f>
        <v>32.5</v>
      </c>
      <c r="H2275" s="4" t="str">
        <f aca="false">IF(F2275&gt;500,"Yüksek",IF(F2275&gt;100,"Orta","Düşük"))</f>
        <v>Orta</v>
      </c>
    </row>
    <row r="2276" customFormat="false" ht="12.8" hidden="false" customHeight="false" outlineLevel="0" collapsed="false">
      <c r="A2276" s="4" t="s">
        <v>16</v>
      </c>
      <c r="B2276" s="4" t="s">
        <v>17</v>
      </c>
      <c r="C2276" s="4" t="n">
        <v>12</v>
      </c>
      <c r="D2276" s="5" t="n">
        <v>35.25</v>
      </c>
      <c r="E2276" s="6" t="n">
        <f aca="false">DATE(2024,6,6)</f>
        <v>45449</v>
      </c>
      <c r="F2276" s="7" t="n">
        <f aca="false">C2276*D2276</f>
        <v>423</v>
      </c>
      <c r="G2276" s="7" t="n">
        <f aca="false">ROUND(F2276*0.2,2)</f>
        <v>84.6</v>
      </c>
      <c r="H2276" s="4" t="str">
        <f aca="false">IF(F2276&gt;500,"Yüksek",IF(F2276&gt;100,"Orta","Düşük"))</f>
        <v>Orta</v>
      </c>
    </row>
    <row r="2277" customFormat="false" ht="12.8" hidden="false" customHeight="false" outlineLevel="0" collapsed="false">
      <c r="A2277" s="4" t="s">
        <v>18</v>
      </c>
      <c r="B2277" s="4" t="s">
        <v>19</v>
      </c>
      <c r="C2277" s="4" t="n">
        <v>19</v>
      </c>
      <c r="D2277" s="5" t="n">
        <v>38</v>
      </c>
      <c r="E2277" s="6" t="n">
        <f aca="false">DATE(2024,7,7)</f>
        <v>45480</v>
      </c>
      <c r="F2277" s="7" t="n">
        <f aca="false">C2277*D2277</f>
        <v>722</v>
      </c>
      <c r="G2277" s="7" t="n">
        <f aca="false">ROUND(F2277*0.2,2)</f>
        <v>144.4</v>
      </c>
      <c r="H2277" s="4" t="str">
        <f aca="false">IF(F2277&gt;500,"Yüksek",IF(F2277&gt;100,"Orta","Düşük"))</f>
        <v>Yüksek</v>
      </c>
    </row>
    <row r="2278" customFormat="false" ht="12.8" hidden="false" customHeight="false" outlineLevel="0" collapsed="false">
      <c r="A2278" s="4" t="s">
        <v>20</v>
      </c>
      <c r="B2278" s="4" t="s">
        <v>11</v>
      </c>
      <c r="C2278" s="4" t="n">
        <v>26</v>
      </c>
      <c r="D2278" s="5" t="n">
        <v>5</v>
      </c>
      <c r="E2278" s="6" t="n">
        <f aca="false">DATE(2024,8,8)</f>
        <v>45512</v>
      </c>
      <c r="F2278" s="7" t="n">
        <f aca="false">C2278*D2278</f>
        <v>130</v>
      </c>
      <c r="G2278" s="7" t="n">
        <f aca="false">ROUND(F2278*0.2,2)</f>
        <v>26</v>
      </c>
      <c r="H2278" s="4" t="str">
        <f aca="false">IF(F2278&gt;500,"Yüksek",IF(F2278&gt;100,"Orta","Düşük"))</f>
        <v>Orta</v>
      </c>
    </row>
    <row r="2279" customFormat="false" ht="12.8" hidden="false" customHeight="false" outlineLevel="0" collapsed="false">
      <c r="A2279" s="4" t="s">
        <v>21</v>
      </c>
      <c r="B2279" s="4" t="s">
        <v>13</v>
      </c>
      <c r="C2279" s="4" t="n">
        <v>33</v>
      </c>
      <c r="D2279" s="5" t="n">
        <v>7.75</v>
      </c>
      <c r="E2279" s="6" t="n">
        <f aca="false">DATE(2024,9,9)</f>
        <v>45544</v>
      </c>
      <c r="F2279" s="7" t="n">
        <f aca="false">C2279*D2279</f>
        <v>255.75</v>
      </c>
      <c r="G2279" s="7" t="n">
        <f aca="false">ROUND(F2279*0.2,2)</f>
        <v>51.15</v>
      </c>
      <c r="H2279" s="4" t="str">
        <f aca="false">IF(F2279&gt;500,"Yüksek",IF(F2279&gt;100,"Orta","Düşük"))</f>
        <v>Orta</v>
      </c>
    </row>
    <row r="2280" customFormat="false" ht="12.8" hidden="false" customHeight="false" outlineLevel="0" collapsed="false">
      <c r="A2280" s="4" t="s">
        <v>22</v>
      </c>
      <c r="B2280" s="4" t="s">
        <v>15</v>
      </c>
      <c r="C2280" s="4" t="n">
        <v>40</v>
      </c>
      <c r="D2280" s="5" t="n">
        <v>10.5</v>
      </c>
      <c r="E2280" s="6" t="n">
        <f aca="false">DATE(2024,10,10)</f>
        <v>45575</v>
      </c>
      <c r="F2280" s="7" t="n">
        <f aca="false">C2280*D2280</f>
        <v>420</v>
      </c>
      <c r="G2280" s="7" t="n">
        <f aca="false">ROUND(F2280*0.2,2)</f>
        <v>84</v>
      </c>
      <c r="H2280" s="4" t="str">
        <f aca="false">IF(F2280&gt;500,"Yüksek",IF(F2280&gt;100,"Orta","Düşük"))</f>
        <v>Orta</v>
      </c>
    </row>
    <row r="2281" customFormat="false" ht="12.8" hidden="false" customHeight="false" outlineLevel="0" collapsed="false">
      <c r="A2281" s="4" t="s">
        <v>23</v>
      </c>
      <c r="B2281" s="4" t="s">
        <v>17</v>
      </c>
      <c r="C2281" s="4" t="n">
        <v>47</v>
      </c>
      <c r="D2281" s="5" t="n">
        <v>13.25</v>
      </c>
      <c r="E2281" s="6" t="n">
        <f aca="false">DATE(2024,11,11)</f>
        <v>45607</v>
      </c>
      <c r="F2281" s="7" t="n">
        <f aca="false">C2281*D2281</f>
        <v>622.75</v>
      </c>
      <c r="G2281" s="7" t="n">
        <f aca="false">ROUND(F2281*0.2,2)</f>
        <v>124.55</v>
      </c>
      <c r="H2281" s="4" t="str">
        <f aca="false">IF(F2281&gt;500,"Yüksek",IF(F2281&gt;100,"Orta","Düşük"))</f>
        <v>Yüksek</v>
      </c>
    </row>
    <row r="2282" customFormat="false" ht="12.8" hidden="false" customHeight="false" outlineLevel="0" collapsed="false">
      <c r="A2282" s="4" t="s">
        <v>24</v>
      </c>
      <c r="B2282" s="4" t="s">
        <v>19</v>
      </c>
      <c r="C2282" s="4" t="n">
        <v>4</v>
      </c>
      <c r="D2282" s="5" t="n">
        <v>16</v>
      </c>
      <c r="E2282" s="6" t="n">
        <f aca="false">DATE(2024,12,12)</f>
        <v>45638</v>
      </c>
      <c r="F2282" s="7" t="n">
        <f aca="false">C2282*D2282</f>
        <v>64</v>
      </c>
      <c r="G2282" s="7" t="n">
        <f aca="false">ROUND(F2282*0.2,2)</f>
        <v>12.8</v>
      </c>
      <c r="H2282" s="4" t="str">
        <f aca="false">IF(F2282&gt;500,"Yüksek",IF(F2282&gt;100,"Orta","Düşük"))</f>
        <v>Düşük</v>
      </c>
    </row>
    <row r="2283" customFormat="false" ht="12.8" hidden="false" customHeight="false" outlineLevel="0" collapsed="false">
      <c r="A2283" s="4" t="s">
        <v>10</v>
      </c>
      <c r="B2283" s="4" t="s">
        <v>11</v>
      </c>
      <c r="C2283" s="4" t="n">
        <v>11</v>
      </c>
      <c r="D2283" s="5" t="n">
        <v>18.75</v>
      </c>
      <c r="E2283" s="6" t="n">
        <f aca="false">DATE(2024,1,13)</f>
        <v>45304</v>
      </c>
      <c r="F2283" s="7" t="n">
        <f aca="false">C2283*D2283</f>
        <v>206.25</v>
      </c>
      <c r="G2283" s="7" t="n">
        <f aca="false">ROUND(F2283*0.2,2)</f>
        <v>41.25</v>
      </c>
      <c r="H2283" s="4" t="str">
        <f aca="false">IF(F2283&gt;500,"Yüksek",IF(F2283&gt;100,"Orta","Düşük"))</f>
        <v>Orta</v>
      </c>
    </row>
    <row r="2284" customFormat="false" ht="12.8" hidden="false" customHeight="false" outlineLevel="0" collapsed="false">
      <c r="A2284" s="4" t="s">
        <v>12</v>
      </c>
      <c r="B2284" s="4" t="s">
        <v>13</v>
      </c>
      <c r="C2284" s="4" t="n">
        <v>18</v>
      </c>
      <c r="D2284" s="5" t="n">
        <v>21.5</v>
      </c>
      <c r="E2284" s="6" t="n">
        <f aca="false">DATE(2024,2,14)</f>
        <v>45336</v>
      </c>
      <c r="F2284" s="7" t="n">
        <f aca="false">C2284*D2284</f>
        <v>387</v>
      </c>
      <c r="G2284" s="7" t="n">
        <f aca="false">ROUND(F2284*0.2,2)</f>
        <v>77.4</v>
      </c>
      <c r="H2284" s="4" t="str">
        <f aca="false">IF(F2284&gt;500,"Yüksek",IF(F2284&gt;100,"Orta","Düşük"))</f>
        <v>Orta</v>
      </c>
    </row>
    <row r="2285" customFormat="false" ht="12.8" hidden="false" customHeight="false" outlineLevel="0" collapsed="false">
      <c r="A2285" s="4" t="s">
        <v>14</v>
      </c>
      <c r="B2285" s="4" t="s">
        <v>15</v>
      </c>
      <c r="C2285" s="4" t="n">
        <v>25</v>
      </c>
      <c r="D2285" s="5" t="n">
        <v>24.25</v>
      </c>
      <c r="E2285" s="6" t="n">
        <f aca="false">DATE(2024,3,15)</f>
        <v>45366</v>
      </c>
      <c r="F2285" s="7" t="n">
        <f aca="false">C2285*D2285</f>
        <v>606.25</v>
      </c>
      <c r="G2285" s="7" t="n">
        <f aca="false">ROUND(F2285*0.2,2)</f>
        <v>121.25</v>
      </c>
      <c r="H2285" s="4" t="str">
        <f aca="false">IF(F2285&gt;500,"Yüksek",IF(F2285&gt;100,"Orta","Düşük"))</f>
        <v>Yüksek</v>
      </c>
    </row>
    <row r="2286" customFormat="false" ht="12.8" hidden="false" customHeight="false" outlineLevel="0" collapsed="false">
      <c r="A2286" s="4" t="s">
        <v>16</v>
      </c>
      <c r="B2286" s="4" t="s">
        <v>17</v>
      </c>
      <c r="C2286" s="4" t="n">
        <v>32</v>
      </c>
      <c r="D2286" s="5" t="n">
        <v>27</v>
      </c>
      <c r="E2286" s="6" t="n">
        <f aca="false">DATE(2024,4,16)</f>
        <v>45398</v>
      </c>
      <c r="F2286" s="7" t="n">
        <f aca="false">C2286*D2286</f>
        <v>864</v>
      </c>
      <c r="G2286" s="7" t="n">
        <f aca="false">ROUND(F2286*0.2,2)</f>
        <v>172.8</v>
      </c>
      <c r="H2286" s="4" t="str">
        <f aca="false">IF(F2286&gt;500,"Yüksek",IF(F2286&gt;100,"Orta","Düşük"))</f>
        <v>Yüksek</v>
      </c>
    </row>
    <row r="2287" customFormat="false" ht="12.8" hidden="false" customHeight="false" outlineLevel="0" collapsed="false">
      <c r="A2287" s="4" t="s">
        <v>18</v>
      </c>
      <c r="B2287" s="4" t="s">
        <v>19</v>
      </c>
      <c r="C2287" s="4" t="n">
        <v>39</v>
      </c>
      <c r="D2287" s="5" t="n">
        <v>29.75</v>
      </c>
      <c r="E2287" s="6" t="n">
        <f aca="false">DATE(2024,5,17)</f>
        <v>45429</v>
      </c>
      <c r="F2287" s="7" t="n">
        <f aca="false">C2287*D2287</f>
        <v>1160.25</v>
      </c>
      <c r="G2287" s="7" t="n">
        <f aca="false">ROUND(F2287*0.2,2)</f>
        <v>232.05</v>
      </c>
      <c r="H2287" s="4" t="str">
        <f aca="false">IF(F2287&gt;500,"Yüksek",IF(F2287&gt;100,"Orta","Düşük"))</f>
        <v>Yüksek</v>
      </c>
    </row>
    <row r="2288" customFormat="false" ht="12.8" hidden="false" customHeight="false" outlineLevel="0" collapsed="false">
      <c r="A2288" s="4" t="s">
        <v>20</v>
      </c>
      <c r="B2288" s="4" t="s">
        <v>11</v>
      </c>
      <c r="C2288" s="4" t="n">
        <v>46</v>
      </c>
      <c r="D2288" s="5" t="n">
        <v>32.5</v>
      </c>
      <c r="E2288" s="6" t="n">
        <f aca="false">DATE(2024,6,18)</f>
        <v>45461</v>
      </c>
      <c r="F2288" s="7" t="n">
        <f aca="false">C2288*D2288</f>
        <v>1495</v>
      </c>
      <c r="G2288" s="7" t="n">
        <f aca="false">ROUND(F2288*0.2,2)</f>
        <v>299</v>
      </c>
      <c r="H2288" s="4" t="str">
        <f aca="false">IF(F2288&gt;500,"Yüksek",IF(F2288&gt;100,"Orta","Düşük"))</f>
        <v>Yüksek</v>
      </c>
    </row>
    <row r="2289" customFormat="false" ht="12.8" hidden="false" customHeight="false" outlineLevel="0" collapsed="false">
      <c r="A2289" s="4" t="s">
        <v>21</v>
      </c>
      <c r="B2289" s="4" t="s">
        <v>13</v>
      </c>
      <c r="C2289" s="4" t="n">
        <v>3</v>
      </c>
      <c r="D2289" s="5" t="n">
        <v>35.25</v>
      </c>
      <c r="E2289" s="6" t="n">
        <f aca="false">DATE(2024,7,19)</f>
        <v>45492</v>
      </c>
      <c r="F2289" s="7" t="n">
        <f aca="false">C2289*D2289</f>
        <v>105.75</v>
      </c>
      <c r="G2289" s="7" t="n">
        <f aca="false">ROUND(F2289*0.2,2)</f>
        <v>21.15</v>
      </c>
      <c r="H2289" s="4" t="str">
        <f aca="false">IF(F2289&gt;500,"Yüksek",IF(F2289&gt;100,"Orta","Düşük"))</f>
        <v>Orta</v>
      </c>
    </row>
    <row r="2290" customFormat="false" ht="12.8" hidden="false" customHeight="false" outlineLevel="0" collapsed="false">
      <c r="A2290" s="4" t="s">
        <v>22</v>
      </c>
      <c r="B2290" s="4" t="s">
        <v>15</v>
      </c>
      <c r="C2290" s="4" t="n">
        <v>10</v>
      </c>
      <c r="D2290" s="5" t="n">
        <v>38</v>
      </c>
      <c r="E2290" s="6" t="n">
        <f aca="false">DATE(2024,8,20)</f>
        <v>45524</v>
      </c>
      <c r="F2290" s="7" t="n">
        <f aca="false">C2290*D2290</f>
        <v>380</v>
      </c>
      <c r="G2290" s="7" t="n">
        <f aca="false">ROUND(F2290*0.2,2)</f>
        <v>76</v>
      </c>
      <c r="H2290" s="4" t="str">
        <f aca="false">IF(F2290&gt;500,"Yüksek",IF(F2290&gt;100,"Orta","Düşük"))</f>
        <v>Orta</v>
      </c>
    </row>
    <row r="2291" customFormat="false" ht="12.8" hidden="false" customHeight="false" outlineLevel="0" collapsed="false">
      <c r="A2291" s="4" t="s">
        <v>23</v>
      </c>
      <c r="B2291" s="4" t="s">
        <v>17</v>
      </c>
      <c r="C2291" s="4" t="n">
        <v>17</v>
      </c>
      <c r="D2291" s="5" t="n">
        <v>5</v>
      </c>
      <c r="E2291" s="6" t="n">
        <f aca="false">DATE(2024,9,21)</f>
        <v>45556</v>
      </c>
      <c r="F2291" s="7" t="n">
        <f aca="false">C2291*D2291</f>
        <v>85</v>
      </c>
      <c r="G2291" s="7" t="n">
        <f aca="false">ROUND(F2291*0.2,2)</f>
        <v>17</v>
      </c>
      <c r="H2291" s="4" t="str">
        <f aca="false">IF(F2291&gt;500,"Yüksek",IF(F2291&gt;100,"Orta","Düşük"))</f>
        <v>Düşük</v>
      </c>
    </row>
    <row r="2292" customFormat="false" ht="12.8" hidden="false" customHeight="false" outlineLevel="0" collapsed="false">
      <c r="A2292" s="4" t="s">
        <v>24</v>
      </c>
      <c r="B2292" s="4" t="s">
        <v>19</v>
      </c>
      <c r="C2292" s="4" t="n">
        <v>24</v>
      </c>
      <c r="D2292" s="5" t="n">
        <v>7.75</v>
      </c>
      <c r="E2292" s="6" t="n">
        <f aca="false">DATE(2024,10,22)</f>
        <v>45587</v>
      </c>
      <c r="F2292" s="7" t="n">
        <f aca="false">C2292*D2292</f>
        <v>186</v>
      </c>
      <c r="G2292" s="7" t="n">
        <f aca="false">ROUND(F2292*0.2,2)</f>
        <v>37.2</v>
      </c>
      <c r="H2292" s="4" t="str">
        <f aca="false">IF(F2292&gt;500,"Yüksek",IF(F2292&gt;100,"Orta","Düşük"))</f>
        <v>Orta</v>
      </c>
    </row>
    <row r="2293" customFormat="false" ht="12.8" hidden="false" customHeight="false" outlineLevel="0" collapsed="false">
      <c r="A2293" s="4" t="s">
        <v>10</v>
      </c>
      <c r="B2293" s="4" t="s">
        <v>11</v>
      </c>
      <c r="C2293" s="4" t="n">
        <v>31</v>
      </c>
      <c r="D2293" s="5" t="n">
        <v>10.5</v>
      </c>
      <c r="E2293" s="6" t="n">
        <f aca="false">DATE(2024,11,23)</f>
        <v>45619</v>
      </c>
      <c r="F2293" s="7" t="n">
        <f aca="false">C2293*D2293</f>
        <v>325.5</v>
      </c>
      <c r="G2293" s="7" t="n">
        <f aca="false">ROUND(F2293*0.2,2)</f>
        <v>65.1</v>
      </c>
      <c r="H2293" s="4" t="str">
        <f aca="false">IF(F2293&gt;500,"Yüksek",IF(F2293&gt;100,"Orta","Düşük"))</f>
        <v>Orta</v>
      </c>
    </row>
    <row r="2294" customFormat="false" ht="12.8" hidden="false" customHeight="false" outlineLevel="0" collapsed="false">
      <c r="A2294" s="4" t="s">
        <v>12</v>
      </c>
      <c r="B2294" s="4" t="s">
        <v>13</v>
      </c>
      <c r="C2294" s="4" t="n">
        <v>38</v>
      </c>
      <c r="D2294" s="5" t="n">
        <v>13.25</v>
      </c>
      <c r="E2294" s="6" t="n">
        <f aca="false">DATE(2024,12,24)</f>
        <v>45650</v>
      </c>
      <c r="F2294" s="7" t="n">
        <f aca="false">C2294*D2294</f>
        <v>503.5</v>
      </c>
      <c r="G2294" s="7" t="n">
        <f aca="false">ROUND(F2294*0.2,2)</f>
        <v>100.7</v>
      </c>
      <c r="H2294" s="4" t="str">
        <f aca="false">IF(F2294&gt;500,"Yüksek",IF(F2294&gt;100,"Orta","Düşük"))</f>
        <v>Yüksek</v>
      </c>
    </row>
    <row r="2295" customFormat="false" ht="12.8" hidden="false" customHeight="false" outlineLevel="0" collapsed="false">
      <c r="A2295" s="4" t="s">
        <v>14</v>
      </c>
      <c r="B2295" s="4" t="s">
        <v>15</v>
      </c>
      <c r="C2295" s="4" t="n">
        <v>45</v>
      </c>
      <c r="D2295" s="5" t="n">
        <v>16</v>
      </c>
      <c r="E2295" s="6" t="n">
        <f aca="false">DATE(2024,1,25)</f>
        <v>45316</v>
      </c>
      <c r="F2295" s="7" t="n">
        <f aca="false">C2295*D2295</f>
        <v>720</v>
      </c>
      <c r="G2295" s="7" t="n">
        <f aca="false">ROUND(F2295*0.2,2)</f>
        <v>144</v>
      </c>
      <c r="H2295" s="4" t="str">
        <f aca="false">IF(F2295&gt;500,"Yüksek",IF(F2295&gt;100,"Orta","Düşük"))</f>
        <v>Yüksek</v>
      </c>
    </row>
    <row r="2296" customFormat="false" ht="12.8" hidden="false" customHeight="false" outlineLevel="0" collapsed="false">
      <c r="A2296" s="4" t="s">
        <v>16</v>
      </c>
      <c r="B2296" s="4" t="s">
        <v>17</v>
      </c>
      <c r="C2296" s="4" t="n">
        <v>2</v>
      </c>
      <c r="D2296" s="5" t="n">
        <v>18.75</v>
      </c>
      <c r="E2296" s="6" t="n">
        <f aca="false">DATE(2024,2,26)</f>
        <v>45348</v>
      </c>
      <c r="F2296" s="7" t="n">
        <f aca="false">C2296*D2296</f>
        <v>37.5</v>
      </c>
      <c r="G2296" s="7" t="n">
        <f aca="false">ROUND(F2296*0.2,2)</f>
        <v>7.5</v>
      </c>
      <c r="H2296" s="4" t="str">
        <f aca="false">IF(F2296&gt;500,"Yüksek",IF(F2296&gt;100,"Orta","Düşük"))</f>
        <v>Düşük</v>
      </c>
    </row>
    <row r="2297" customFormat="false" ht="12.8" hidden="false" customHeight="false" outlineLevel="0" collapsed="false">
      <c r="A2297" s="4" t="s">
        <v>18</v>
      </c>
      <c r="B2297" s="4" t="s">
        <v>19</v>
      </c>
      <c r="C2297" s="4" t="n">
        <v>9</v>
      </c>
      <c r="D2297" s="5" t="n">
        <v>21.5</v>
      </c>
      <c r="E2297" s="6" t="n">
        <f aca="false">DATE(2024,3,27)</f>
        <v>45378</v>
      </c>
      <c r="F2297" s="7" t="n">
        <f aca="false">C2297*D2297</f>
        <v>193.5</v>
      </c>
      <c r="G2297" s="7" t="n">
        <f aca="false">ROUND(F2297*0.2,2)</f>
        <v>38.7</v>
      </c>
      <c r="H2297" s="4" t="str">
        <f aca="false">IF(F2297&gt;500,"Yüksek",IF(F2297&gt;100,"Orta","Düşük"))</f>
        <v>Orta</v>
      </c>
    </row>
    <row r="2298" customFormat="false" ht="12.8" hidden="false" customHeight="false" outlineLevel="0" collapsed="false">
      <c r="A2298" s="4" t="s">
        <v>20</v>
      </c>
      <c r="B2298" s="4" t="s">
        <v>11</v>
      </c>
      <c r="C2298" s="4" t="n">
        <v>16</v>
      </c>
      <c r="D2298" s="5" t="n">
        <v>24.25</v>
      </c>
      <c r="E2298" s="6" t="n">
        <f aca="false">DATE(2024,4,28)</f>
        <v>45410</v>
      </c>
      <c r="F2298" s="7" t="n">
        <f aca="false">C2298*D2298</f>
        <v>388</v>
      </c>
      <c r="G2298" s="7" t="n">
        <f aca="false">ROUND(F2298*0.2,2)</f>
        <v>77.6</v>
      </c>
      <c r="H2298" s="4" t="str">
        <f aca="false">IF(F2298&gt;500,"Yüksek",IF(F2298&gt;100,"Orta","Düşük"))</f>
        <v>Orta</v>
      </c>
    </row>
    <row r="2299" customFormat="false" ht="12.8" hidden="false" customHeight="false" outlineLevel="0" collapsed="false">
      <c r="A2299" s="4" t="s">
        <v>21</v>
      </c>
      <c r="B2299" s="4" t="s">
        <v>13</v>
      </c>
      <c r="C2299" s="4" t="n">
        <v>23</v>
      </c>
      <c r="D2299" s="5" t="n">
        <v>27</v>
      </c>
      <c r="E2299" s="6" t="n">
        <f aca="false">DATE(2024,5,1)</f>
        <v>45413</v>
      </c>
      <c r="F2299" s="7" t="n">
        <f aca="false">C2299*D2299</f>
        <v>621</v>
      </c>
      <c r="G2299" s="7" t="n">
        <f aca="false">ROUND(F2299*0.2,2)</f>
        <v>124.2</v>
      </c>
      <c r="H2299" s="4" t="str">
        <f aca="false">IF(F2299&gt;500,"Yüksek",IF(F2299&gt;100,"Orta","Düşük"))</f>
        <v>Yüksek</v>
      </c>
    </row>
    <row r="2300" customFormat="false" ht="12.8" hidden="false" customHeight="false" outlineLevel="0" collapsed="false">
      <c r="A2300" s="4" t="s">
        <v>22</v>
      </c>
      <c r="B2300" s="4" t="s">
        <v>15</v>
      </c>
      <c r="C2300" s="4" t="n">
        <v>30</v>
      </c>
      <c r="D2300" s="5" t="n">
        <v>29.75</v>
      </c>
      <c r="E2300" s="6" t="n">
        <f aca="false">DATE(2024,6,2)</f>
        <v>45445</v>
      </c>
      <c r="F2300" s="7" t="n">
        <f aca="false">C2300*D2300</f>
        <v>892.5</v>
      </c>
      <c r="G2300" s="7" t="n">
        <f aca="false">ROUND(F2300*0.2,2)</f>
        <v>178.5</v>
      </c>
      <c r="H2300" s="4" t="str">
        <f aca="false">IF(F2300&gt;500,"Yüksek",IF(F2300&gt;100,"Orta","Düşük"))</f>
        <v>Yüksek</v>
      </c>
    </row>
    <row r="2301" customFormat="false" ht="12.8" hidden="false" customHeight="false" outlineLevel="0" collapsed="false">
      <c r="A2301" s="4" t="s">
        <v>23</v>
      </c>
      <c r="B2301" s="4" t="s">
        <v>17</v>
      </c>
      <c r="C2301" s="4" t="n">
        <v>37</v>
      </c>
      <c r="D2301" s="5" t="n">
        <v>32.5</v>
      </c>
      <c r="E2301" s="6" t="n">
        <f aca="false">DATE(2024,7,3)</f>
        <v>45476</v>
      </c>
      <c r="F2301" s="7" t="n">
        <f aca="false">C2301*D2301</f>
        <v>1202.5</v>
      </c>
      <c r="G2301" s="7" t="n">
        <f aca="false">ROUND(F2301*0.2,2)</f>
        <v>240.5</v>
      </c>
      <c r="H2301" s="4" t="str">
        <f aca="false">IF(F2301&gt;500,"Yüksek",IF(F2301&gt;100,"Orta","Düşük"))</f>
        <v>Yüksek</v>
      </c>
    </row>
    <row r="2302" customFormat="false" ht="12.8" hidden="false" customHeight="false" outlineLevel="0" collapsed="false">
      <c r="A2302" s="4" t="s">
        <v>24</v>
      </c>
      <c r="B2302" s="4" t="s">
        <v>19</v>
      </c>
      <c r="C2302" s="4" t="n">
        <v>44</v>
      </c>
      <c r="D2302" s="5" t="n">
        <v>35.25</v>
      </c>
      <c r="E2302" s="6" t="n">
        <f aca="false">DATE(2024,8,4)</f>
        <v>45508</v>
      </c>
      <c r="F2302" s="7" t="n">
        <f aca="false">C2302*D2302</f>
        <v>1551</v>
      </c>
      <c r="G2302" s="7" t="n">
        <f aca="false">ROUND(F2302*0.2,2)</f>
        <v>310.2</v>
      </c>
      <c r="H2302" s="4" t="str">
        <f aca="false">IF(F2302&gt;500,"Yüksek",IF(F2302&gt;100,"Orta","Düşük"))</f>
        <v>Yüksek</v>
      </c>
    </row>
    <row r="2303" customFormat="false" ht="12.8" hidden="false" customHeight="false" outlineLevel="0" collapsed="false">
      <c r="A2303" s="4" t="s">
        <v>10</v>
      </c>
      <c r="B2303" s="4" t="s">
        <v>11</v>
      </c>
      <c r="C2303" s="4" t="n">
        <v>1</v>
      </c>
      <c r="D2303" s="5" t="n">
        <v>38</v>
      </c>
      <c r="E2303" s="6" t="n">
        <f aca="false">DATE(2024,9,5)</f>
        <v>45540</v>
      </c>
      <c r="F2303" s="7" t="n">
        <f aca="false">C2303*D2303</f>
        <v>38</v>
      </c>
      <c r="G2303" s="7" t="n">
        <f aca="false">ROUND(F2303*0.2,2)</f>
        <v>7.6</v>
      </c>
      <c r="H2303" s="4" t="str">
        <f aca="false">IF(F2303&gt;500,"Yüksek",IF(F2303&gt;100,"Orta","Düşük"))</f>
        <v>Düşük</v>
      </c>
    </row>
    <row r="2304" customFormat="false" ht="12.8" hidden="false" customHeight="false" outlineLevel="0" collapsed="false">
      <c r="A2304" s="4" t="s">
        <v>12</v>
      </c>
      <c r="B2304" s="4" t="s">
        <v>13</v>
      </c>
      <c r="C2304" s="4" t="n">
        <v>8</v>
      </c>
      <c r="D2304" s="5" t="n">
        <v>5</v>
      </c>
      <c r="E2304" s="6" t="n">
        <f aca="false">DATE(2024,10,6)</f>
        <v>45571</v>
      </c>
      <c r="F2304" s="7" t="n">
        <f aca="false">C2304*D2304</f>
        <v>40</v>
      </c>
      <c r="G2304" s="7" t="n">
        <f aca="false">ROUND(F2304*0.2,2)</f>
        <v>8</v>
      </c>
      <c r="H2304" s="4" t="str">
        <f aca="false">IF(F2304&gt;500,"Yüksek",IF(F2304&gt;100,"Orta","Düşük"))</f>
        <v>Düşük</v>
      </c>
    </row>
    <row r="2305" customFormat="false" ht="12.8" hidden="false" customHeight="false" outlineLevel="0" collapsed="false">
      <c r="A2305" s="4" t="s">
        <v>14</v>
      </c>
      <c r="B2305" s="4" t="s">
        <v>15</v>
      </c>
      <c r="C2305" s="4" t="n">
        <v>15</v>
      </c>
      <c r="D2305" s="5" t="n">
        <v>7.75</v>
      </c>
      <c r="E2305" s="6" t="n">
        <f aca="false">DATE(2024,11,7)</f>
        <v>45603</v>
      </c>
      <c r="F2305" s="7" t="n">
        <f aca="false">C2305*D2305</f>
        <v>116.25</v>
      </c>
      <c r="G2305" s="7" t="n">
        <f aca="false">ROUND(F2305*0.2,2)</f>
        <v>23.25</v>
      </c>
      <c r="H2305" s="4" t="str">
        <f aca="false">IF(F2305&gt;500,"Yüksek",IF(F2305&gt;100,"Orta","Düşük"))</f>
        <v>Orta</v>
      </c>
    </row>
    <row r="2306" customFormat="false" ht="12.8" hidden="false" customHeight="false" outlineLevel="0" collapsed="false">
      <c r="A2306" s="4" t="s">
        <v>16</v>
      </c>
      <c r="B2306" s="4" t="s">
        <v>17</v>
      </c>
      <c r="C2306" s="4" t="n">
        <v>22</v>
      </c>
      <c r="D2306" s="5" t="n">
        <v>10.5</v>
      </c>
      <c r="E2306" s="6" t="n">
        <f aca="false">DATE(2024,12,8)</f>
        <v>45634</v>
      </c>
      <c r="F2306" s="7" t="n">
        <f aca="false">C2306*D2306</f>
        <v>231</v>
      </c>
      <c r="G2306" s="7" t="n">
        <f aca="false">ROUND(F2306*0.2,2)</f>
        <v>46.2</v>
      </c>
      <c r="H2306" s="4" t="str">
        <f aca="false">IF(F2306&gt;500,"Yüksek",IF(F2306&gt;100,"Orta","Düşük"))</f>
        <v>Orta</v>
      </c>
    </row>
    <row r="2307" customFormat="false" ht="12.8" hidden="false" customHeight="false" outlineLevel="0" collapsed="false">
      <c r="A2307" s="4" t="s">
        <v>18</v>
      </c>
      <c r="B2307" s="4" t="s">
        <v>19</v>
      </c>
      <c r="C2307" s="4" t="n">
        <v>29</v>
      </c>
      <c r="D2307" s="5" t="n">
        <v>13.25</v>
      </c>
      <c r="E2307" s="6" t="n">
        <f aca="false">DATE(2024,1,9)</f>
        <v>45300</v>
      </c>
      <c r="F2307" s="7" t="n">
        <f aca="false">C2307*D2307</f>
        <v>384.25</v>
      </c>
      <c r="G2307" s="7" t="n">
        <f aca="false">ROUND(F2307*0.2,2)</f>
        <v>76.85</v>
      </c>
      <c r="H2307" s="4" t="str">
        <f aca="false">IF(F2307&gt;500,"Yüksek",IF(F2307&gt;100,"Orta","Düşük"))</f>
        <v>Orta</v>
      </c>
    </row>
    <row r="2308" customFormat="false" ht="12.8" hidden="false" customHeight="false" outlineLevel="0" collapsed="false">
      <c r="A2308" s="4" t="s">
        <v>20</v>
      </c>
      <c r="B2308" s="4" t="s">
        <v>11</v>
      </c>
      <c r="C2308" s="4" t="n">
        <v>36</v>
      </c>
      <c r="D2308" s="5" t="n">
        <v>16</v>
      </c>
      <c r="E2308" s="6" t="n">
        <f aca="false">DATE(2024,2,10)</f>
        <v>45332</v>
      </c>
      <c r="F2308" s="7" t="n">
        <f aca="false">C2308*D2308</f>
        <v>576</v>
      </c>
      <c r="G2308" s="7" t="n">
        <f aca="false">ROUND(F2308*0.2,2)</f>
        <v>115.2</v>
      </c>
      <c r="H2308" s="4" t="str">
        <f aca="false">IF(F2308&gt;500,"Yüksek",IF(F2308&gt;100,"Orta","Düşük"))</f>
        <v>Yüksek</v>
      </c>
    </row>
    <row r="2309" customFormat="false" ht="12.8" hidden="false" customHeight="false" outlineLevel="0" collapsed="false">
      <c r="A2309" s="4" t="s">
        <v>21</v>
      </c>
      <c r="B2309" s="4" t="s">
        <v>13</v>
      </c>
      <c r="C2309" s="4" t="n">
        <v>43</v>
      </c>
      <c r="D2309" s="5" t="n">
        <v>18.75</v>
      </c>
      <c r="E2309" s="6" t="n">
        <f aca="false">DATE(2024,3,11)</f>
        <v>45362</v>
      </c>
      <c r="F2309" s="7" t="n">
        <f aca="false">C2309*D2309</f>
        <v>806.25</v>
      </c>
      <c r="G2309" s="7" t="n">
        <f aca="false">ROUND(F2309*0.2,2)</f>
        <v>161.25</v>
      </c>
      <c r="H2309" s="4" t="str">
        <f aca="false">IF(F2309&gt;500,"Yüksek",IF(F2309&gt;100,"Orta","Düşük"))</f>
        <v>Yüksek</v>
      </c>
    </row>
    <row r="2310" customFormat="false" ht="12.8" hidden="false" customHeight="false" outlineLevel="0" collapsed="false">
      <c r="A2310" s="4" t="s">
        <v>22</v>
      </c>
      <c r="B2310" s="4" t="s">
        <v>15</v>
      </c>
      <c r="C2310" s="4" t="n">
        <v>50</v>
      </c>
      <c r="D2310" s="5" t="n">
        <v>21.5</v>
      </c>
      <c r="E2310" s="6" t="n">
        <f aca="false">DATE(2024,4,12)</f>
        <v>45394</v>
      </c>
      <c r="F2310" s="7" t="n">
        <f aca="false">C2310*D2310</f>
        <v>1075</v>
      </c>
      <c r="G2310" s="7" t="n">
        <f aca="false">ROUND(F2310*0.2,2)</f>
        <v>215</v>
      </c>
      <c r="H2310" s="4" t="str">
        <f aca="false">IF(F2310&gt;500,"Yüksek",IF(F2310&gt;100,"Orta","Düşük"))</f>
        <v>Yüksek</v>
      </c>
    </row>
    <row r="2311" customFormat="false" ht="12.8" hidden="false" customHeight="false" outlineLevel="0" collapsed="false">
      <c r="A2311" s="4" t="s">
        <v>23</v>
      </c>
      <c r="B2311" s="4" t="s">
        <v>17</v>
      </c>
      <c r="C2311" s="4" t="n">
        <v>7</v>
      </c>
      <c r="D2311" s="5" t="n">
        <v>24.25</v>
      </c>
      <c r="E2311" s="6" t="n">
        <f aca="false">DATE(2024,5,13)</f>
        <v>45425</v>
      </c>
      <c r="F2311" s="7" t="n">
        <f aca="false">C2311*D2311</f>
        <v>169.75</v>
      </c>
      <c r="G2311" s="7" t="n">
        <f aca="false">ROUND(F2311*0.2,2)</f>
        <v>33.95</v>
      </c>
      <c r="H2311" s="4" t="str">
        <f aca="false">IF(F2311&gt;500,"Yüksek",IF(F2311&gt;100,"Orta","Düşük"))</f>
        <v>Orta</v>
      </c>
    </row>
    <row r="2312" customFormat="false" ht="12.8" hidden="false" customHeight="false" outlineLevel="0" collapsed="false">
      <c r="A2312" s="4" t="s">
        <v>24</v>
      </c>
      <c r="B2312" s="4" t="s">
        <v>19</v>
      </c>
      <c r="C2312" s="4" t="n">
        <v>14</v>
      </c>
      <c r="D2312" s="5" t="n">
        <v>27</v>
      </c>
      <c r="E2312" s="6" t="n">
        <f aca="false">DATE(2024,6,14)</f>
        <v>45457</v>
      </c>
      <c r="F2312" s="7" t="n">
        <f aca="false">C2312*D2312</f>
        <v>378</v>
      </c>
      <c r="G2312" s="7" t="n">
        <f aca="false">ROUND(F2312*0.2,2)</f>
        <v>75.6</v>
      </c>
      <c r="H2312" s="4" t="str">
        <f aca="false">IF(F2312&gt;500,"Yüksek",IF(F2312&gt;100,"Orta","Düşük"))</f>
        <v>Orta</v>
      </c>
    </row>
    <row r="2313" customFormat="false" ht="12.8" hidden="false" customHeight="false" outlineLevel="0" collapsed="false">
      <c r="A2313" s="4" t="s">
        <v>10</v>
      </c>
      <c r="B2313" s="4" t="s">
        <v>11</v>
      </c>
      <c r="C2313" s="4" t="n">
        <v>21</v>
      </c>
      <c r="D2313" s="5" t="n">
        <v>29.75</v>
      </c>
      <c r="E2313" s="6" t="n">
        <f aca="false">DATE(2024,7,15)</f>
        <v>45488</v>
      </c>
      <c r="F2313" s="7" t="n">
        <f aca="false">C2313*D2313</f>
        <v>624.75</v>
      </c>
      <c r="G2313" s="7" t="n">
        <f aca="false">ROUND(F2313*0.2,2)</f>
        <v>124.95</v>
      </c>
      <c r="H2313" s="4" t="str">
        <f aca="false">IF(F2313&gt;500,"Yüksek",IF(F2313&gt;100,"Orta","Düşük"))</f>
        <v>Yüksek</v>
      </c>
    </row>
    <row r="2314" customFormat="false" ht="12.8" hidden="false" customHeight="false" outlineLevel="0" collapsed="false">
      <c r="A2314" s="4" t="s">
        <v>12</v>
      </c>
      <c r="B2314" s="4" t="s">
        <v>13</v>
      </c>
      <c r="C2314" s="4" t="n">
        <v>28</v>
      </c>
      <c r="D2314" s="5" t="n">
        <v>32.5</v>
      </c>
      <c r="E2314" s="6" t="n">
        <f aca="false">DATE(2024,8,16)</f>
        <v>45520</v>
      </c>
      <c r="F2314" s="7" t="n">
        <f aca="false">C2314*D2314</f>
        <v>910</v>
      </c>
      <c r="G2314" s="7" t="n">
        <f aca="false">ROUND(F2314*0.2,2)</f>
        <v>182</v>
      </c>
      <c r="H2314" s="4" t="str">
        <f aca="false">IF(F2314&gt;500,"Yüksek",IF(F2314&gt;100,"Orta","Düşük"))</f>
        <v>Yüksek</v>
      </c>
    </row>
    <row r="2315" customFormat="false" ht="12.8" hidden="false" customHeight="false" outlineLevel="0" collapsed="false">
      <c r="A2315" s="4" t="s">
        <v>14</v>
      </c>
      <c r="B2315" s="4" t="s">
        <v>15</v>
      </c>
      <c r="C2315" s="4" t="n">
        <v>35</v>
      </c>
      <c r="D2315" s="5" t="n">
        <v>35.25</v>
      </c>
      <c r="E2315" s="6" t="n">
        <f aca="false">DATE(2024,9,17)</f>
        <v>45552</v>
      </c>
      <c r="F2315" s="7" t="n">
        <f aca="false">C2315*D2315</f>
        <v>1233.75</v>
      </c>
      <c r="G2315" s="7" t="n">
        <f aca="false">ROUND(F2315*0.2,2)</f>
        <v>246.75</v>
      </c>
      <c r="H2315" s="4" t="str">
        <f aca="false">IF(F2315&gt;500,"Yüksek",IF(F2315&gt;100,"Orta","Düşük"))</f>
        <v>Yüksek</v>
      </c>
    </row>
    <row r="2316" customFormat="false" ht="12.8" hidden="false" customHeight="false" outlineLevel="0" collapsed="false">
      <c r="A2316" s="4" t="s">
        <v>16</v>
      </c>
      <c r="B2316" s="4" t="s">
        <v>17</v>
      </c>
      <c r="C2316" s="4" t="n">
        <v>42</v>
      </c>
      <c r="D2316" s="5" t="n">
        <v>38</v>
      </c>
      <c r="E2316" s="6" t="n">
        <f aca="false">DATE(2024,10,18)</f>
        <v>45583</v>
      </c>
      <c r="F2316" s="7" t="n">
        <f aca="false">C2316*D2316</f>
        <v>1596</v>
      </c>
      <c r="G2316" s="7" t="n">
        <f aca="false">ROUND(F2316*0.2,2)</f>
        <v>319.2</v>
      </c>
      <c r="H2316" s="4" t="str">
        <f aca="false">IF(F2316&gt;500,"Yüksek",IF(F2316&gt;100,"Orta","Düşük"))</f>
        <v>Yüksek</v>
      </c>
    </row>
    <row r="2317" customFormat="false" ht="12.8" hidden="false" customHeight="false" outlineLevel="0" collapsed="false">
      <c r="A2317" s="4" t="s">
        <v>18</v>
      </c>
      <c r="B2317" s="4" t="s">
        <v>19</v>
      </c>
      <c r="C2317" s="4" t="n">
        <v>49</v>
      </c>
      <c r="D2317" s="5" t="n">
        <v>5</v>
      </c>
      <c r="E2317" s="6" t="n">
        <f aca="false">DATE(2024,11,19)</f>
        <v>45615</v>
      </c>
      <c r="F2317" s="7" t="n">
        <f aca="false">C2317*D2317</f>
        <v>245</v>
      </c>
      <c r="G2317" s="7" t="n">
        <f aca="false">ROUND(F2317*0.2,2)</f>
        <v>49</v>
      </c>
      <c r="H2317" s="4" t="str">
        <f aca="false">IF(F2317&gt;500,"Yüksek",IF(F2317&gt;100,"Orta","Düşük"))</f>
        <v>Orta</v>
      </c>
    </row>
    <row r="2318" customFormat="false" ht="12.8" hidden="false" customHeight="false" outlineLevel="0" collapsed="false">
      <c r="A2318" s="4" t="s">
        <v>20</v>
      </c>
      <c r="B2318" s="4" t="s">
        <v>11</v>
      </c>
      <c r="C2318" s="4" t="n">
        <v>6</v>
      </c>
      <c r="D2318" s="5" t="n">
        <v>7.75</v>
      </c>
      <c r="E2318" s="6" t="n">
        <f aca="false">DATE(2024,12,20)</f>
        <v>45646</v>
      </c>
      <c r="F2318" s="7" t="n">
        <f aca="false">C2318*D2318</f>
        <v>46.5</v>
      </c>
      <c r="G2318" s="7" t="n">
        <f aca="false">ROUND(F2318*0.2,2)</f>
        <v>9.3</v>
      </c>
      <c r="H2318" s="4" t="str">
        <f aca="false">IF(F2318&gt;500,"Yüksek",IF(F2318&gt;100,"Orta","Düşük"))</f>
        <v>Düşük</v>
      </c>
    </row>
    <row r="2319" customFormat="false" ht="12.8" hidden="false" customHeight="false" outlineLevel="0" collapsed="false">
      <c r="A2319" s="4" t="s">
        <v>21</v>
      </c>
      <c r="B2319" s="4" t="s">
        <v>13</v>
      </c>
      <c r="C2319" s="4" t="n">
        <v>13</v>
      </c>
      <c r="D2319" s="5" t="n">
        <v>10.5</v>
      </c>
      <c r="E2319" s="6" t="n">
        <f aca="false">DATE(2024,1,21)</f>
        <v>45312</v>
      </c>
      <c r="F2319" s="7" t="n">
        <f aca="false">C2319*D2319</f>
        <v>136.5</v>
      </c>
      <c r="G2319" s="7" t="n">
        <f aca="false">ROUND(F2319*0.2,2)</f>
        <v>27.3</v>
      </c>
      <c r="H2319" s="4" t="str">
        <f aca="false">IF(F2319&gt;500,"Yüksek",IF(F2319&gt;100,"Orta","Düşük"))</f>
        <v>Orta</v>
      </c>
    </row>
    <row r="2320" customFormat="false" ht="12.8" hidden="false" customHeight="false" outlineLevel="0" collapsed="false">
      <c r="A2320" s="4" t="s">
        <v>22</v>
      </c>
      <c r="B2320" s="4" t="s">
        <v>15</v>
      </c>
      <c r="C2320" s="4" t="n">
        <v>20</v>
      </c>
      <c r="D2320" s="5" t="n">
        <v>13.25</v>
      </c>
      <c r="E2320" s="6" t="n">
        <f aca="false">DATE(2024,2,22)</f>
        <v>45344</v>
      </c>
      <c r="F2320" s="7" t="n">
        <f aca="false">C2320*D2320</f>
        <v>265</v>
      </c>
      <c r="G2320" s="7" t="n">
        <f aca="false">ROUND(F2320*0.2,2)</f>
        <v>53</v>
      </c>
      <c r="H2320" s="4" t="str">
        <f aca="false">IF(F2320&gt;500,"Yüksek",IF(F2320&gt;100,"Orta","Düşük"))</f>
        <v>Orta</v>
      </c>
    </row>
    <row r="2321" customFormat="false" ht="12.8" hidden="false" customHeight="false" outlineLevel="0" collapsed="false">
      <c r="A2321" s="4" t="s">
        <v>23</v>
      </c>
      <c r="B2321" s="4" t="s">
        <v>17</v>
      </c>
      <c r="C2321" s="4" t="n">
        <v>27</v>
      </c>
      <c r="D2321" s="5" t="n">
        <v>16</v>
      </c>
      <c r="E2321" s="6" t="n">
        <f aca="false">DATE(2024,3,23)</f>
        <v>45374</v>
      </c>
      <c r="F2321" s="7" t="n">
        <f aca="false">C2321*D2321</f>
        <v>432</v>
      </c>
      <c r="G2321" s="7" t="n">
        <f aca="false">ROUND(F2321*0.2,2)</f>
        <v>86.4</v>
      </c>
      <c r="H2321" s="4" t="str">
        <f aca="false">IF(F2321&gt;500,"Yüksek",IF(F2321&gt;100,"Orta","Düşük"))</f>
        <v>Orta</v>
      </c>
    </row>
    <row r="2322" customFormat="false" ht="12.8" hidden="false" customHeight="false" outlineLevel="0" collapsed="false">
      <c r="A2322" s="4" t="s">
        <v>24</v>
      </c>
      <c r="B2322" s="4" t="s">
        <v>19</v>
      </c>
      <c r="C2322" s="4" t="n">
        <v>34</v>
      </c>
      <c r="D2322" s="5" t="n">
        <v>18.75</v>
      </c>
      <c r="E2322" s="6" t="n">
        <f aca="false">DATE(2024,4,24)</f>
        <v>45406</v>
      </c>
      <c r="F2322" s="7" t="n">
        <f aca="false">C2322*D2322</f>
        <v>637.5</v>
      </c>
      <c r="G2322" s="7" t="n">
        <f aca="false">ROUND(F2322*0.2,2)</f>
        <v>127.5</v>
      </c>
      <c r="H2322" s="4" t="str">
        <f aca="false">IF(F2322&gt;500,"Yüksek",IF(F2322&gt;100,"Orta","Düşük"))</f>
        <v>Yüksek</v>
      </c>
    </row>
    <row r="2323" customFormat="false" ht="12.8" hidden="false" customHeight="false" outlineLevel="0" collapsed="false">
      <c r="A2323" s="4" t="s">
        <v>10</v>
      </c>
      <c r="B2323" s="4" t="s">
        <v>11</v>
      </c>
      <c r="C2323" s="4" t="n">
        <v>41</v>
      </c>
      <c r="D2323" s="5" t="n">
        <v>21.5</v>
      </c>
      <c r="E2323" s="6" t="n">
        <f aca="false">DATE(2024,5,25)</f>
        <v>45437</v>
      </c>
      <c r="F2323" s="7" t="n">
        <f aca="false">C2323*D2323</f>
        <v>881.5</v>
      </c>
      <c r="G2323" s="7" t="n">
        <f aca="false">ROUND(F2323*0.2,2)</f>
        <v>176.3</v>
      </c>
      <c r="H2323" s="4" t="str">
        <f aca="false">IF(F2323&gt;500,"Yüksek",IF(F2323&gt;100,"Orta","Düşük"))</f>
        <v>Yüksek</v>
      </c>
    </row>
    <row r="2324" customFormat="false" ht="12.8" hidden="false" customHeight="false" outlineLevel="0" collapsed="false">
      <c r="A2324" s="4" t="s">
        <v>12</v>
      </c>
      <c r="B2324" s="4" t="s">
        <v>13</v>
      </c>
      <c r="C2324" s="4" t="n">
        <v>48</v>
      </c>
      <c r="D2324" s="5" t="n">
        <v>24.25</v>
      </c>
      <c r="E2324" s="6" t="n">
        <f aca="false">DATE(2024,6,26)</f>
        <v>45469</v>
      </c>
      <c r="F2324" s="7" t="n">
        <f aca="false">C2324*D2324</f>
        <v>1164</v>
      </c>
      <c r="G2324" s="7" t="n">
        <f aca="false">ROUND(F2324*0.2,2)</f>
        <v>232.8</v>
      </c>
      <c r="H2324" s="4" t="str">
        <f aca="false">IF(F2324&gt;500,"Yüksek",IF(F2324&gt;100,"Orta","Düşük"))</f>
        <v>Yüksek</v>
      </c>
    </row>
    <row r="2325" customFormat="false" ht="12.8" hidden="false" customHeight="false" outlineLevel="0" collapsed="false">
      <c r="A2325" s="4" t="s">
        <v>14</v>
      </c>
      <c r="B2325" s="4" t="s">
        <v>15</v>
      </c>
      <c r="C2325" s="4" t="n">
        <v>5</v>
      </c>
      <c r="D2325" s="5" t="n">
        <v>27</v>
      </c>
      <c r="E2325" s="6" t="n">
        <f aca="false">DATE(2024,7,27)</f>
        <v>45500</v>
      </c>
      <c r="F2325" s="7" t="n">
        <f aca="false">C2325*D2325</f>
        <v>135</v>
      </c>
      <c r="G2325" s="7" t="n">
        <f aca="false">ROUND(F2325*0.2,2)</f>
        <v>27</v>
      </c>
      <c r="H2325" s="4" t="str">
        <f aca="false">IF(F2325&gt;500,"Yüksek",IF(F2325&gt;100,"Orta","Düşük"))</f>
        <v>Orta</v>
      </c>
    </row>
    <row r="2326" customFormat="false" ht="12.8" hidden="false" customHeight="false" outlineLevel="0" collapsed="false">
      <c r="A2326" s="4" t="s">
        <v>16</v>
      </c>
      <c r="B2326" s="4" t="s">
        <v>17</v>
      </c>
      <c r="C2326" s="4" t="n">
        <v>12</v>
      </c>
      <c r="D2326" s="5" t="n">
        <v>29.75</v>
      </c>
      <c r="E2326" s="6" t="n">
        <f aca="false">DATE(2024,8,28)</f>
        <v>45532</v>
      </c>
      <c r="F2326" s="7" t="n">
        <f aca="false">C2326*D2326</f>
        <v>357</v>
      </c>
      <c r="G2326" s="7" t="n">
        <f aca="false">ROUND(F2326*0.2,2)</f>
        <v>71.4</v>
      </c>
      <c r="H2326" s="4" t="str">
        <f aca="false">IF(F2326&gt;500,"Yüksek",IF(F2326&gt;100,"Orta","Düşük"))</f>
        <v>Orta</v>
      </c>
    </row>
    <row r="2327" customFormat="false" ht="12.8" hidden="false" customHeight="false" outlineLevel="0" collapsed="false">
      <c r="A2327" s="4" t="s">
        <v>18</v>
      </c>
      <c r="B2327" s="4" t="s">
        <v>19</v>
      </c>
      <c r="C2327" s="4" t="n">
        <v>19</v>
      </c>
      <c r="D2327" s="5" t="n">
        <v>32.5</v>
      </c>
      <c r="E2327" s="6" t="n">
        <f aca="false">DATE(2024,9,1)</f>
        <v>45536</v>
      </c>
      <c r="F2327" s="7" t="n">
        <f aca="false">C2327*D2327</f>
        <v>617.5</v>
      </c>
      <c r="G2327" s="7" t="n">
        <f aca="false">ROUND(F2327*0.2,2)</f>
        <v>123.5</v>
      </c>
      <c r="H2327" s="4" t="str">
        <f aca="false">IF(F2327&gt;500,"Yüksek",IF(F2327&gt;100,"Orta","Düşük"))</f>
        <v>Yüksek</v>
      </c>
    </row>
    <row r="2328" customFormat="false" ht="12.8" hidden="false" customHeight="false" outlineLevel="0" collapsed="false">
      <c r="A2328" s="4" t="s">
        <v>20</v>
      </c>
      <c r="B2328" s="4" t="s">
        <v>11</v>
      </c>
      <c r="C2328" s="4" t="n">
        <v>26</v>
      </c>
      <c r="D2328" s="5" t="n">
        <v>35.25</v>
      </c>
      <c r="E2328" s="6" t="n">
        <f aca="false">DATE(2024,10,2)</f>
        <v>45567</v>
      </c>
      <c r="F2328" s="7" t="n">
        <f aca="false">C2328*D2328</f>
        <v>916.5</v>
      </c>
      <c r="G2328" s="7" t="n">
        <f aca="false">ROUND(F2328*0.2,2)</f>
        <v>183.3</v>
      </c>
      <c r="H2328" s="4" t="str">
        <f aca="false">IF(F2328&gt;500,"Yüksek",IF(F2328&gt;100,"Orta","Düşük"))</f>
        <v>Yüksek</v>
      </c>
    </row>
    <row r="2329" customFormat="false" ht="12.8" hidden="false" customHeight="false" outlineLevel="0" collapsed="false">
      <c r="A2329" s="4" t="s">
        <v>21</v>
      </c>
      <c r="B2329" s="4" t="s">
        <v>13</v>
      </c>
      <c r="C2329" s="4" t="n">
        <v>33</v>
      </c>
      <c r="D2329" s="5" t="n">
        <v>38</v>
      </c>
      <c r="E2329" s="6" t="n">
        <f aca="false">DATE(2024,11,3)</f>
        <v>45599</v>
      </c>
      <c r="F2329" s="7" t="n">
        <f aca="false">C2329*D2329</f>
        <v>1254</v>
      </c>
      <c r="G2329" s="7" t="n">
        <f aca="false">ROUND(F2329*0.2,2)</f>
        <v>250.8</v>
      </c>
      <c r="H2329" s="4" t="str">
        <f aca="false">IF(F2329&gt;500,"Yüksek",IF(F2329&gt;100,"Orta","Düşük"))</f>
        <v>Yüksek</v>
      </c>
    </row>
    <row r="2330" customFormat="false" ht="12.8" hidden="false" customHeight="false" outlineLevel="0" collapsed="false">
      <c r="A2330" s="4" t="s">
        <v>22</v>
      </c>
      <c r="B2330" s="4" t="s">
        <v>15</v>
      </c>
      <c r="C2330" s="4" t="n">
        <v>40</v>
      </c>
      <c r="D2330" s="5" t="n">
        <v>5</v>
      </c>
      <c r="E2330" s="6" t="n">
        <f aca="false">DATE(2024,12,4)</f>
        <v>45630</v>
      </c>
      <c r="F2330" s="7" t="n">
        <f aca="false">C2330*D2330</f>
        <v>200</v>
      </c>
      <c r="G2330" s="7" t="n">
        <f aca="false">ROUND(F2330*0.2,2)</f>
        <v>40</v>
      </c>
      <c r="H2330" s="4" t="str">
        <f aca="false">IF(F2330&gt;500,"Yüksek",IF(F2330&gt;100,"Orta","Düşük"))</f>
        <v>Orta</v>
      </c>
    </row>
    <row r="2331" customFormat="false" ht="12.8" hidden="false" customHeight="false" outlineLevel="0" collapsed="false">
      <c r="A2331" s="4" t="s">
        <v>23</v>
      </c>
      <c r="B2331" s="4" t="s">
        <v>17</v>
      </c>
      <c r="C2331" s="4" t="n">
        <v>47</v>
      </c>
      <c r="D2331" s="5" t="n">
        <v>7.75</v>
      </c>
      <c r="E2331" s="6" t="n">
        <f aca="false">DATE(2024,1,5)</f>
        <v>45296</v>
      </c>
      <c r="F2331" s="7" t="n">
        <f aca="false">C2331*D2331</f>
        <v>364.25</v>
      </c>
      <c r="G2331" s="7" t="n">
        <f aca="false">ROUND(F2331*0.2,2)</f>
        <v>72.85</v>
      </c>
      <c r="H2331" s="4" t="str">
        <f aca="false">IF(F2331&gt;500,"Yüksek",IF(F2331&gt;100,"Orta","Düşük"))</f>
        <v>Orta</v>
      </c>
    </row>
    <row r="2332" customFormat="false" ht="12.8" hidden="false" customHeight="false" outlineLevel="0" collapsed="false">
      <c r="A2332" s="4" t="s">
        <v>24</v>
      </c>
      <c r="B2332" s="4" t="s">
        <v>19</v>
      </c>
      <c r="C2332" s="4" t="n">
        <v>4</v>
      </c>
      <c r="D2332" s="5" t="n">
        <v>10.5</v>
      </c>
      <c r="E2332" s="6" t="n">
        <f aca="false">DATE(2024,2,6)</f>
        <v>45328</v>
      </c>
      <c r="F2332" s="7" t="n">
        <f aca="false">C2332*D2332</f>
        <v>42</v>
      </c>
      <c r="G2332" s="7" t="n">
        <f aca="false">ROUND(F2332*0.2,2)</f>
        <v>8.4</v>
      </c>
      <c r="H2332" s="4" t="str">
        <f aca="false">IF(F2332&gt;500,"Yüksek",IF(F2332&gt;100,"Orta","Düşük"))</f>
        <v>Düşük</v>
      </c>
    </row>
    <row r="2333" customFormat="false" ht="12.8" hidden="false" customHeight="false" outlineLevel="0" collapsed="false">
      <c r="A2333" s="4" t="s">
        <v>10</v>
      </c>
      <c r="B2333" s="4" t="s">
        <v>11</v>
      </c>
      <c r="C2333" s="4" t="n">
        <v>11</v>
      </c>
      <c r="D2333" s="5" t="n">
        <v>13.25</v>
      </c>
      <c r="E2333" s="6" t="n">
        <f aca="false">DATE(2024,3,7)</f>
        <v>45358</v>
      </c>
      <c r="F2333" s="7" t="n">
        <f aca="false">C2333*D2333</f>
        <v>145.75</v>
      </c>
      <c r="G2333" s="7" t="n">
        <f aca="false">ROUND(F2333*0.2,2)</f>
        <v>29.15</v>
      </c>
      <c r="H2333" s="4" t="str">
        <f aca="false">IF(F2333&gt;500,"Yüksek",IF(F2333&gt;100,"Orta","Düşük"))</f>
        <v>Orta</v>
      </c>
    </row>
    <row r="2334" customFormat="false" ht="12.8" hidden="false" customHeight="false" outlineLevel="0" collapsed="false">
      <c r="A2334" s="4" t="s">
        <v>12</v>
      </c>
      <c r="B2334" s="4" t="s">
        <v>13</v>
      </c>
      <c r="C2334" s="4" t="n">
        <v>18</v>
      </c>
      <c r="D2334" s="5" t="n">
        <v>16</v>
      </c>
      <c r="E2334" s="6" t="n">
        <f aca="false">DATE(2024,4,8)</f>
        <v>45390</v>
      </c>
      <c r="F2334" s="7" t="n">
        <f aca="false">C2334*D2334</f>
        <v>288</v>
      </c>
      <c r="G2334" s="7" t="n">
        <f aca="false">ROUND(F2334*0.2,2)</f>
        <v>57.6</v>
      </c>
      <c r="H2334" s="4" t="str">
        <f aca="false">IF(F2334&gt;500,"Yüksek",IF(F2334&gt;100,"Orta","Düşük"))</f>
        <v>Orta</v>
      </c>
    </row>
    <row r="2335" customFormat="false" ht="12.8" hidden="false" customHeight="false" outlineLevel="0" collapsed="false">
      <c r="A2335" s="4" t="s">
        <v>14</v>
      </c>
      <c r="B2335" s="4" t="s">
        <v>15</v>
      </c>
      <c r="C2335" s="4" t="n">
        <v>25</v>
      </c>
      <c r="D2335" s="5" t="n">
        <v>18.75</v>
      </c>
      <c r="E2335" s="6" t="n">
        <f aca="false">DATE(2024,5,9)</f>
        <v>45421</v>
      </c>
      <c r="F2335" s="7" t="n">
        <f aca="false">C2335*D2335</f>
        <v>468.75</v>
      </c>
      <c r="G2335" s="7" t="n">
        <f aca="false">ROUND(F2335*0.2,2)</f>
        <v>93.75</v>
      </c>
      <c r="H2335" s="4" t="str">
        <f aca="false">IF(F2335&gt;500,"Yüksek",IF(F2335&gt;100,"Orta","Düşük"))</f>
        <v>Orta</v>
      </c>
    </row>
    <row r="2336" customFormat="false" ht="12.8" hidden="false" customHeight="false" outlineLevel="0" collapsed="false">
      <c r="A2336" s="4" t="s">
        <v>16</v>
      </c>
      <c r="B2336" s="4" t="s">
        <v>17</v>
      </c>
      <c r="C2336" s="4" t="n">
        <v>32</v>
      </c>
      <c r="D2336" s="5" t="n">
        <v>21.5</v>
      </c>
      <c r="E2336" s="6" t="n">
        <f aca="false">DATE(2024,6,10)</f>
        <v>45453</v>
      </c>
      <c r="F2336" s="7" t="n">
        <f aca="false">C2336*D2336</f>
        <v>688</v>
      </c>
      <c r="G2336" s="7" t="n">
        <f aca="false">ROUND(F2336*0.2,2)</f>
        <v>137.6</v>
      </c>
      <c r="H2336" s="4" t="str">
        <f aca="false">IF(F2336&gt;500,"Yüksek",IF(F2336&gt;100,"Orta","Düşük"))</f>
        <v>Yüksek</v>
      </c>
    </row>
    <row r="2337" customFormat="false" ht="12.8" hidden="false" customHeight="false" outlineLevel="0" collapsed="false">
      <c r="A2337" s="4" t="s">
        <v>18</v>
      </c>
      <c r="B2337" s="4" t="s">
        <v>19</v>
      </c>
      <c r="C2337" s="4" t="n">
        <v>39</v>
      </c>
      <c r="D2337" s="5" t="n">
        <v>24.25</v>
      </c>
      <c r="E2337" s="6" t="n">
        <f aca="false">DATE(2024,7,11)</f>
        <v>45484</v>
      </c>
      <c r="F2337" s="7" t="n">
        <f aca="false">C2337*D2337</f>
        <v>945.75</v>
      </c>
      <c r="G2337" s="7" t="n">
        <f aca="false">ROUND(F2337*0.2,2)</f>
        <v>189.15</v>
      </c>
      <c r="H2337" s="4" t="str">
        <f aca="false">IF(F2337&gt;500,"Yüksek",IF(F2337&gt;100,"Orta","Düşük"))</f>
        <v>Yüksek</v>
      </c>
    </row>
    <row r="2338" customFormat="false" ht="12.8" hidden="false" customHeight="false" outlineLevel="0" collapsed="false">
      <c r="A2338" s="4" t="s">
        <v>20</v>
      </c>
      <c r="B2338" s="4" t="s">
        <v>11</v>
      </c>
      <c r="C2338" s="4" t="n">
        <v>46</v>
      </c>
      <c r="D2338" s="5" t="n">
        <v>27</v>
      </c>
      <c r="E2338" s="6" t="n">
        <f aca="false">DATE(2024,8,12)</f>
        <v>45516</v>
      </c>
      <c r="F2338" s="7" t="n">
        <f aca="false">C2338*D2338</f>
        <v>1242</v>
      </c>
      <c r="G2338" s="7" t="n">
        <f aca="false">ROUND(F2338*0.2,2)</f>
        <v>248.4</v>
      </c>
      <c r="H2338" s="4" t="str">
        <f aca="false">IF(F2338&gt;500,"Yüksek",IF(F2338&gt;100,"Orta","Düşük"))</f>
        <v>Yüksek</v>
      </c>
    </row>
    <row r="2339" customFormat="false" ht="12.8" hidden="false" customHeight="false" outlineLevel="0" collapsed="false">
      <c r="A2339" s="4" t="s">
        <v>21</v>
      </c>
      <c r="B2339" s="4" t="s">
        <v>13</v>
      </c>
      <c r="C2339" s="4" t="n">
        <v>3</v>
      </c>
      <c r="D2339" s="5" t="n">
        <v>29.75</v>
      </c>
      <c r="E2339" s="6" t="n">
        <f aca="false">DATE(2024,9,13)</f>
        <v>45548</v>
      </c>
      <c r="F2339" s="7" t="n">
        <f aca="false">C2339*D2339</f>
        <v>89.25</v>
      </c>
      <c r="G2339" s="7" t="n">
        <f aca="false">ROUND(F2339*0.2,2)</f>
        <v>17.85</v>
      </c>
      <c r="H2339" s="4" t="str">
        <f aca="false">IF(F2339&gt;500,"Yüksek",IF(F2339&gt;100,"Orta","Düşük"))</f>
        <v>Düşük</v>
      </c>
    </row>
    <row r="2340" customFormat="false" ht="12.8" hidden="false" customHeight="false" outlineLevel="0" collapsed="false">
      <c r="A2340" s="4" t="s">
        <v>22</v>
      </c>
      <c r="B2340" s="4" t="s">
        <v>15</v>
      </c>
      <c r="C2340" s="4" t="n">
        <v>10</v>
      </c>
      <c r="D2340" s="5" t="n">
        <v>32.5</v>
      </c>
      <c r="E2340" s="6" t="n">
        <f aca="false">DATE(2024,10,14)</f>
        <v>45579</v>
      </c>
      <c r="F2340" s="7" t="n">
        <f aca="false">C2340*D2340</f>
        <v>325</v>
      </c>
      <c r="G2340" s="7" t="n">
        <f aca="false">ROUND(F2340*0.2,2)</f>
        <v>65</v>
      </c>
      <c r="H2340" s="4" t="str">
        <f aca="false">IF(F2340&gt;500,"Yüksek",IF(F2340&gt;100,"Orta","Düşük"))</f>
        <v>Orta</v>
      </c>
    </row>
    <row r="2341" customFormat="false" ht="12.8" hidden="false" customHeight="false" outlineLevel="0" collapsed="false">
      <c r="A2341" s="4" t="s">
        <v>23</v>
      </c>
      <c r="B2341" s="4" t="s">
        <v>17</v>
      </c>
      <c r="C2341" s="4" t="n">
        <v>17</v>
      </c>
      <c r="D2341" s="5" t="n">
        <v>35.25</v>
      </c>
      <c r="E2341" s="6" t="n">
        <f aca="false">DATE(2024,11,15)</f>
        <v>45611</v>
      </c>
      <c r="F2341" s="7" t="n">
        <f aca="false">C2341*D2341</f>
        <v>599.25</v>
      </c>
      <c r="G2341" s="7" t="n">
        <f aca="false">ROUND(F2341*0.2,2)</f>
        <v>119.85</v>
      </c>
      <c r="H2341" s="4" t="str">
        <f aca="false">IF(F2341&gt;500,"Yüksek",IF(F2341&gt;100,"Orta","Düşük"))</f>
        <v>Yüksek</v>
      </c>
    </row>
    <row r="2342" customFormat="false" ht="12.8" hidden="false" customHeight="false" outlineLevel="0" collapsed="false">
      <c r="A2342" s="4" t="s">
        <v>24</v>
      </c>
      <c r="B2342" s="4" t="s">
        <v>19</v>
      </c>
      <c r="C2342" s="4" t="n">
        <v>24</v>
      </c>
      <c r="D2342" s="5" t="n">
        <v>38</v>
      </c>
      <c r="E2342" s="6" t="n">
        <f aca="false">DATE(2024,12,16)</f>
        <v>45642</v>
      </c>
      <c r="F2342" s="7" t="n">
        <f aca="false">C2342*D2342</f>
        <v>912</v>
      </c>
      <c r="G2342" s="7" t="n">
        <f aca="false">ROUND(F2342*0.2,2)</f>
        <v>182.4</v>
      </c>
      <c r="H2342" s="4" t="str">
        <f aca="false">IF(F2342&gt;500,"Yüksek",IF(F2342&gt;100,"Orta","Düşük"))</f>
        <v>Yüksek</v>
      </c>
    </row>
    <row r="2343" customFormat="false" ht="12.8" hidden="false" customHeight="false" outlineLevel="0" collapsed="false">
      <c r="A2343" s="4" t="s">
        <v>10</v>
      </c>
      <c r="B2343" s="4" t="s">
        <v>11</v>
      </c>
      <c r="C2343" s="4" t="n">
        <v>31</v>
      </c>
      <c r="D2343" s="5" t="n">
        <v>5</v>
      </c>
      <c r="E2343" s="6" t="n">
        <f aca="false">DATE(2024,1,17)</f>
        <v>45308</v>
      </c>
      <c r="F2343" s="7" t="n">
        <f aca="false">C2343*D2343</f>
        <v>155</v>
      </c>
      <c r="G2343" s="7" t="n">
        <f aca="false">ROUND(F2343*0.2,2)</f>
        <v>31</v>
      </c>
      <c r="H2343" s="4" t="str">
        <f aca="false">IF(F2343&gt;500,"Yüksek",IF(F2343&gt;100,"Orta","Düşük"))</f>
        <v>Orta</v>
      </c>
    </row>
    <row r="2344" customFormat="false" ht="12.8" hidden="false" customHeight="false" outlineLevel="0" collapsed="false">
      <c r="A2344" s="4" t="s">
        <v>12</v>
      </c>
      <c r="B2344" s="4" t="s">
        <v>13</v>
      </c>
      <c r="C2344" s="4" t="n">
        <v>38</v>
      </c>
      <c r="D2344" s="5" t="n">
        <v>7.75</v>
      </c>
      <c r="E2344" s="6" t="n">
        <f aca="false">DATE(2024,2,18)</f>
        <v>45340</v>
      </c>
      <c r="F2344" s="7" t="n">
        <f aca="false">C2344*D2344</f>
        <v>294.5</v>
      </c>
      <c r="G2344" s="7" t="n">
        <f aca="false">ROUND(F2344*0.2,2)</f>
        <v>58.9</v>
      </c>
      <c r="H2344" s="4" t="str">
        <f aca="false">IF(F2344&gt;500,"Yüksek",IF(F2344&gt;100,"Orta","Düşük"))</f>
        <v>Orta</v>
      </c>
    </row>
    <row r="2345" customFormat="false" ht="12.8" hidden="false" customHeight="false" outlineLevel="0" collapsed="false">
      <c r="A2345" s="4" t="s">
        <v>14</v>
      </c>
      <c r="B2345" s="4" t="s">
        <v>15</v>
      </c>
      <c r="C2345" s="4" t="n">
        <v>45</v>
      </c>
      <c r="D2345" s="5" t="n">
        <v>10.5</v>
      </c>
      <c r="E2345" s="6" t="n">
        <f aca="false">DATE(2024,3,19)</f>
        <v>45370</v>
      </c>
      <c r="F2345" s="7" t="n">
        <f aca="false">C2345*D2345</f>
        <v>472.5</v>
      </c>
      <c r="G2345" s="7" t="n">
        <f aca="false">ROUND(F2345*0.2,2)</f>
        <v>94.5</v>
      </c>
      <c r="H2345" s="4" t="str">
        <f aca="false">IF(F2345&gt;500,"Yüksek",IF(F2345&gt;100,"Orta","Düşük"))</f>
        <v>Orta</v>
      </c>
    </row>
    <row r="2346" customFormat="false" ht="12.8" hidden="false" customHeight="false" outlineLevel="0" collapsed="false">
      <c r="A2346" s="4" t="s">
        <v>16</v>
      </c>
      <c r="B2346" s="4" t="s">
        <v>17</v>
      </c>
      <c r="C2346" s="4" t="n">
        <v>2</v>
      </c>
      <c r="D2346" s="5" t="n">
        <v>13.25</v>
      </c>
      <c r="E2346" s="6" t="n">
        <f aca="false">DATE(2024,4,20)</f>
        <v>45402</v>
      </c>
      <c r="F2346" s="7" t="n">
        <f aca="false">C2346*D2346</f>
        <v>26.5</v>
      </c>
      <c r="G2346" s="7" t="n">
        <f aca="false">ROUND(F2346*0.2,2)</f>
        <v>5.3</v>
      </c>
      <c r="H2346" s="4" t="str">
        <f aca="false">IF(F2346&gt;500,"Yüksek",IF(F2346&gt;100,"Orta","Düşük"))</f>
        <v>Düşük</v>
      </c>
    </row>
    <row r="2347" customFormat="false" ht="12.8" hidden="false" customHeight="false" outlineLevel="0" collapsed="false">
      <c r="A2347" s="4" t="s">
        <v>18</v>
      </c>
      <c r="B2347" s="4" t="s">
        <v>19</v>
      </c>
      <c r="C2347" s="4" t="n">
        <v>9</v>
      </c>
      <c r="D2347" s="5" t="n">
        <v>16</v>
      </c>
      <c r="E2347" s="6" t="n">
        <f aca="false">DATE(2024,5,21)</f>
        <v>45433</v>
      </c>
      <c r="F2347" s="7" t="n">
        <f aca="false">C2347*D2347</f>
        <v>144</v>
      </c>
      <c r="G2347" s="7" t="n">
        <f aca="false">ROUND(F2347*0.2,2)</f>
        <v>28.8</v>
      </c>
      <c r="H2347" s="4" t="str">
        <f aca="false">IF(F2347&gt;500,"Yüksek",IF(F2347&gt;100,"Orta","Düşük"))</f>
        <v>Orta</v>
      </c>
    </row>
    <row r="2348" customFormat="false" ht="12.8" hidden="false" customHeight="false" outlineLevel="0" collapsed="false">
      <c r="A2348" s="4" t="s">
        <v>20</v>
      </c>
      <c r="B2348" s="4" t="s">
        <v>11</v>
      </c>
      <c r="C2348" s="4" t="n">
        <v>16</v>
      </c>
      <c r="D2348" s="5" t="n">
        <v>18.75</v>
      </c>
      <c r="E2348" s="6" t="n">
        <f aca="false">DATE(2024,6,22)</f>
        <v>45465</v>
      </c>
      <c r="F2348" s="7" t="n">
        <f aca="false">C2348*D2348</f>
        <v>300</v>
      </c>
      <c r="G2348" s="7" t="n">
        <f aca="false">ROUND(F2348*0.2,2)</f>
        <v>60</v>
      </c>
      <c r="H2348" s="4" t="str">
        <f aca="false">IF(F2348&gt;500,"Yüksek",IF(F2348&gt;100,"Orta","Düşük"))</f>
        <v>Orta</v>
      </c>
    </row>
    <row r="2349" customFormat="false" ht="12.8" hidden="false" customHeight="false" outlineLevel="0" collapsed="false">
      <c r="A2349" s="4" t="s">
        <v>21</v>
      </c>
      <c r="B2349" s="4" t="s">
        <v>13</v>
      </c>
      <c r="C2349" s="4" t="n">
        <v>23</v>
      </c>
      <c r="D2349" s="5" t="n">
        <v>21.5</v>
      </c>
      <c r="E2349" s="6" t="n">
        <f aca="false">DATE(2024,7,23)</f>
        <v>45496</v>
      </c>
      <c r="F2349" s="7" t="n">
        <f aca="false">C2349*D2349</f>
        <v>494.5</v>
      </c>
      <c r="G2349" s="7" t="n">
        <f aca="false">ROUND(F2349*0.2,2)</f>
        <v>98.9</v>
      </c>
      <c r="H2349" s="4" t="str">
        <f aca="false">IF(F2349&gt;500,"Yüksek",IF(F2349&gt;100,"Orta","Düşük"))</f>
        <v>Orta</v>
      </c>
    </row>
    <row r="2350" customFormat="false" ht="12.8" hidden="false" customHeight="false" outlineLevel="0" collapsed="false">
      <c r="A2350" s="4" t="s">
        <v>22</v>
      </c>
      <c r="B2350" s="4" t="s">
        <v>15</v>
      </c>
      <c r="C2350" s="4" t="n">
        <v>30</v>
      </c>
      <c r="D2350" s="5" t="n">
        <v>24.25</v>
      </c>
      <c r="E2350" s="6" t="n">
        <f aca="false">DATE(2024,8,24)</f>
        <v>45528</v>
      </c>
      <c r="F2350" s="7" t="n">
        <f aca="false">C2350*D2350</f>
        <v>727.5</v>
      </c>
      <c r="G2350" s="7" t="n">
        <f aca="false">ROUND(F2350*0.2,2)</f>
        <v>145.5</v>
      </c>
      <c r="H2350" s="4" t="str">
        <f aca="false">IF(F2350&gt;500,"Yüksek",IF(F2350&gt;100,"Orta","Düşük"))</f>
        <v>Yüksek</v>
      </c>
    </row>
    <row r="2351" customFormat="false" ht="12.8" hidden="false" customHeight="false" outlineLevel="0" collapsed="false">
      <c r="A2351" s="4" t="s">
        <v>23</v>
      </c>
      <c r="B2351" s="4" t="s">
        <v>17</v>
      </c>
      <c r="C2351" s="4" t="n">
        <v>37</v>
      </c>
      <c r="D2351" s="5" t="n">
        <v>27</v>
      </c>
      <c r="E2351" s="6" t="n">
        <f aca="false">DATE(2024,9,25)</f>
        <v>45560</v>
      </c>
      <c r="F2351" s="7" t="n">
        <f aca="false">C2351*D2351</f>
        <v>999</v>
      </c>
      <c r="G2351" s="7" t="n">
        <f aca="false">ROUND(F2351*0.2,2)</f>
        <v>199.8</v>
      </c>
      <c r="H2351" s="4" t="str">
        <f aca="false">IF(F2351&gt;500,"Yüksek",IF(F2351&gt;100,"Orta","Düşük"))</f>
        <v>Yüksek</v>
      </c>
    </row>
    <row r="2352" customFormat="false" ht="12.8" hidden="false" customHeight="false" outlineLevel="0" collapsed="false">
      <c r="A2352" s="4" t="s">
        <v>24</v>
      </c>
      <c r="B2352" s="4" t="s">
        <v>19</v>
      </c>
      <c r="C2352" s="4" t="n">
        <v>44</v>
      </c>
      <c r="D2352" s="5" t="n">
        <v>29.75</v>
      </c>
      <c r="E2352" s="6" t="n">
        <f aca="false">DATE(2024,10,26)</f>
        <v>45591</v>
      </c>
      <c r="F2352" s="7" t="n">
        <f aca="false">C2352*D2352</f>
        <v>1309</v>
      </c>
      <c r="G2352" s="7" t="n">
        <f aca="false">ROUND(F2352*0.2,2)</f>
        <v>261.8</v>
      </c>
      <c r="H2352" s="4" t="str">
        <f aca="false">IF(F2352&gt;500,"Yüksek",IF(F2352&gt;100,"Orta","Düşük"))</f>
        <v>Yüksek</v>
      </c>
    </row>
    <row r="2353" customFormat="false" ht="12.8" hidden="false" customHeight="false" outlineLevel="0" collapsed="false">
      <c r="A2353" s="4" t="s">
        <v>10</v>
      </c>
      <c r="B2353" s="4" t="s">
        <v>11</v>
      </c>
      <c r="C2353" s="4" t="n">
        <v>1</v>
      </c>
      <c r="D2353" s="5" t="n">
        <v>32.5</v>
      </c>
      <c r="E2353" s="6" t="n">
        <f aca="false">DATE(2024,11,27)</f>
        <v>45623</v>
      </c>
      <c r="F2353" s="7" t="n">
        <f aca="false">C2353*D2353</f>
        <v>32.5</v>
      </c>
      <c r="G2353" s="7" t="n">
        <f aca="false">ROUND(F2353*0.2,2)</f>
        <v>6.5</v>
      </c>
      <c r="H2353" s="4" t="str">
        <f aca="false">IF(F2353&gt;500,"Yüksek",IF(F2353&gt;100,"Orta","Düşük"))</f>
        <v>Düşük</v>
      </c>
    </row>
    <row r="2354" customFormat="false" ht="12.8" hidden="false" customHeight="false" outlineLevel="0" collapsed="false">
      <c r="A2354" s="4" t="s">
        <v>12</v>
      </c>
      <c r="B2354" s="4" t="s">
        <v>13</v>
      </c>
      <c r="C2354" s="4" t="n">
        <v>8</v>
      </c>
      <c r="D2354" s="5" t="n">
        <v>35.25</v>
      </c>
      <c r="E2354" s="6" t="n">
        <f aca="false">DATE(2024,12,28)</f>
        <v>45654</v>
      </c>
      <c r="F2354" s="7" t="n">
        <f aca="false">C2354*D2354</f>
        <v>282</v>
      </c>
      <c r="G2354" s="7" t="n">
        <f aca="false">ROUND(F2354*0.2,2)</f>
        <v>56.4</v>
      </c>
      <c r="H2354" s="4" t="str">
        <f aca="false">IF(F2354&gt;500,"Yüksek",IF(F2354&gt;100,"Orta","Düşük"))</f>
        <v>Orta</v>
      </c>
    </row>
    <row r="2355" customFormat="false" ht="12.8" hidden="false" customHeight="false" outlineLevel="0" collapsed="false">
      <c r="A2355" s="4" t="s">
        <v>14</v>
      </c>
      <c r="B2355" s="4" t="s">
        <v>15</v>
      </c>
      <c r="C2355" s="4" t="n">
        <v>15</v>
      </c>
      <c r="D2355" s="5" t="n">
        <v>38</v>
      </c>
      <c r="E2355" s="6" t="n">
        <f aca="false">DATE(2024,1,1)</f>
        <v>45292</v>
      </c>
      <c r="F2355" s="7" t="n">
        <f aca="false">C2355*D2355</f>
        <v>570</v>
      </c>
      <c r="G2355" s="7" t="n">
        <f aca="false">ROUND(F2355*0.2,2)</f>
        <v>114</v>
      </c>
      <c r="H2355" s="4" t="str">
        <f aca="false">IF(F2355&gt;500,"Yüksek",IF(F2355&gt;100,"Orta","Düşük"))</f>
        <v>Yüksek</v>
      </c>
    </row>
    <row r="2356" customFormat="false" ht="12.8" hidden="false" customHeight="false" outlineLevel="0" collapsed="false">
      <c r="A2356" s="4" t="s">
        <v>16</v>
      </c>
      <c r="B2356" s="4" t="s">
        <v>17</v>
      </c>
      <c r="C2356" s="4" t="n">
        <v>22</v>
      </c>
      <c r="D2356" s="5" t="n">
        <v>5</v>
      </c>
      <c r="E2356" s="6" t="n">
        <f aca="false">DATE(2024,2,2)</f>
        <v>45324</v>
      </c>
      <c r="F2356" s="7" t="n">
        <f aca="false">C2356*D2356</f>
        <v>110</v>
      </c>
      <c r="G2356" s="7" t="n">
        <f aca="false">ROUND(F2356*0.2,2)</f>
        <v>22</v>
      </c>
      <c r="H2356" s="4" t="str">
        <f aca="false">IF(F2356&gt;500,"Yüksek",IF(F2356&gt;100,"Orta","Düşük"))</f>
        <v>Orta</v>
      </c>
    </row>
    <row r="2357" customFormat="false" ht="12.8" hidden="false" customHeight="false" outlineLevel="0" collapsed="false">
      <c r="A2357" s="4" t="s">
        <v>18</v>
      </c>
      <c r="B2357" s="4" t="s">
        <v>19</v>
      </c>
      <c r="C2357" s="4" t="n">
        <v>29</v>
      </c>
      <c r="D2357" s="5" t="n">
        <v>7.75</v>
      </c>
      <c r="E2357" s="6" t="n">
        <f aca="false">DATE(2024,3,3)</f>
        <v>45354</v>
      </c>
      <c r="F2357" s="7" t="n">
        <f aca="false">C2357*D2357</f>
        <v>224.75</v>
      </c>
      <c r="G2357" s="7" t="n">
        <f aca="false">ROUND(F2357*0.2,2)</f>
        <v>44.95</v>
      </c>
      <c r="H2357" s="4" t="str">
        <f aca="false">IF(F2357&gt;500,"Yüksek",IF(F2357&gt;100,"Orta","Düşük"))</f>
        <v>Orta</v>
      </c>
    </row>
    <row r="2358" customFormat="false" ht="12.8" hidden="false" customHeight="false" outlineLevel="0" collapsed="false">
      <c r="A2358" s="4" t="s">
        <v>20</v>
      </c>
      <c r="B2358" s="4" t="s">
        <v>11</v>
      </c>
      <c r="C2358" s="4" t="n">
        <v>36</v>
      </c>
      <c r="D2358" s="5" t="n">
        <v>10.5</v>
      </c>
      <c r="E2358" s="6" t="n">
        <f aca="false">DATE(2024,4,4)</f>
        <v>45386</v>
      </c>
      <c r="F2358" s="7" t="n">
        <f aca="false">C2358*D2358</f>
        <v>378</v>
      </c>
      <c r="G2358" s="7" t="n">
        <f aca="false">ROUND(F2358*0.2,2)</f>
        <v>75.6</v>
      </c>
      <c r="H2358" s="4" t="str">
        <f aca="false">IF(F2358&gt;500,"Yüksek",IF(F2358&gt;100,"Orta","Düşük"))</f>
        <v>Orta</v>
      </c>
    </row>
    <row r="2359" customFormat="false" ht="12.8" hidden="false" customHeight="false" outlineLevel="0" collapsed="false">
      <c r="A2359" s="4" t="s">
        <v>21</v>
      </c>
      <c r="B2359" s="4" t="s">
        <v>13</v>
      </c>
      <c r="C2359" s="4" t="n">
        <v>43</v>
      </c>
      <c r="D2359" s="5" t="n">
        <v>13.25</v>
      </c>
      <c r="E2359" s="6" t="n">
        <f aca="false">DATE(2024,5,5)</f>
        <v>45417</v>
      </c>
      <c r="F2359" s="7" t="n">
        <f aca="false">C2359*D2359</f>
        <v>569.75</v>
      </c>
      <c r="G2359" s="7" t="n">
        <f aca="false">ROUND(F2359*0.2,2)</f>
        <v>113.95</v>
      </c>
      <c r="H2359" s="4" t="str">
        <f aca="false">IF(F2359&gt;500,"Yüksek",IF(F2359&gt;100,"Orta","Düşük"))</f>
        <v>Yüksek</v>
      </c>
    </row>
    <row r="2360" customFormat="false" ht="12.8" hidden="false" customHeight="false" outlineLevel="0" collapsed="false">
      <c r="A2360" s="4" t="s">
        <v>22</v>
      </c>
      <c r="B2360" s="4" t="s">
        <v>15</v>
      </c>
      <c r="C2360" s="4" t="n">
        <v>50</v>
      </c>
      <c r="D2360" s="5" t="n">
        <v>16</v>
      </c>
      <c r="E2360" s="6" t="n">
        <f aca="false">DATE(2024,6,6)</f>
        <v>45449</v>
      </c>
      <c r="F2360" s="7" t="n">
        <f aca="false">C2360*D2360</f>
        <v>800</v>
      </c>
      <c r="G2360" s="7" t="n">
        <f aca="false">ROUND(F2360*0.2,2)</f>
        <v>160</v>
      </c>
      <c r="H2360" s="4" t="str">
        <f aca="false">IF(F2360&gt;500,"Yüksek",IF(F2360&gt;100,"Orta","Düşük"))</f>
        <v>Yüksek</v>
      </c>
    </row>
    <row r="2361" customFormat="false" ht="12.8" hidden="false" customHeight="false" outlineLevel="0" collapsed="false">
      <c r="A2361" s="4" t="s">
        <v>23</v>
      </c>
      <c r="B2361" s="4" t="s">
        <v>17</v>
      </c>
      <c r="C2361" s="4" t="n">
        <v>7</v>
      </c>
      <c r="D2361" s="5" t="n">
        <v>18.75</v>
      </c>
      <c r="E2361" s="6" t="n">
        <f aca="false">DATE(2024,7,7)</f>
        <v>45480</v>
      </c>
      <c r="F2361" s="7" t="n">
        <f aca="false">C2361*D2361</f>
        <v>131.25</v>
      </c>
      <c r="G2361" s="7" t="n">
        <f aca="false">ROUND(F2361*0.2,2)</f>
        <v>26.25</v>
      </c>
      <c r="H2361" s="4" t="str">
        <f aca="false">IF(F2361&gt;500,"Yüksek",IF(F2361&gt;100,"Orta","Düşük"))</f>
        <v>Orta</v>
      </c>
    </row>
    <row r="2362" customFormat="false" ht="12.8" hidden="false" customHeight="false" outlineLevel="0" collapsed="false">
      <c r="A2362" s="4" t="s">
        <v>24</v>
      </c>
      <c r="B2362" s="4" t="s">
        <v>19</v>
      </c>
      <c r="C2362" s="4" t="n">
        <v>14</v>
      </c>
      <c r="D2362" s="5" t="n">
        <v>21.5</v>
      </c>
      <c r="E2362" s="6" t="n">
        <f aca="false">DATE(2024,8,8)</f>
        <v>45512</v>
      </c>
      <c r="F2362" s="7" t="n">
        <f aca="false">C2362*D2362</f>
        <v>301</v>
      </c>
      <c r="G2362" s="7" t="n">
        <f aca="false">ROUND(F2362*0.2,2)</f>
        <v>60.2</v>
      </c>
      <c r="H2362" s="4" t="str">
        <f aca="false">IF(F2362&gt;500,"Yüksek",IF(F2362&gt;100,"Orta","Düşük"))</f>
        <v>Orta</v>
      </c>
    </row>
    <row r="2363" customFormat="false" ht="12.8" hidden="false" customHeight="false" outlineLevel="0" collapsed="false">
      <c r="A2363" s="4" t="s">
        <v>10</v>
      </c>
      <c r="B2363" s="4" t="s">
        <v>11</v>
      </c>
      <c r="C2363" s="4" t="n">
        <v>21</v>
      </c>
      <c r="D2363" s="5" t="n">
        <v>24.25</v>
      </c>
      <c r="E2363" s="6" t="n">
        <f aca="false">DATE(2024,9,9)</f>
        <v>45544</v>
      </c>
      <c r="F2363" s="7" t="n">
        <f aca="false">C2363*D2363</f>
        <v>509.25</v>
      </c>
      <c r="G2363" s="7" t="n">
        <f aca="false">ROUND(F2363*0.2,2)</f>
        <v>101.85</v>
      </c>
      <c r="H2363" s="4" t="str">
        <f aca="false">IF(F2363&gt;500,"Yüksek",IF(F2363&gt;100,"Orta","Düşük"))</f>
        <v>Yüksek</v>
      </c>
    </row>
    <row r="2364" customFormat="false" ht="12.8" hidden="false" customHeight="false" outlineLevel="0" collapsed="false">
      <c r="A2364" s="4" t="s">
        <v>12</v>
      </c>
      <c r="B2364" s="4" t="s">
        <v>13</v>
      </c>
      <c r="C2364" s="4" t="n">
        <v>28</v>
      </c>
      <c r="D2364" s="5" t="n">
        <v>27</v>
      </c>
      <c r="E2364" s="6" t="n">
        <f aca="false">DATE(2024,10,10)</f>
        <v>45575</v>
      </c>
      <c r="F2364" s="7" t="n">
        <f aca="false">C2364*D2364</f>
        <v>756</v>
      </c>
      <c r="G2364" s="7" t="n">
        <f aca="false">ROUND(F2364*0.2,2)</f>
        <v>151.2</v>
      </c>
      <c r="H2364" s="4" t="str">
        <f aca="false">IF(F2364&gt;500,"Yüksek",IF(F2364&gt;100,"Orta","Düşük"))</f>
        <v>Yüksek</v>
      </c>
    </row>
    <row r="2365" customFormat="false" ht="12.8" hidden="false" customHeight="false" outlineLevel="0" collapsed="false">
      <c r="A2365" s="4" t="s">
        <v>14</v>
      </c>
      <c r="B2365" s="4" t="s">
        <v>15</v>
      </c>
      <c r="C2365" s="4" t="n">
        <v>35</v>
      </c>
      <c r="D2365" s="5" t="n">
        <v>29.75</v>
      </c>
      <c r="E2365" s="6" t="n">
        <f aca="false">DATE(2024,11,11)</f>
        <v>45607</v>
      </c>
      <c r="F2365" s="7" t="n">
        <f aca="false">C2365*D2365</f>
        <v>1041.25</v>
      </c>
      <c r="G2365" s="7" t="n">
        <f aca="false">ROUND(F2365*0.2,2)</f>
        <v>208.25</v>
      </c>
      <c r="H2365" s="4" t="str">
        <f aca="false">IF(F2365&gt;500,"Yüksek",IF(F2365&gt;100,"Orta","Düşük"))</f>
        <v>Yüksek</v>
      </c>
    </row>
    <row r="2366" customFormat="false" ht="12.8" hidden="false" customHeight="false" outlineLevel="0" collapsed="false">
      <c r="A2366" s="4" t="s">
        <v>16</v>
      </c>
      <c r="B2366" s="4" t="s">
        <v>17</v>
      </c>
      <c r="C2366" s="4" t="n">
        <v>42</v>
      </c>
      <c r="D2366" s="5" t="n">
        <v>32.5</v>
      </c>
      <c r="E2366" s="6" t="n">
        <f aca="false">DATE(2024,12,12)</f>
        <v>45638</v>
      </c>
      <c r="F2366" s="7" t="n">
        <f aca="false">C2366*D2366</f>
        <v>1365</v>
      </c>
      <c r="G2366" s="7" t="n">
        <f aca="false">ROUND(F2366*0.2,2)</f>
        <v>273</v>
      </c>
      <c r="H2366" s="4" t="str">
        <f aca="false">IF(F2366&gt;500,"Yüksek",IF(F2366&gt;100,"Orta","Düşük"))</f>
        <v>Yüksek</v>
      </c>
    </row>
    <row r="2367" customFormat="false" ht="12.8" hidden="false" customHeight="false" outlineLevel="0" collapsed="false">
      <c r="A2367" s="4" t="s">
        <v>18</v>
      </c>
      <c r="B2367" s="4" t="s">
        <v>19</v>
      </c>
      <c r="C2367" s="4" t="n">
        <v>49</v>
      </c>
      <c r="D2367" s="5" t="n">
        <v>35.25</v>
      </c>
      <c r="E2367" s="6" t="n">
        <f aca="false">DATE(2024,1,13)</f>
        <v>45304</v>
      </c>
      <c r="F2367" s="7" t="n">
        <f aca="false">C2367*D2367</f>
        <v>1727.25</v>
      </c>
      <c r="G2367" s="7" t="n">
        <f aca="false">ROUND(F2367*0.2,2)</f>
        <v>345.45</v>
      </c>
      <c r="H2367" s="4" t="str">
        <f aca="false">IF(F2367&gt;500,"Yüksek",IF(F2367&gt;100,"Orta","Düşük"))</f>
        <v>Yüksek</v>
      </c>
    </row>
    <row r="2368" customFormat="false" ht="12.8" hidden="false" customHeight="false" outlineLevel="0" collapsed="false">
      <c r="A2368" s="4" t="s">
        <v>20</v>
      </c>
      <c r="B2368" s="4" t="s">
        <v>11</v>
      </c>
      <c r="C2368" s="4" t="n">
        <v>6</v>
      </c>
      <c r="D2368" s="5" t="n">
        <v>38</v>
      </c>
      <c r="E2368" s="6" t="n">
        <f aca="false">DATE(2024,2,14)</f>
        <v>45336</v>
      </c>
      <c r="F2368" s="7" t="n">
        <f aca="false">C2368*D2368</f>
        <v>228</v>
      </c>
      <c r="G2368" s="7" t="n">
        <f aca="false">ROUND(F2368*0.2,2)</f>
        <v>45.6</v>
      </c>
      <c r="H2368" s="4" t="str">
        <f aca="false">IF(F2368&gt;500,"Yüksek",IF(F2368&gt;100,"Orta","Düşük"))</f>
        <v>Orta</v>
      </c>
    </row>
    <row r="2369" customFormat="false" ht="12.8" hidden="false" customHeight="false" outlineLevel="0" collapsed="false">
      <c r="A2369" s="4" t="s">
        <v>21</v>
      </c>
      <c r="B2369" s="4" t="s">
        <v>13</v>
      </c>
      <c r="C2369" s="4" t="n">
        <v>13</v>
      </c>
      <c r="D2369" s="5" t="n">
        <v>5</v>
      </c>
      <c r="E2369" s="6" t="n">
        <f aca="false">DATE(2024,3,15)</f>
        <v>45366</v>
      </c>
      <c r="F2369" s="7" t="n">
        <f aca="false">C2369*D2369</f>
        <v>65</v>
      </c>
      <c r="G2369" s="7" t="n">
        <f aca="false">ROUND(F2369*0.2,2)</f>
        <v>13</v>
      </c>
      <c r="H2369" s="4" t="str">
        <f aca="false">IF(F2369&gt;500,"Yüksek",IF(F2369&gt;100,"Orta","Düşük"))</f>
        <v>Düşük</v>
      </c>
    </row>
    <row r="2370" customFormat="false" ht="12.8" hidden="false" customHeight="false" outlineLevel="0" collapsed="false">
      <c r="A2370" s="4" t="s">
        <v>22</v>
      </c>
      <c r="B2370" s="4" t="s">
        <v>15</v>
      </c>
      <c r="C2370" s="4" t="n">
        <v>20</v>
      </c>
      <c r="D2370" s="5" t="n">
        <v>7.75</v>
      </c>
      <c r="E2370" s="6" t="n">
        <f aca="false">DATE(2024,4,16)</f>
        <v>45398</v>
      </c>
      <c r="F2370" s="7" t="n">
        <f aca="false">C2370*D2370</f>
        <v>155</v>
      </c>
      <c r="G2370" s="7" t="n">
        <f aca="false">ROUND(F2370*0.2,2)</f>
        <v>31</v>
      </c>
      <c r="H2370" s="4" t="str">
        <f aca="false">IF(F2370&gt;500,"Yüksek",IF(F2370&gt;100,"Orta","Düşük"))</f>
        <v>Orta</v>
      </c>
    </row>
    <row r="2371" customFormat="false" ht="12.8" hidden="false" customHeight="false" outlineLevel="0" collapsed="false">
      <c r="A2371" s="4" t="s">
        <v>23</v>
      </c>
      <c r="B2371" s="4" t="s">
        <v>17</v>
      </c>
      <c r="C2371" s="4" t="n">
        <v>27</v>
      </c>
      <c r="D2371" s="5" t="n">
        <v>10.5</v>
      </c>
      <c r="E2371" s="6" t="n">
        <f aca="false">DATE(2024,5,17)</f>
        <v>45429</v>
      </c>
      <c r="F2371" s="7" t="n">
        <f aca="false">C2371*D2371</f>
        <v>283.5</v>
      </c>
      <c r="G2371" s="7" t="n">
        <f aca="false">ROUND(F2371*0.2,2)</f>
        <v>56.7</v>
      </c>
      <c r="H2371" s="4" t="str">
        <f aca="false">IF(F2371&gt;500,"Yüksek",IF(F2371&gt;100,"Orta","Düşük"))</f>
        <v>Orta</v>
      </c>
    </row>
    <row r="2372" customFormat="false" ht="12.8" hidden="false" customHeight="false" outlineLevel="0" collapsed="false">
      <c r="A2372" s="4" t="s">
        <v>24</v>
      </c>
      <c r="B2372" s="4" t="s">
        <v>19</v>
      </c>
      <c r="C2372" s="4" t="n">
        <v>34</v>
      </c>
      <c r="D2372" s="5" t="n">
        <v>13.25</v>
      </c>
      <c r="E2372" s="6" t="n">
        <f aca="false">DATE(2024,6,18)</f>
        <v>45461</v>
      </c>
      <c r="F2372" s="7" t="n">
        <f aca="false">C2372*D2372</f>
        <v>450.5</v>
      </c>
      <c r="G2372" s="7" t="n">
        <f aca="false">ROUND(F2372*0.2,2)</f>
        <v>90.1</v>
      </c>
      <c r="H2372" s="4" t="str">
        <f aca="false">IF(F2372&gt;500,"Yüksek",IF(F2372&gt;100,"Orta","Düşük"))</f>
        <v>Orta</v>
      </c>
    </row>
    <row r="2373" customFormat="false" ht="12.8" hidden="false" customHeight="false" outlineLevel="0" collapsed="false">
      <c r="A2373" s="4" t="s">
        <v>10</v>
      </c>
      <c r="B2373" s="4" t="s">
        <v>11</v>
      </c>
      <c r="C2373" s="4" t="n">
        <v>41</v>
      </c>
      <c r="D2373" s="5" t="n">
        <v>16</v>
      </c>
      <c r="E2373" s="6" t="n">
        <f aca="false">DATE(2024,7,19)</f>
        <v>45492</v>
      </c>
      <c r="F2373" s="7" t="n">
        <f aca="false">C2373*D2373</f>
        <v>656</v>
      </c>
      <c r="G2373" s="7" t="n">
        <f aca="false">ROUND(F2373*0.2,2)</f>
        <v>131.2</v>
      </c>
      <c r="H2373" s="4" t="str">
        <f aca="false">IF(F2373&gt;500,"Yüksek",IF(F2373&gt;100,"Orta","Düşük"))</f>
        <v>Yüksek</v>
      </c>
    </row>
    <row r="2374" customFormat="false" ht="12.8" hidden="false" customHeight="false" outlineLevel="0" collapsed="false">
      <c r="A2374" s="4" t="s">
        <v>12</v>
      </c>
      <c r="B2374" s="4" t="s">
        <v>13</v>
      </c>
      <c r="C2374" s="4" t="n">
        <v>48</v>
      </c>
      <c r="D2374" s="5" t="n">
        <v>18.75</v>
      </c>
      <c r="E2374" s="6" t="n">
        <f aca="false">DATE(2024,8,20)</f>
        <v>45524</v>
      </c>
      <c r="F2374" s="7" t="n">
        <f aca="false">C2374*D2374</f>
        <v>900</v>
      </c>
      <c r="G2374" s="7" t="n">
        <f aca="false">ROUND(F2374*0.2,2)</f>
        <v>180</v>
      </c>
      <c r="H2374" s="4" t="str">
        <f aca="false">IF(F2374&gt;500,"Yüksek",IF(F2374&gt;100,"Orta","Düşük"))</f>
        <v>Yüksek</v>
      </c>
    </row>
    <row r="2375" customFormat="false" ht="12.8" hidden="false" customHeight="false" outlineLevel="0" collapsed="false">
      <c r="A2375" s="4" t="s">
        <v>14</v>
      </c>
      <c r="B2375" s="4" t="s">
        <v>15</v>
      </c>
      <c r="C2375" s="4" t="n">
        <v>5</v>
      </c>
      <c r="D2375" s="5" t="n">
        <v>21.5</v>
      </c>
      <c r="E2375" s="6" t="n">
        <f aca="false">DATE(2024,9,21)</f>
        <v>45556</v>
      </c>
      <c r="F2375" s="7" t="n">
        <f aca="false">C2375*D2375</f>
        <v>107.5</v>
      </c>
      <c r="G2375" s="7" t="n">
        <f aca="false">ROUND(F2375*0.2,2)</f>
        <v>21.5</v>
      </c>
      <c r="H2375" s="4" t="str">
        <f aca="false">IF(F2375&gt;500,"Yüksek",IF(F2375&gt;100,"Orta","Düşük"))</f>
        <v>Orta</v>
      </c>
    </row>
    <row r="2376" customFormat="false" ht="12.8" hidden="false" customHeight="false" outlineLevel="0" collapsed="false">
      <c r="A2376" s="4" t="s">
        <v>16</v>
      </c>
      <c r="B2376" s="4" t="s">
        <v>17</v>
      </c>
      <c r="C2376" s="4" t="n">
        <v>12</v>
      </c>
      <c r="D2376" s="5" t="n">
        <v>24.25</v>
      </c>
      <c r="E2376" s="6" t="n">
        <f aca="false">DATE(2024,10,22)</f>
        <v>45587</v>
      </c>
      <c r="F2376" s="7" t="n">
        <f aca="false">C2376*D2376</f>
        <v>291</v>
      </c>
      <c r="G2376" s="7" t="n">
        <f aca="false">ROUND(F2376*0.2,2)</f>
        <v>58.2</v>
      </c>
      <c r="H2376" s="4" t="str">
        <f aca="false">IF(F2376&gt;500,"Yüksek",IF(F2376&gt;100,"Orta","Düşük"))</f>
        <v>Orta</v>
      </c>
    </row>
    <row r="2377" customFormat="false" ht="12.8" hidden="false" customHeight="false" outlineLevel="0" collapsed="false">
      <c r="A2377" s="4" t="s">
        <v>18</v>
      </c>
      <c r="B2377" s="4" t="s">
        <v>19</v>
      </c>
      <c r="C2377" s="4" t="n">
        <v>19</v>
      </c>
      <c r="D2377" s="5" t="n">
        <v>27</v>
      </c>
      <c r="E2377" s="6" t="n">
        <f aca="false">DATE(2024,11,23)</f>
        <v>45619</v>
      </c>
      <c r="F2377" s="7" t="n">
        <f aca="false">C2377*D2377</f>
        <v>513</v>
      </c>
      <c r="G2377" s="7" t="n">
        <f aca="false">ROUND(F2377*0.2,2)</f>
        <v>102.6</v>
      </c>
      <c r="H2377" s="4" t="str">
        <f aca="false">IF(F2377&gt;500,"Yüksek",IF(F2377&gt;100,"Orta","Düşük"))</f>
        <v>Yüksek</v>
      </c>
    </row>
    <row r="2378" customFormat="false" ht="12.8" hidden="false" customHeight="false" outlineLevel="0" collapsed="false">
      <c r="A2378" s="4" t="s">
        <v>20</v>
      </c>
      <c r="B2378" s="4" t="s">
        <v>11</v>
      </c>
      <c r="C2378" s="4" t="n">
        <v>26</v>
      </c>
      <c r="D2378" s="5" t="n">
        <v>29.75</v>
      </c>
      <c r="E2378" s="6" t="n">
        <f aca="false">DATE(2024,12,24)</f>
        <v>45650</v>
      </c>
      <c r="F2378" s="7" t="n">
        <f aca="false">C2378*D2378</f>
        <v>773.5</v>
      </c>
      <c r="G2378" s="7" t="n">
        <f aca="false">ROUND(F2378*0.2,2)</f>
        <v>154.7</v>
      </c>
      <c r="H2378" s="4" t="str">
        <f aca="false">IF(F2378&gt;500,"Yüksek",IF(F2378&gt;100,"Orta","Düşük"))</f>
        <v>Yüksek</v>
      </c>
    </row>
    <row r="2379" customFormat="false" ht="12.8" hidden="false" customHeight="false" outlineLevel="0" collapsed="false">
      <c r="A2379" s="4" t="s">
        <v>21</v>
      </c>
      <c r="B2379" s="4" t="s">
        <v>13</v>
      </c>
      <c r="C2379" s="4" t="n">
        <v>33</v>
      </c>
      <c r="D2379" s="5" t="n">
        <v>32.5</v>
      </c>
      <c r="E2379" s="6" t="n">
        <f aca="false">DATE(2024,1,25)</f>
        <v>45316</v>
      </c>
      <c r="F2379" s="7" t="n">
        <f aca="false">C2379*D2379</f>
        <v>1072.5</v>
      </c>
      <c r="G2379" s="7" t="n">
        <f aca="false">ROUND(F2379*0.2,2)</f>
        <v>214.5</v>
      </c>
      <c r="H2379" s="4" t="str">
        <f aca="false">IF(F2379&gt;500,"Yüksek",IF(F2379&gt;100,"Orta","Düşük"))</f>
        <v>Yüksek</v>
      </c>
    </row>
    <row r="2380" customFormat="false" ht="12.8" hidden="false" customHeight="false" outlineLevel="0" collapsed="false">
      <c r="A2380" s="4" t="s">
        <v>22</v>
      </c>
      <c r="B2380" s="4" t="s">
        <v>15</v>
      </c>
      <c r="C2380" s="4" t="n">
        <v>40</v>
      </c>
      <c r="D2380" s="5" t="n">
        <v>35.25</v>
      </c>
      <c r="E2380" s="6" t="n">
        <f aca="false">DATE(2024,2,26)</f>
        <v>45348</v>
      </c>
      <c r="F2380" s="7" t="n">
        <f aca="false">C2380*D2380</f>
        <v>1410</v>
      </c>
      <c r="G2380" s="7" t="n">
        <f aca="false">ROUND(F2380*0.2,2)</f>
        <v>282</v>
      </c>
      <c r="H2380" s="4" t="str">
        <f aca="false">IF(F2380&gt;500,"Yüksek",IF(F2380&gt;100,"Orta","Düşük"))</f>
        <v>Yüksek</v>
      </c>
    </row>
    <row r="2381" customFormat="false" ht="12.8" hidden="false" customHeight="false" outlineLevel="0" collapsed="false">
      <c r="A2381" s="4" t="s">
        <v>23</v>
      </c>
      <c r="B2381" s="4" t="s">
        <v>17</v>
      </c>
      <c r="C2381" s="4" t="n">
        <v>47</v>
      </c>
      <c r="D2381" s="5" t="n">
        <v>38</v>
      </c>
      <c r="E2381" s="6" t="n">
        <f aca="false">DATE(2024,3,27)</f>
        <v>45378</v>
      </c>
      <c r="F2381" s="7" t="n">
        <f aca="false">C2381*D2381</f>
        <v>1786</v>
      </c>
      <c r="G2381" s="7" t="n">
        <f aca="false">ROUND(F2381*0.2,2)</f>
        <v>357.2</v>
      </c>
      <c r="H2381" s="4" t="str">
        <f aca="false">IF(F2381&gt;500,"Yüksek",IF(F2381&gt;100,"Orta","Düşük"))</f>
        <v>Yüksek</v>
      </c>
    </row>
    <row r="2382" customFormat="false" ht="12.8" hidden="false" customHeight="false" outlineLevel="0" collapsed="false">
      <c r="A2382" s="4" t="s">
        <v>24</v>
      </c>
      <c r="B2382" s="4" t="s">
        <v>19</v>
      </c>
      <c r="C2382" s="4" t="n">
        <v>4</v>
      </c>
      <c r="D2382" s="5" t="n">
        <v>5</v>
      </c>
      <c r="E2382" s="6" t="n">
        <f aca="false">DATE(2024,4,28)</f>
        <v>45410</v>
      </c>
      <c r="F2382" s="7" t="n">
        <f aca="false">C2382*D2382</f>
        <v>20</v>
      </c>
      <c r="G2382" s="7" t="n">
        <f aca="false">ROUND(F2382*0.2,2)</f>
        <v>4</v>
      </c>
      <c r="H2382" s="4" t="str">
        <f aca="false">IF(F2382&gt;500,"Yüksek",IF(F2382&gt;100,"Orta","Düşük"))</f>
        <v>Düşük</v>
      </c>
    </row>
    <row r="2383" customFormat="false" ht="12.8" hidden="false" customHeight="false" outlineLevel="0" collapsed="false">
      <c r="A2383" s="4" t="s">
        <v>10</v>
      </c>
      <c r="B2383" s="4" t="s">
        <v>11</v>
      </c>
      <c r="C2383" s="4" t="n">
        <v>11</v>
      </c>
      <c r="D2383" s="5" t="n">
        <v>7.75</v>
      </c>
      <c r="E2383" s="6" t="n">
        <f aca="false">DATE(2024,5,1)</f>
        <v>45413</v>
      </c>
      <c r="F2383" s="7" t="n">
        <f aca="false">C2383*D2383</f>
        <v>85.25</v>
      </c>
      <c r="G2383" s="7" t="n">
        <f aca="false">ROUND(F2383*0.2,2)</f>
        <v>17.05</v>
      </c>
      <c r="H2383" s="4" t="str">
        <f aca="false">IF(F2383&gt;500,"Yüksek",IF(F2383&gt;100,"Orta","Düşük"))</f>
        <v>Düşük</v>
      </c>
    </row>
    <row r="2384" customFormat="false" ht="12.8" hidden="false" customHeight="false" outlineLevel="0" collapsed="false">
      <c r="A2384" s="4" t="s">
        <v>12</v>
      </c>
      <c r="B2384" s="4" t="s">
        <v>13</v>
      </c>
      <c r="C2384" s="4" t="n">
        <v>18</v>
      </c>
      <c r="D2384" s="5" t="n">
        <v>10.5</v>
      </c>
      <c r="E2384" s="6" t="n">
        <f aca="false">DATE(2024,6,2)</f>
        <v>45445</v>
      </c>
      <c r="F2384" s="7" t="n">
        <f aca="false">C2384*D2384</f>
        <v>189</v>
      </c>
      <c r="G2384" s="7" t="n">
        <f aca="false">ROUND(F2384*0.2,2)</f>
        <v>37.8</v>
      </c>
      <c r="H2384" s="4" t="str">
        <f aca="false">IF(F2384&gt;500,"Yüksek",IF(F2384&gt;100,"Orta","Düşük"))</f>
        <v>Orta</v>
      </c>
    </row>
    <row r="2385" customFormat="false" ht="12.8" hidden="false" customHeight="false" outlineLevel="0" collapsed="false">
      <c r="A2385" s="4" t="s">
        <v>14</v>
      </c>
      <c r="B2385" s="4" t="s">
        <v>15</v>
      </c>
      <c r="C2385" s="4" t="n">
        <v>25</v>
      </c>
      <c r="D2385" s="5" t="n">
        <v>13.25</v>
      </c>
      <c r="E2385" s="6" t="n">
        <f aca="false">DATE(2024,7,3)</f>
        <v>45476</v>
      </c>
      <c r="F2385" s="7" t="n">
        <f aca="false">C2385*D2385</f>
        <v>331.25</v>
      </c>
      <c r="G2385" s="7" t="n">
        <f aca="false">ROUND(F2385*0.2,2)</f>
        <v>66.25</v>
      </c>
      <c r="H2385" s="4" t="str">
        <f aca="false">IF(F2385&gt;500,"Yüksek",IF(F2385&gt;100,"Orta","Düşük"))</f>
        <v>Orta</v>
      </c>
    </row>
    <row r="2386" customFormat="false" ht="12.8" hidden="false" customHeight="false" outlineLevel="0" collapsed="false">
      <c r="A2386" s="4" t="s">
        <v>16</v>
      </c>
      <c r="B2386" s="4" t="s">
        <v>17</v>
      </c>
      <c r="C2386" s="4" t="n">
        <v>32</v>
      </c>
      <c r="D2386" s="5" t="n">
        <v>16</v>
      </c>
      <c r="E2386" s="6" t="n">
        <f aca="false">DATE(2024,8,4)</f>
        <v>45508</v>
      </c>
      <c r="F2386" s="7" t="n">
        <f aca="false">C2386*D2386</f>
        <v>512</v>
      </c>
      <c r="G2386" s="7" t="n">
        <f aca="false">ROUND(F2386*0.2,2)</f>
        <v>102.4</v>
      </c>
      <c r="H2386" s="4" t="str">
        <f aca="false">IF(F2386&gt;500,"Yüksek",IF(F2386&gt;100,"Orta","Düşük"))</f>
        <v>Yüksek</v>
      </c>
    </row>
    <row r="2387" customFormat="false" ht="12.8" hidden="false" customHeight="false" outlineLevel="0" collapsed="false">
      <c r="A2387" s="4" t="s">
        <v>18</v>
      </c>
      <c r="B2387" s="4" t="s">
        <v>19</v>
      </c>
      <c r="C2387" s="4" t="n">
        <v>39</v>
      </c>
      <c r="D2387" s="5" t="n">
        <v>18.75</v>
      </c>
      <c r="E2387" s="6" t="n">
        <f aca="false">DATE(2024,9,5)</f>
        <v>45540</v>
      </c>
      <c r="F2387" s="7" t="n">
        <f aca="false">C2387*D2387</f>
        <v>731.25</v>
      </c>
      <c r="G2387" s="7" t="n">
        <f aca="false">ROUND(F2387*0.2,2)</f>
        <v>146.25</v>
      </c>
      <c r="H2387" s="4" t="str">
        <f aca="false">IF(F2387&gt;500,"Yüksek",IF(F2387&gt;100,"Orta","Düşük"))</f>
        <v>Yüksek</v>
      </c>
    </row>
    <row r="2388" customFormat="false" ht="12.8" hidden="false" customHeight="false" outlineLevel="0" collapsed="false">
      <c r="A2388" s="4" t="s">
        <v>20</v>
      </c>
      <c r="B2388" s="4" t="s">
        <v>11</v>
      </c>
      <c r="C2388" s="4" t="n">
        <v>46</v>
      </c>
      <c r="D2388" s="5" t="n">
        <v>21.5</v>
      </c>
      <c r="E2388" s="6" t="n">
        <f aca="false">DATE(2024,10,6)</f>
        <v>45571</v>
      </c>
      <c r="F2388" s="7" t="n">
        <f aca="false">C2388*D2388</f>
        <v>989</v>
      </c>
      <c r="G2388" s="7" t="n">
        <f aca="false">ROUND(F2388*0.2,2)</f>
        <v>197.8</v>
      </c>
      <c r="H2388" s="4" t="str">
        <f aca="false">IF(F2388&gt;500,"Yüksek",IF(F2388&gt;100,"Orta","Düşük"))</f>
        <v>Yüksek</v>
      </c>
    </row>
    <row r="2389" customFormat="false" ht="12.8" hidden="false" customHeight="false" outlineLevel="0" collapsed="false">
      <c r="A2389" s="4" t="s">
        <v>21</v>
      </c>
      <c r="B2389" s="4" t="s">
        <v>13</v>
      </c>
      <c r="C2389" s="4" t="n">
        <v>3</v>
      </c>
      <c r="D2389" s="5" t="n">
        <v>24.25</v>
      </c>
      <c r="E2389" s="6" t="n">
        <f aca="false">DATE(2024,11,7)</f>
        <v>45603</v>
      </c>
      <c r="F2389" s="7" t="n">
        <f aca="false">C2389*D2389</f>
        <v>72.75</v>
      </c>
      <c r="G2389" s="7" t="n">
        <f aca="false">ROUND(F2389*0.2,2)</f>
        <v>14.55</v>
      </c>
      <c r="H2389" s="4" t="str">
        <f aca="false">IF(F2389&gt;500,"Yüksek",IF(F2389&gt;100,"Orta","Düşük"))</f>
        <v>Düşük</v>
      </c>
    </row>
    <row r="2390" customFormat="false" ht="12.8" hidden="false" customHeight="false" outlineLevel="0" collapsed="false">
      <c r="A2390" s="4" t="s">
        <v>22</v>
      </c>
      <c r="B2390" s="4" t="s">
        <v>15</v>
      </c>
      <c r="C2390" s="4" t="n">
        <v>10</v>
      </c>
      <c r="D2390" s="5" t="n">
        <v>27</v>
      </c>
      <c r="E2390" s="6" t="n">
        <f aca="false">DATE(2024,12,8)</f>
        <v>45634</v>
      </c>
      <c r="F2390" s="7" t="n">
        <f aca="false">C2390*D2390</f>
        <v>270</v>
      </c>
      <c r="G2390" s="7" t="n">
        <f aca="false">ROUND(F2390*0.2,2)</f>
        <v>54</v>
      </c>
      <c r="H2390" s="4" t="str">
        <f aca="false">IF(F2390&gt;500,"Yüksek",IF(F2390&gt;100,"Orta","Düşük"))</f>
        <v>Orta</v>
      </c>
    </row>
    <row r="2391" customFormat="false" ht="12.8" hidden="false" customHeight="false" outlineLevel="0" collapsed="false">
      <c r="A2391" s="4" t="s">
        <v>23</v>
      </c>
      <c r="B2391" s="4" t="s">
        <v>17</v>
      </c>
      <c r="C2391" s="4" t="n">
        <v>17</v>
      </c>
      <c r="D2391" s="5" t="n">
        <v>29.75</v>
      </c>
      <c r="E2391" s="6" t="n">
        <f aca="false">DATE(2024,1,9)</f>
        <v>45300</v>
      </c>
      <c r="F2391" s="7" t="n">
        <f aca="false">C2391*D2391</f>
        <v>505.75</v>
      </c>
      <c r="G2391" s="7" t="n">
        <f aca="false">ROUND(F2391*0.2,2)</f>
        <v>101.15</v>
      </c>
      <c r="H2391" s="4" t="str">
        <f aca="false">IF(F2391&gt;500,"Yüksek",IF(F2391&gt;100,"Orta","Düşük"))</f>
        <v>Yüksek</v>
      </c>
    </row>
    <row r="2392" customFormat="false" ht="12.8" hidden="false" customHeight="false" outlineLevel="0" collapsed="false">
      <c r="A2392" s="4" t="s">
        <v>24</v>
      </c>
      <c r="B2392" s="4" t="s">
        <v>19</v>
      </c>
      <c r="C2392" s="4" t="n">
        <v>24</v>
      </c>
      <c r="D2392" s="5" t="n">
        <v>32.5</v>
      </c>
      <c r="E2392" s="6" t="n">
        <f aca="false">DATE(2024,2,10)</f>
        <v>45332</v>
      </c>
      <c r="F2392" s="7" t="n">
        <f aca="false">C2392*D2392</f>
        <v>780</v>
      </c>
      <c r="G2392" s="7" t="n">
        <f aca="false">ROUND(F2392*0.2,2)</f>
        <v>156</v>
      </c>
      <c r="H2392" s="4" t="str">
        <f aca="false">IF(F2392&gt;500,"Yüksek",IF(F2392&gt;100,"Orta","Düşük"))</f>
        <v>Yüksek</v>
      </c>
    </row>
    <row r="2393" customFormat="false" ht="12.8" hidden="false" customHeight="false" outlineLevel="0" collapsed="false">
      <c r="A2393" s="4" t="s">
        <v>10</v>
      </c>
      <c r="B2393" s="4" t="s">
        <v>11</v>
      </c>
      <c r="C2393" s="4" t="n">
        <v>31</v>
      </c>
      <c r="D2393" s="5" t="n">
        <v>35.25</v>
      </c>
      <c r="E2393" s="6" t="n">
        <f aca="false">DATE(2024,3,11)</f>
        <v>45362</v>
      </c>
      <c r="F2393" s="7" t="n">
        <f aca="false">C2393*D2393</f>
        <v>1092.75</v>
      </c>
      <c r="G2393" s="7" t="n">
        <f aca="false">ROUND(F2393*0.2,2)</f>
        <v>218.55</v>
      </c>
      <c r="H2393" s="4" t="str">
        <f aca="false">IF(F2393&gt;500,"Yüksek",IF(F2393&gt;100,"Orta","Düşük"))</f>
        <v>Yüksek</v>
      </c>
    </row>
    <row r="2394" customFormat="false" ht="12.8" hidden="false" customHeight="false" outlineLevel="0" collapsed="false">
      <c r="A2394" s="4" t="s">
        <v>12</v>
      </c>
      <c r="B2394" s="4" t="s">
        <v>13</v>
      </c>
      <c r="C2394" s="4" t="n">
        <v>38</v>
      </c>
      <c r="D2394" s="5" t="n">
        <v>38</v>
      </c>
      <c r="E2394" s="6" t="n">
        <f aca="false">DATE(2024,4,12)</f>
        <v>45394</v>
      </c>
      <c r="F2394" s="7" t="n">
        <f aca="false">C2394*D2394</f>
        <v>1444</v>
      </c>
      <c r="G2394" s="7" t="n">
        <f aca="false">ROUND(F2394*0.2,2)</f>
        <v>288.8</v>
      </c>
      <c r="H2394" s="4" t="str">
        <f aca="false">IF(F2394&gt;500,"Yüksek",IF(F2394&gt;100,"Orta","Düşük"))</f>
        <v>Yüksek</v>
      </c>
    </row>
    <row r="2395" customFormat="false" ht="12.8" hidden="false" customHeight="false" outlineLevel="0" collapsed="false">
      <c r="A2395" s="4" t="s">
        <v>14</v>
      </c>
      <c r="B2395" s="4" t="s">
        <v>15</v>
      </c>
      <c r="C2395" s="4" t="n">
        <v>45</v>
      </c>
      <c r="D2395" s="5" t="n">
        <v>5</v>
      </c>
      <c r="E2395" s="6" t="n">
        <f aca="false">DATE(2024,5,13)</f>
        <v>45425</v>
      </c>
      <c r="F2395" s="7" t="n">
        <f aca="false">C2395*D2395</f>
        <v>225</v>
      </c>
      <c r="G2395" s="7" t="n">
        <f aca="false">ROUND(F2395*0.2,2)</f>
        <v>45</v>
      </c>
      <c r="H2395" s="4" t="str">
        <f aca="false">IF(F2395&gt;500,"Yüksek",IF(F2395&gt;100,"Orta","Düşük"))</f>
        <v>Orta</v>
      </c>
    </row>
    <row r="2396" customFormat="false" ht="12.8" hidden="false" customHeight="false" outlineLevel="0" collapsed="false">
      <c r="A2396" s="4" t="s">
        <v>16</v>
      </c>
      <c r="B2396" s="4" t="s">
        <v>17</v>
      </c>
      <c r="C2396" s="4" t="n">
        <v>2</v>
      </c>
      <c r="D2396" s="5" t="n">
        <v>7.75</v>
      </c>
      <c r="E2396" s="6" t="n">
        <f aca="false">DATE(2024,6,14)</f>
        <v>45457</v>
      </c>
      <c r="F2396" s="7" t="n">
        <f aca="false">C2396*D2396</f>
        <v>15.5</v>
      </c>
      <c r="G2396" s="7" t="n">
        <f aca="false">ROUND(F2396*0.2,2)</f>
        <v>3.1</v>
      </c>
      <c r="H2396" s="4" t="str">
        <f aca="false">IF(F2396&gt;500,"Yüksek",IF(F2396&gt;100,"Orta","Düşük"))</f>
        <v>Düşük</v>
      </c>
    </row>
    <row r="2397" customFormat="false" ht="12.8" hidden="false" customHeight="false" outlineLevel="0" collapsed="false">
      <c r="A2397" s="4" t="s">
        <v>18</v>
      </c>
      <c r="B2397" s="4" t="s">
        <v>19</v>
      </c>
      <c r="C2397" s="4" t="n">
        <v>9</v>
      </c>
      <c r="D2397" s="5" t="n">
        <v>10.5</v>
      </c>
      <c r="E2397" s="6" t="n">
        <f aca="false">DATE(2024,7,15)</f>
        <v>45488</v>
      </c>
      <c r="F2397" s="7" t="n">
        <f aca="false">C2397*D2397</f>
        <v>94.5</v>
      </c>
      <c r="G2397" s="7" t="n">
        <f aca="false">ROUND(F2397*0.2,2)</f>
        <v>18.9</v>
      </c>
      <c r="H2397" s="4" t="str">
        <f aca="false">IF(F2397&gt;500,"Yüksek",IF(F2397&gt;100,"Orta","Düşük"))</f>
        <v>Düşük</v>
      </c>
    </row>
    <row r="2398" customFormat="false" ht="12.8" hidden="false" customHeight="false" outlineLevel="0" collapsed="false">
      <c r="A2398" s="4" t="s">
        <v>20</v>
      </c>
      <c r="B2398" s="4" t="s">
        <v>11</v>
      </c>
      <c r="C2398" s="4" t="n">
        <v>16</v>
      </c>
      <c r="D2398" s="5" t="n">
        <v>13.25</v>
      </c>
      <c r="E2398" s="6" t="n">
        <f aca="false">DATE(2024,8,16)</f>
        <v>45520</v>
      </c>
      <c r="F2398" s="7" t="n">
        <f aca="false">C2398*D2398</f>
        <v>212</v>
      </c>
      <c r="G2398" s="7" t="n">
        <f aca="false">ROUND(F2398*0.2,2)</f>
        <v>42.4</v>
      </c>
      <c r="H2398" s="4" t="str">
        <f aca="false">IF(F2398&gt;500,"Yüksek",IF(F2398&gt;100,"Orta","Düşük"))</f>
        <v>Orta</v>
      </c>
    </row>
    <row r="2399" customFormat="false" ht="12.8" hidden="false" customHeight="false" outlineLevel="0" collapsed="false">
      <c r="A2399" s="4" t="s">
        <v>21</v>
      </c>
      <c r="B2399" s="4" t="s">
        <v>13</v>
      </c>
      <c r="C2399" s="4" t="n">
        <v>23</v>
      </c>
      <c r="D2399" s="5" t="n">
        <v>16</v>
      </c>
      <c r="E2399" s="6" t="n">
        <f aca="false">DATE(2024,9,17)</f>
        <v>45552</v>
      </c>
      <c r="F2399" s="7" t="n">
        <f aca="false">C2399*D2399</f>
        <v>368</v>
      </c>
      <c r="G2399" s="7" t="n">
        <f aca="false">ROUND(F2399*0.2,2)</f>
        <v>73.6</v>
      </c>
      <c r="H2399" s="4" t="str">
        <f aca="false">IF(F2399&gt;500,"Yüksek",IF(F2399&gt;100,"Orta","Düşük"))</f>
        <v>Orta</v>
      </c>
    </row>
    <row r="2400" customFormat="false" ht="12.8" hidden="false" customHeight="false" outlineLevel="0" collapsed="false">
      <c r="A2400" s="4" t="s">
        <v>22</v>
      </c>
      <c r="B2400" s="4" t="s">
        <v>15</v>
      </c>
      <c r="C2400" s="4" t="n">
        <v>30</v>
      </c>
      <c r="D2400" s="5" t="n">
        <v>18.75</v>
      </c>
      <c r="E2400" s="6" t="n">
        <f aca="false">DATE(2024,10,18)</f>
        <v>45583</v>
      </c>
      <c r="F2400" s="7" t="n">
        <f aca="false">C2400*D2400</f>
        <v>562.5</v>
      </c>
      <c r="G2400" s="7" t="n">
        <f aca="false">ROUND(F2400*0.2,2)</f>
        <v>112.5</v>
      </c>
      <c r="H2400" s="4" t="str">
        <f aca="false">IF(F2400&gt;500,"Yüksek",IF(F2400&gt;100,"Orta","Düşük"))</f>
        <v>Yüksek</v>
      </c>
    </row>
    <row r="2401" customFormat="false" ht="12.8" hidden="false" customHeight="false" outlineLevel="0" collapsed="false">
      <c r="A2401" s="4" t="s">
        <v>23</v>
      </c>
      <c r="B2401" s="4" t="s">
        <v>17</v>
      </c>
      <c r="C2401" s="4" t="n">
        <v>37</v>
      </c>
      <c r="D2401" s="5" t="n">
        <v>21.5</v>
      </c>
      <c r="E2401" s="6" t="n">
        <f aca="false">DATE(2024,11,19)</f>
        <v>45615</v>
      </c>
      <c r="F2401" s="7" t="n">
        <f aca="false">C2401*D2401</f>
        <v>795.5</v>
      </c>
      <c r="G2401" s="7" t="n">
        <f aca="false">ROUND(F2401*0.2,2)</f>
        <v>159.1</v>
      </c>
      <c r="H2401" s="4" t="str">
        <f aca="false">IF(F2401&gt;500,"Yüksek",IF(F2401&gt;100,"Orta","Düşük"))</f>
        <v>Yüksek</v>
      </c>
    </row>
    <row r="2402" customFormat="false" ht="12.8" hidden="false" customHeight="false" outlineLevel="0" collapsed="false">
      <c r="A2402" s="4" t="s">
        <v>24</v>
      </c>
      <c r="B2402" s="4" t="s">
        <v>19</v>
      </c>
      <c r="C2402" s="4" t="n">
        <v>44</v>
      </c>
      <c r="D2402" s="5" t="n">
        <v>24.25</v>
      </c>
      <c r="E2402" s="6" t="n">
        <f aca="false">DATE(2024,12,20)</f>
        <v>45646</v>
      </c>
      <c r="F2402" s="7" t="n">
        <f aca="false">C2402*D2402</f>
        <v>1067</v>
      </c>
      <c r="G2402" s="7" t="n">
        <f aca="false">ROUND(F2402*0.2,2)</f>
        <v>213.4</v>
      </c>
      <c r="H2402" s="4" t="str">
        <f aca="false">IF(F2402&gt;500,"Yüksek",IF(F2402&gt;100,"Orta","Düşük"))</f>
        <v>Yüksek</v>
      </c>
    </row>
    <row r="2403" customFormat="false" ht="12.8" hidden="false" customHeight="false" outlineLevel="0" collapsed="false">
      <c r="A2403" s="4" t="s">
        <v>10</v>
      </c>
      <c r="B2403" s="4" t="s">
        <v>11</v>
      </c>
      <c r="C2403" s="4" t="n">
        <v>1</v>
      </c>
      <c r="D2403" s="5" t="n">
        <v>27</v>
      </c>
      <c r="E2403" s="6" t="n">
        <f aca="false">DATE(2024,1,21)</f>
        <v>45312</v>
      </c>
      <c r="F2403" s="7" t="n">
        <f aca="false">C2403*D2403</f>
        <v>27</v>
      </c>
      <c r="G2403" s="7" t="n">
        <f aca="false">ROUND(F2403*0.2,2)</f>
        <v>5.4</v>
      </c>
      <c r="H2403" s="4" t="str">
        <f aca="false">IF(F2403&gt;500,"Yüksek",IF(F2403&gt;100,"Orta","Düşük"))</f>
        <v>Düşük</v>
      </c>
    </row>
    <row r="2404" customFormat="false" ht="12.8" hidden="false" customHeight="false" outlineLevel="0" collapsed="false">
      <c r="A2404" s="4" t="s">
        <v>12</v>
      </c>
      <c r="B2404" s="4" t="s">
        <v>13</v>
      </c>
      <c r="C2404" s="4" t="n">
        <v>8</v>
      </c>
      <c r="D2404" s="5" t="n">
        <v>29.75</v>
      </c>
      <c r="E2404" s="6" t="n">
        <f aca="false">DATE(2024,2,22)</f>
        <v>45344</v>
      </c>
      <c r="F2404" s="7" t="n">
        <f aca="false">C2404*D2404</f>
        <v>238</v>
      </c>
      <c r="G2404" s="7" t="n">
        <f aca="false">ROUND(F2404*0.2,2)</f>
        <v>47.6</v>
      </c>
      <c r="H2404" s="4" t="str">
        <f aca="false">IF(F2404&gt;500,"Yüksek",IF(F2404&gt;100,"Orta","Düşük"))</f>
        <v>Orta</v>
      </c>
    </row>
    <row r="2405" customFormat="false" ht="12.8" hidden="false" customHeight="false" outlineLevel="0" collapsed="false">
      <c r="A2405" s="4" t="s">
        <v>14</v>
      </c>
      <c r="B2405" s="4" t="s">
        <v>15</v>
      </c>
      <c r="C2405" s="4" t="n">
        <v>15</v>
      </c>
      <c r="D2405" s="5" t="n">
        <v>32.5</v>
      </c>
      <c r="E2405" s="6" t="n">
        <f aca="false">DATE(2024,3,23)</f>
        <v>45374</v>
      </c>
      <c r="F2405" s="7" t="n">
        <f aca="false">C2405*D2405</f>
        <v>487.5</v>
      </c>
      <c r="G2405" s="7" t="n">
        <f aca="false">ROUND(F2405*0.2,2)</f>
        <v>97.5</v>
      </c>
      <c r="H2405" s="4" t="str">
        <f aca="false">IF(F2405&gt;500,"Yüksek",IF(F2405&gt;100,"Orta","Düşük"))</f>
        <v>Orta</v>
      </c>
    </row>
    <row r="2406" customFormat="false" ht="12.8" hidden="false" customHeight="false" outlineLevel="0" collapsed="false">
      <c r="A2406" s="4" t="s">
        <v>16</v>
      </c>
      <c r="B2406" s="4" t="s">
        <v>17</v>
      </c>
      <c r="C2406" s="4" t="n">
        <v>22</v>
      </c>
      <c r="D2406" s="5" t="n">
        <v>35.25</v>
      </c>
      <c r="E2406" s="6" t="n">
        <f aca="false">DATE(2024,4,24)</f>
        <v>45406</v>
      </c>
      <c r="F2406" s="7" t="n">
        <f aca="false">C2406*D2406</f>
        <v>775.5</v>
      </c>
      <c r="G2406" s="7" t="n">
        <f aca="false">ROUND(F2406*0.2,2)</f>
        <v>155.1</v>
      </c>
      <c r="H2406" s="4" t="str">
        <f aca="false">IF(F2406&gt;500,"Yüksek",IF(F2406&gt;100,"Orta","Düşük"))</f>
        <v>Yüksek</v>
      </c>
    </row>
    <row r="2407" customFormat="false" ht="12.8" hidden="false" customHeight="false" outlineLevel="0" collapsed="false">
      <c r="A2407" s="4" t="s">
        <v>18</v>
      </c>
      <c r="B2407" s="4" t="s">
        <v>19</v>
      </c>
      <c r="C2407" s="4" t="n">
        <v>29</v>
      </c>
      <c r="D2407" s="5" t="n">
        <v>38</v>
      </c>
      <c r="E2407" s="6" t="n">
        <f aca="false">DATE(2024,5,25)</f>
        <v>45437</v>
      </c>
      <c r="F2407" s="7" t="n">
        <f aca="false">C2407*D2407</f>
        <v>1102</v>
      </c>
      <c r="G2407" s="7" t="n">
        <f aca="false">ROUND(F2407*0.2,2)</f>
        <v>220.4</v>
      </c>
      <c r="H2407" s="4" t="str">
        <f aca="false">IF(F2407&gt;500,"Yüksek",IF(F2407&gt;100,"Orta","Düşük"))</f>
        <v>Yüksek</v>
      </c>
    </row>
    <row r="2408" customFormat="false" ht="12.8" hidden="false" customHeight="false" outlineLevel="0" collapsed="false">
      <c r="A2408" s="4" t="s">
        <v>20</v>
      </c>
      <c r="B2408" s="4" t="s">
        <v>11</v>
      </c>
      <c r="C2408" s="4" t="n">
        <v>36</v>
      </c>
      <c r="D2408" s="5" t="n">
        <v>5</v>
      </c>
      <c r="E2408" s="6" t="n">
        <f aca="false">DATE(2024,6,26)</f>
        <v>45469</v>
      </c>
      <c r="F2408" s="7" t="n">
        <f aca="false">C2408*D2408</f>
        <v>180</v>
      </c>
      <c r="G2408" s="7" t="n">
        <f aca="false">ROUND(F2408*0.2,2)</f>
        <v>36</v>
      </c>
      <c r="H2408" s="4" t="str">
        <f aca="false">IF(F2408&gt;500,"Yüksek",IF(F2408&gt;100,"Orta","Düşük"))</f>
        <v>Orta</v>
      </c>
    </row>
    <row r="2409" customFormat="false" ht="12.8" hidden="false" customHeight="false" outlineLevel="0" collapsed="false">
      <c r="A2409" s="4" t="s">
        <v>21</v>
      </c>
      <c r="B2409" s="4" t="s">
        <v>13</v>
      </c>
      <c r="C2409" s="4" t="n">
        <v>43</v>
      </c>
      <c r="D2409" s="5" t="n">
        <v>7.75</v>
      </c>
      <c r="E2409" s="6" t="n">
        <f aca="false">DATE(2024,7,27)</f>
        <v>45500</v>
      </c>
      <c r="F2409" s="7" t="n">
        <f aca="false">C2409*D2409</f>
        <v>333.25</v>
      </c>
      <c r="G2409" s="7" t="n">
        <f aca="false">ROUND(F2409*0.2,2)</f>
        <v>66.65</v>
      </c>
      <c r="H2409" s="4" t="str">
        <f aca="false">IF(F2409&gt;500,"Yüksek",IF(F2409&gt;100,"Orta","Düşük"))</f>
        <v>Orta</v>
      </c>
    </row>
    <row r="2410" customFormat="false" ht="12.8" hidden="false" customHeight="false" outlineLevel="0" collapsed="false">
      <c r="A2410" s="4" t="s">
        <v>22</v>
      </c>
      <c r="B2410" s="4" t="s">
        <v>15</v>
      </c>
      <c r="C2410" s="4" t="n">
        <v>50</v>
      </c>
      <c r="D2410" s="5" t="n">
        <v>10.5</v>
      </c>
      <c r="E2410" s="6" t="n">
        <f aca="false">DATE(2024,8,28)</f>
        <v>45532</v>
      </c>
      <c r="F2410" s="7" t="n">
        <f aca="false">C2410*D2410</f>
        <v>525</v>
      </c>
      <c r="G2410" s="7" t="n">
        <f aca="false">ROUND(F2410*0.2,2)</f>
        <v>105</v>
      </c>
      <c r="H2410" s="4" t="str">
        <f aca="false">IF(F2410&gt;500,"Yüksek",IF(F2410&gt;100,"Orta","Düşük"))</f>
        <v>Yüksek</v>
      </c>
    </row>
    <row r="2411" customFormat="false" ht="12.8" hidden="false" customHeight="false" outlineLevel="0" collapsed="false">
      <c r="A2411" s="4" t="s">
        <v>23</v>
      </c>
      <c r="B2411" s="4" t="s">
        <v>17</v>
      </c>
      <c r="C2411" s="4" t="n">
        <v>7</v>
      </c>
      <c r="D2411" s="5" t="n">
        <v>13.25</v>
      </c>
      <c r="E2411" s="6" t="n">
        <f aca="false">DATE(2024,9,1)</f>
        <v>45536</v>
      </c>
      <c r="F2411" s="7" t="n">
        <f aca="false">C2411*D2411</f>
        <v>92.75</v>
      </c>
      <c r="G2411" s="7" t="n">
        <f aca="false">ROUND(F2411*0.2,2)</f>
        <v>18.55</v>
      </c>
      <c r="H2411" s="4" t="str">
        <f aca="false">IF(F2411&gt;500,"Yüksek",IF(F2411&gt;100,"Orta","Düşük"))</f>
        <v>Düşük</v>
      </c>
    </row>
    <row r="2412" customFormat="false" ht="12.8" hidden="false" customHeight="false" outlineLevel="0" collapsed="false">
      <c r="A2412" s="4" t="s">
        <v>24</v>
      </c>
      <c r="B2412" s="4" t="s">
        <v>19</v>
      </c>
      <c r="C2412" s="4" t="n">
        <v>14</v>
      </c>
      <c r="D2412" s="5" t="n">
        <v>16</v>
      </c>
      <c r="E2412" s="6" t="n">
        <f aca="false">DATE(2024,10,2)</f>
        <v>45567</v>
      </c>
      <c r="F2412" s="7" t="n">
        <f aca="false">C2412*D2412</f>
        <v>224</v>
      </c>
      <c r="G2412" s="7" t="n">
        <f aca="false">ROUND(F2412*0.2,2)</f>
        <v>44.8</v>
      </c>
      <c r="H2412" s="4" t="str">
        <f aca="false">IF(F2412&gt;500,"Yüksek",IF(F2412&gt;100,"Orta","Düşük"))</f>
        <v>Orta</v>
      </c>
    </row>
    <row r="2413" customFormat="false" ht="12.8" hidden="false" customHeight="false" outlineLevel="0" collapsed="false">
      <c r="A2413" s="4" t="s">
        <v>10</v>
      </c>
      <c r="B2413" s="4" t="s">
        <v>11</v>
      </c>
      <c r="C2413" s="4" t="n">
        <v>21</v>
      </c>
      <c r="D2413" s="5" t="n">
        <v>18.75</v>
      </c>
      <c r="E2413" s="6" t="n">
        <f aca="false">DATE(2024,11,3)</f>
        <v>45599</v>
      </c>
      <c r="F2413" s="7" t="n">
        <f aca="false">C2413*D2413</f>
        <v>393.75</v>
      </c>
      <c r="G2413" s="7" t="n">
        <f aca="false">ROUND(F2413*0.2,2)</f>
        <v>78.75</v>
      </c>
      <c r="H2413" s="4" t="str">
        <f aca="false">IF(F2413&gt;500,"Yüksek",IF(F2413&gt;100,"Orta","Düşük"))</f>
        <v>Orta</v>
      </c>
    </row>
    <row r="2414" customFormat="false" ht="12.8" hidden="false" customHeight="false" outlineLevel="0" collapsed="false">
      <c r="A2414" s="4" t="s">
        <v>12</v>
      </c>
      <c r="B2414" s="4" t="s">
        <v>13</v>
      </c>
      <c r="C2414" s="4" t="n">
        <v>28</v>
      </c>
      <c r="D2414" s="5" t="n">
        <v>21.5</v>
      </c>
      <c r="E2414" s="6" t="n">
        <f aca="false">DATE(2024,12,4)</f>
        <v>45630</v>
      </c>
      <c r="F2414" s="7" t="n">
        <f aca="false">C2414*D2414</f>
        <v>602</v>
      </c>
      <c r="G2414" s="7" t="n">
        <f aca="false">ROUND(F2414*0.2,2)</f>
        <v>120.4</v>
      </c>
      <c r="H2414" s="4" t="str">
        <f aca="false">IF(F2414&gt;500,"Yüksek",IF(F2414&gt;100,"Orta","Düşük"))</f>
        <v>Yüksek</v>
      </c>
    </row>
    <row r="2415" customFormat="false" ht="12.8" hidden="false" customHeight="false" outlineLevel="0" collapsed="false">
      <c r="A2415" s="4" t="s">
        <v>14</v>
      </c>
      <c r="B2415" s="4" t="s">
        <v>15</v>
      </c>
      <c r="C2415" s="4" t="n">
        <v>35</v>
      </c>
      <c r="D2415" s="5" t="n">
        <v>24.25</v>
      </c>
      <c r="E2415" s="6" t="n">
        <f aca="false">DATE(2024,1,5)</f>
        <v>45296</v>
      </c>
      <c r="F2415" s="7" t="n">
        <f aca="false">C2415*D2415</f>
        <v>848.75</v>
      </c>
      <c r="G2415" s="7" t="n">
        <f aca="false">ROUND(F2415*0.2,2)</f>
        <v>169.75</v>
      </c>
      <c r="H2415" s="4" t="str">
        <f aca="false">IF(F2415&gt;500,"Yüksek",IF(F2415&gt;100,"Orta","Düşük"))</f>
        <v>Yüksek</v>
      </c>
    </row>
    <row r="2416" customFormat="false" ht="12.8" hidden="false" customHeight="false" outlineLevel="0" collapsed="false">
      <c r="A2416" s="4" t="s">
        <v>16</v>
      </c>
      <c r="B2416" s="4" t="s">
        <v>17</v>
      </c>
      <c r="C2416" s="4" t="n">
        <v>42</v>
      </c>
      <c r="D2416" s="5" t="n">
        <v>27</v>
      </c>
      <c r="E2416" s="6" t="n">
        <f aca="false">DATE(2024,2,6)</f>
        <v>45328</v>
      </c>
      <c r="F2416" s="7" t="n">
        <f aca="false">C2416*D2416</f>
        <v>1134</v>
      </c>
      <c r="G2416" s="7" t="n">
        <f aca="false">ROUND(F2416*0.2,2)</f>
        <v>226.8</v>
      </c>
      <c r="H2416" s="4" t="str">
        <f aca="false">IF(F2416&gt;500,"Yüksek",IF(F2416&gt;100,"Orta","Düşük"))</f>
        <v>Yüksek</v>
      </c>
    </row>
    <row r="2417" customFormat="false" ht="12.8" hidden="false" customHeight="false" outlineLevel="0" collapsed="false">
      <c r="A2417" s="4" t="s">
        <v>18</v>
      </c>
      <c r="B2417" s="4" t="s">
        <v>19</v>
      </c>
      <c r="C2417" s="4" t="n">
        <v>49</v>
      </c>
      <c r="D2417" s="5" t="n">
        <v>29.75</v>
      </c>
      <c r="E2417" s="6" t="n">
        <f aca="false">DATE(2024,3,7)</f>
        <v>45358</v>
      </c>
      <c r="F2417" s="7" t="n">
        <f aca="false">C2417*D2417</f>
        <v>1457.75</v>
      </c>
      <c r="G2417" s="7" t="n">
        <f aca="false">ROUND(F2417*0.2,2)</f>
        <v>291.55</v>
      </c>
      <c r="H2417" s="4" t="str">
        <f aca="false">IF(F2417&gt;500,"Yüksek",IF(F2417&gt;100,"Orta","Düşük"))</f>
        <v>Yüksek</v>
      </c>
    </row>
    <row r="2418" customFormat="false" ht="12.8" hidden="false" customHeight="false" outlineLevel="0" collapsed="false">
      <c r="A2418" s="4" t="s">
        <v>20</v>
      </c>
      <c r="B2418" s="4" t="s">
        <v>11</v>
      </c>
      <c r="C2418" s="4" t="n">
        <v>6</v>
      </c>
      <c r="D2418" s="5" t="n">
        <v>32.5</v>
      </c>
      <c r="E2418" s="6" t="n">
        <f aca="false">DATE(2024,4,8)</f>
        <v>45390</v>
      </c>
      <c r="F2418" s="7" t="n">
        <f aca="false">C2418*D2418</f>
        <v>195</v>
      </c>
      <c r="G2418" s="7" t="n">
        <f aca="false">ROUND(F2418*0.2,2)</f>
        <v>39</v>
      </c>
      <c r="H2418" s="4" t="str">
        <f aca="false">IF(F2418&gt;500,"Yüksek",IF(F2418&gt;100,"Orta","Düşük"))</f>
        <v>Orta</v>
      </c>
    </row>
    <row r="2419" customFormat="false" ht="12.8" hidden="false" customHeight="false" outlineLevel="0" collapsed="false">
      <c r="A2419" s="4" t="s">
        <v>21</v>
      </c>
      <c r="B2419" s="4" t="s">
        <v>13</v>
      </c>
      <c r="C2419" s="4" t="n">
        <v>13</v>
      </c>
      <c r="D2419" s="5" t="n">
        <v>35.25</v>
      </c>
      <c r="E2419" s="6" t="n">
        <f aca="false">DATE(2024,5,9)</f>
        <v>45421</v>
      </c>
      <c r="F2419" s="7" t="n">
        <f aca="false">C2419*D2419</f>
        <v>458.25</v>
      </c>
      <c r="G2419" s="7" t="n">
        <f aca="false">ROUND(F2419*0.2,2)</f>
        <v>91.65</v>
      </c>
      <c r="H2419" s="4" t="str">
        <f aca="false">IF(F2419&gt;500,"Yüksek",IF(F2419&gt;100,"Orta","Düşük"))</f>
        <v>Orta</v>
      </c>
    </row>
    <row r="2420" customFormat="false" ht="12.8" hidden="false" customHeight="false" outlineLevel="0" collapsed="false">
      <c r="A2420" s="4" t="s">
        <v>22</v>
      </c>
      <c r="B2420" s="4" t="s">
        <v>15</v>
      </c>
      <c r="C2420" s="4" t="n">
        <v>20</v>
      </c>
      <c r="D2420" s="5" t="n">
        <v>38</v>
      </c>
      <c r="E2420" s="6" t="n">
        <f aca="false">DATE(2024,6,10)</f>
        <v>45453</v>
      </c>
      <c r="F2420" s="7" t="n">
        <f aca="false">C2420*D2420</f>
        <v>760</v>
      </c>
      <c r="G2420" s="7" t="n">
        <f aca="false">ROUND(F2420*0.2,2)</f>
        <v>152</v>
      </c>
      <c r="H2420" s="4" t="str">
        <f aca="false">IF(F2420&gt;500,"Yüksek",IF(F2420&gt;100,"Orta","Düşük"))</f>
        <v>Yüksek</v>
      </c>
    </row>
    <row r="2421" customFormat="false" ht="12.8" hidden="false" customHeight="false" outlineLevel="0" collapsed="false">
      <c r="A2421" s="4" t="s">
        <v>23</v>
      </c>
      <c r="B2421" s="4" t="s">
        <v>17</v>
      </c>
      <c r="C2421" s="4" t="n">
        <v>27</v>
      </c>
      <c r="D2421" s="5" t="n">
        <v>5</v>
      </c>
      <c r="E2421" s="6" t="n">
        <f aca="false">DATE(2024,7,11)</f>
        <v>45484</v>
      </c>
      <c r="F2421" s="7" t="n">
        <f aca="false">C2421*D2421</f>
        <v>135</v>
      </c>
      <c r="G2421" s="7" t="n">
        <f aca="false">ROUND(F2421*0.2,2)</f>
        <v>27</v>
      </c>
      <c r="H2421" s="4" t="str">
        <f aca="false">IF(F2421&gt;500,"Yüksek",IF(F2421&gt;100,"Orta","Düşük"))</f>
        <v>Orta</v>
      </c>
    </row>
    <row r="2422" customFormat="false" ht="12.8" hidden="false" customHeight="false" outlineLevel="0" collapsed="false">
      <c r="A2422" s="4" t="s">
        <v>24</v>
      </c>
      <c r="B2422" s="4" t="s">
        <v>19</v>
      </c>
      <c r="C2422" s="4" t="n">
        <v>34</v>
      </c>
      <c r="D2422" s="5" t="n">
        <v>7.75</v>
      </c>
      <c r="E2422" s="6" t="n">
        <f aca="false">DATE(2024,8,12)</f>
        <v>45516</v>
      </c>
      <c r="F2422" s="7" t="n">
        <f aca="false">C2422*D2422</f>
        <v>263.5</v>
      </c>
      <c r="G2422" s="7" t="n">
        <f aca="false">ROUND(F2422*0.2,2)</f>
        <v>52.7</v>
      </c>
      <c r="H2422" s="4" t="str">
        <f aca="false">IF(F2422&gt;500,"Yüksek",IF(F2422&gt;100,"Orta","Düşük"))</f>
        <v>Orta</v>
      </c>
    </row>
    <row r="2423" customFormat="false" ht="12.8" hidden="false" customHeight="false" outlineLevel="0" collapsed="false">
      <c r="A2423" s="4" t="s">
        <v>10</v>
      </c>
      <c r="B2423" s="4" t="s">
        <v>11</v>
      </c>
      <c r="C2423" s="4" t="n">
        <v>41</v>
      </c>
      <c r="D2423" s="5" t="n">
        <v>10.5</v>
      </c>
      <c r="E2423" s="6" t="n">
        <f aca="false">DATE(2024,9,13)</f>
        <v>45548</v>
      </c>
      <c r="F2423" s="7" t="n">
        <f aca="false">C2423*D2423</f>
        <v>430.5</v>
      </c>
      <c r="G2423" s="7" t="n">
        <f aca="false">ROUND(F2423*0.2,2)</f>
        <v>86.1</v>
      </c>
      <c r="H2423" s="4" t="str">
        <f aca="false">IF(F2423&gt;500,"Yüksek",IF(F2423&gt;100,"Orta","Düşük"))</f>
        <v>Orta</v>
      </c>
    </row>
    <row r="2424" customFormat="false" ht="12.8" hidden="false" customHeight="false" outlineLevel="0" collapsed="false">
      <c r="A2424" s="4" t="s">
        <v>12</v>
      </c>
      <c r="B2424" s="4" t="s">
        <v>13</v>
      </c>
      <c r="C2424" s="4" t="n">
        <v>48</v>
      </c>
      <c r="D2424" s="5" t="n">
        <v>13.25</v>
      </c>
      <c r="E2424" s="6" t="n">
        <f aca="false">DATE(2024,10,14)</f>
        <v>45579</v>
      </c>
      <c r="F2424" s="7" t="n">
        <f aca="false">C2424*D2424</f>
        <v>636</v>
      </c>
      <c r="G2424" s="7" t="n">
        <f aca="false">ROUND(F2424*0.2,2)</f>
        <v>127.2</v>
      </c>
      <c r="H2424" s="4" t="str">
        <f aca="false">IF(F2424&gt;500,"Yüksek",IF(F2424&gt;100,"Orta","Düşük"))</f>
        <v>Yüksek</v>
      </c>
    </row>
    <row r="2425" customFormat="false" ht="12.8" hidden="false" customHeight="false" outlineLevel="0" collapsed="false">
      <c r="A2425" s="4" t="s">
        <v>14</v>
      </c>
      <c r="B2425" s="4" t="s">
        <v>15</v>
      </c>
      <c r="C2425" s="4" t="n">
        <v>5</v>
      </c>
      <c r="D2425" s="5" t="n">
        <v>16</v>
      </c>
      <c r="E2425" s="6" t="n">
        <f aca="false">DATE(2024,11,15)</f>
        <v>45611</v>
      </c>
      <c r="F2425" s="7" t="n">
        <f aca="false">C2425*D2425</f>
        <v>80</v>
      </c>
      <c r="G2425" s="7" t="n">
        <f aca="false">ROUND(F2425*0.2,2)</f>
        <v>16</v>
      </c>
      <c r="H2425" s="4" t="str">
        <f aca="false">IF(F2425&gt;500,"Yüksek",IF(F2425&gt;100,"Orta","Düşük"))</f>
        <v>Düşük</v>
      </c>
    </row>
    <row r="2426" customFormat="false" ht="12.8" hidden="false" customHeight="false" outlineLevel="0" collapsed="false">
      <c r="A2426" s="4" t="s">
        <v>16</v>
      </c>
      <c r="B2426" s="4" t="s">
        <v>17</v>
      </c>
      <c r="C2426" s="4" t="n">
        <v>12</v>
      </c>
      <c r="D2426" s="5" t="n">
        <v>18.75</v>
      </c>
      <c r="E2426" s="6" t="n">
        <f aca="false">DATE(2024,12,16)</f>
        <v>45642</v>
      </c>
      <c r="F2426" s="7" t="n">
        <f aca="false">C2426*D2426</f>
        <v>225</v>
      </c>
      <c r="G2426" s="7" t="n">
        <f aca="false">ROUND(F2426*0.2,2)</f>
        <v>45</v>
      </c>
      <c r="H2426" s="4" t="str">
        <f aca="false">IF(F2426&gt;500,"Yüksek",IF(F2426&gt;100,"Orta","Düşük"))</f>
        <v>Orta</v>
      </c>
    </row>
    <row r="2427" customFormat="false" ht="12.8" hidden="false" customHeight="false" outlineLevel="0" collapsed="false">
      <c r="A2427" s="4" t="s">
        <v>18</v>
      </c>
      <c r="B2427" s="4" t="s">
        <v>19</v>
      </c>
      <c r="C2427" s="4" t="n">
        <v>19</v>
      </c>
      <c r="D2427" s="5" t="n">
        <v>21.5</v>
      </c>
      <c r="E2427" s="6" t="n">
        <f aca="false">DATE(2024,1,17)</f>
        <v>45308</v>
      </c>
      <c r="F2427" s="7" t="n">
        <f aca="false">C2427*D2427</f>
        <v>408.5</v>
      </c>
      <c r="G2427" s="7" t="n">
        <f aca="false">ROUND(F2427*0.2,2)</f>
        <v>81.7</v>
      </c>
      <c r="H2427" s="4" t="str">
        <f aca="false">IF(F2427&gt;500,"Yüksek",IF(F2427&gt;100,"Orta","Düşük"))</f>
        <v>Orta</v>
      </c>
    </row>
    <row r="2428" customFormat="false" ht="12.8" hidden="false" customHeight="false" outlineLevel="0" collapsed="false">
      <c r="A2428" s="4" t="s">
        <v>20</v>
      </c>
      <c r="B2428" s="4" t="s">
        <v>11</v>
      </c>
      <c r="C2428" s="4" t="n">
        <v>26</v>
      </c>
      <c r="D2428" s="5" t="n">
        <v>24.25</v>
      </c>
      <c r="E2428" s="6" t="n">
        <f aca="false">DATE(2024,2,18)</f>
        <v>45340</v>
      </c>
      <c r="F2428" s="7" t="n">
        <f aca="false">C2428*D2428</f>
        <v>630.5</v>
      </c>
      <c r="G2428" s="7" t="n">
        <f aca="false">ROUND(F2428*0.2,2)</f>
        <v>126.1</v>
      </c>
      <c r="H2428" s="4" t="str">
        <f aca="false">IF(F2428&gt;500,"Yüksek",IF(F2428&gt;100,"Orta","Düşük"))</f>
        <v>Yüksek</v>
      </c>
    </row>
    <row r="2429" customFormat="false" ht="12.8" hidden="false" customHeight="false" outlineLevel="0" collapsed="false">
      <c r="A2429" s="4" t="s">
        <v>21</v>
      </c>
      <c r="B2429" s="4" t="s">
        <v>13</v>
      </c>
      <c r="C2429" s="4" t="n">
        <v>33</v>
      </c>
      <c r="D2429" s="5" t="n">
        <v>27</v>
      </c>
      <c r="E2429" s="6" t="n">
        <f aca="false">DATE(2024,3,19)</f>
        <v>45370</v>
      </c>
      <c r="F2429" s="7" t="n">
        <f aca="false">C2429*D2429</f>
        <v>891</v>
      </c>
      <c r="G2429" s="7" t="n">
        <f aca="false">ROUND(F2429*0.2,2)</f>
        <v>178.2</v>
      </c>
      <c r="H2429" s="4" t="str">
        <f aca="false">IF(F2429&gt;500,"Yüksek",IF(F2429&gt;100,"Orta","Düşük"))</f>
        <v>Yüksek</v>
      </c>
    </row>
    <row r="2430" customFormat="false" ht="12.8" hidden="false" customHeight="false" outlineLevel="0" collapsed="false">
      <c r="A2430" s="4" t="s">
        <v>22</v>
      </c>
      <c r="B2430" s="4" t="s">
        <v>15</v>
      </c>
      <c r="C2430" s="4" t="n">
        <v>40</v>
      </c>
      <c r="D2430" s="5" t="n">
        <v>29.75</v>
      </c>
      <c r="E2430" s="6" t="n">
        <f aca="false">DATE(2024,4,20)</f>
        <v>45402</v>
      </c>
      <c r="F2430" s="7" t="n">
        <f aca="false">C2430*D2430</f>
        <v>1190</v>
      </c>
      <c r="G2430" s="7" t="n">
        <f aca="false">ROUND(F2430*0.2,2)</f>
        <v>238</v>
      </c>
      <c r="H2430" s="4" t="str">
        <f aca="false">IF(F2430&gt;500,"Yüksek",IF(F2430&gt;100,"Orta","Düşük"))</f>
        <v>Yüksek</v>
      </c>
    </row>
    <row r="2431" customFormat="false" ht="12.8" hidden="false" customHeight="false" outlineLevel="0" collapsed="false">
      <c r="A2431" s="4" t="s">
        <v>23</v>
      </c>
      <c r="B2431" s="4" t="s">
        <v>17</v>
      </c>
      <c r="C2431" s="4" t="n">
        <v>47</v>
      </c>
      <c r="D2431" s="5" t="n">
        <v>32.5</v>
      </c>
      <c r="E2431" s="6" t="n">
        <f aca="false">DATE(2024,5,21)</f>
        <v>45433</v>
      </c>
      <c r="F2431" s="7" t="n">
        <f aca="false">C2431*D2431</f>
        <v>1527.5</v>
      </c>
      <c r="G2431" s="7" t="n">
        <f aca="false">ROUND(F2431*0.2,2)</f>
        <v>305.5</v>
      </c>
      <c r="H2431" s="4" t="str">
        <f aca="false">IF(F2431&gt;500,"Yüksek",IF(F2431&gt;100,"Orta","Düşük"))</f>
        <v>Yüksek</v>
      </c>
    </row>
    <row r="2432" customFormat="false" ht="12.8" hidden="false" customHeight="false" outlineLevel="0" collapsed="false">
      <c r="A2432" s="4" t="s">
        <v>24</v>
      </c>
      <c r="B2432" s="4" t="s">
        <v>19</v>
      </c>
      <c r="C2432" s="4" t="n">
        <v>4</v>
      </c>
      <c r="D2432" s="5" t="n">
        <v>35.25</v>
      </c>
      <c r="E2432" s="6" t="n">
        <f aca="false">DATE(2024,6,22)</f>
        <v>45465</v>
      </c>
      <c r="F2432" s="7" t="n">
        <f aca="false">C2432*D2432</f>
        <v>141</v>
      </c>
      <c r="G2432" s="7" t="n">
        <f aca="false">ROUND(F2432*0.2,2)</f>
        <v>28.2</v>
      </c>
      <c r="H2432" s="4" t="str">
        <f aca="false">IF(F2432&gt;500,"Yüksek",IF(F2432&gt;100,"Orta","Düşük"))</f>
        <v>Orta</v>
      </c>
    </row>
    <row r="2433" customFormat="false" ht="12.8" hidden="false" customHeight="false" outlineLevel="0" collapsed="false">
      <c r="A2433" s="4" t="s">
        <v>10</v>
      </c>
      <c r="B2433" s="4" t="s">
        <v>11</v>
      </c>
      <c r="C2433" s="4" t="n">
        <v>11</v>
      </c>
      <c r="D2433" s="5" t="n">
        <v>38</v>
      </c>
      <c r="E2433" s="6" t="n">
        <f aca="false">DATE(2024,7,23)</f>
        <v>45496</v>
      </c>
      <c r="F2433" s="7" t="n">
        <f aca="false">C2433*D2433</f>
        <v>418</v>
      </c>
      <c r="G2433" s="7" t="n">
        <f aca="false">ROUND(F2433*0.2,2)</f>
        <v>83.6</v>
      </c>
      <c r="H2433" s="4" t="str">
        <f aca="false">IF(F2433&gt;500,"Yüksek",IF(F2433&gt;100,"Orta","Düşük"))</f>
        <v>Orta</v>
      </c>
    </row>
    <row r="2434" customFormat="false" ht="12.8" hidden="false" customHeight="false" outlineLevel="0" collapsed="false">
      <c r="A2434" s="4" t="s">
        <v>12</v>
      </c>
      <c r="B2434" s="4" t="s">
        <v>13</v>
      </c>
      <c r="C2434" s="4" t="n">
        <v>18</v>
      </c>
      <c r="D2434" s="5" t="n">
        <v>5</v>
      </c>
      <c r="E2434" s="6" t="n">
        <f aca="false">DATE(2024,8,24)</f>
        <v>45528</v>
      </c>
      <c r="F2434" s="7" t="n">
        <f aca="false">C2434*D2434</f>
        <v>90</v>
      </c>
      <c r="G2434" s="7" t="n">
        <f aca="false">ROUND(F2434*0.2,2)</f>
        <v>18</v>
      </c>
      <c r="H2434" s="4" t="str">
        <f aca="false">IF(F2434&gt;500,"Yüksek",IF(F2434&gt;100,"Orta","Düşük"))</f>
        <v>Düşük</v>
      </c>
    </row>
    <row r="2435" customFormat="false" ht="12.8" hidden="false" customHeight="false" outlineLevel="0" collapsed="false">
      <c r="A2435" s="4" t="s">
        <v>14</v>
      </c>
      <c r="B2435" s="4" t="s">
        <v>15</v>
      </c>
      <c r="C2435" s="4" t="n">
        <v>25</v>
      </c>
      <c r="D2435" s="5" t="n">
        <v>7.75</v>
      </c>
      <c r="E2435" s="6" t="n">
        <f aca="false">DATE(2024,9,25)</f>
        <v>45560</v>
      </c>
      <c r="F2435" s="7" t="n">
        <f aca="false">C2435*D2435</f>
        <v>193.75</v>
      </c>
      <c r="G2435" s="7" t="n">
        <f aca="false">ROUND(F2435*0.2,2)</f>
        <v>38.75</v>
      </c>
      <c r="H2435" s="4" t="str">
        <f aca="false">IF(F2435&gt;500,"Yüksek",IF(F2435&gt;100,"Orta","Düşük"))</f>
        <v>Orta</v>
      </c>
    </row>
    <row r="2436" customFormat="false" ht="12.8" hidden="false" customHeight="false" outlineLevel="0" collapsed="false">
      <c r="A2436" s="4" t="s">
        <v>16</v>
      </c>
      <c r="B2436" s="4" t="s">
        <v>17</v>
      </c>
      <c r="C2436" s="4" t="n">
        <v>32</v>
      </c>
      <c r="D2436" s="5" t="n">
        <v>10.5</v>
      </c>
      <c r="E2436" s="6" t="n">
        <f aca="false">DATE(2024,10,26)</f>
        <v>45591</v>
      </c>
      <c r="F2436" s="7" t="n">
        <f aca="false">C2436*D2436</f>
        <v>336</v>
      </c>
      <c r="G2436" s="7" t="n">
        <f aca="false">ROUND(F2436*0.2,2)</f>
        <v>67.2</v>
      </c>
      <c r="H2436" s="4" t="str">
        <f aca="false">IF(F2436&gt;500,"Yüksek",IF(F2436&gt;100,"Orta","Düşük"))</f>
        <v>Orta</v>
      </c>
    </row>
    <row r="2437" customFormat="false" ht="12.8" hidden="false" customHeight="false" outlineLevel="0" collapsed="false">
      <c r="A2437" s="4" t="s">
        <v>18</v>
      </c>
      <c r="B2437" s="4" t="s">
        <v>19</v>
      </c>
      <c r="C2437" s="4" t="n">
        <v>39</v>
      </c>
      <c r="D2437" s="5" t="n">
        <v>13.25</v>
      </c>
      <c r="E2437" s="6" t="n">
        <f aca="false">DATE(2024,11,27)</f>
        <v>45623</v>
      </c>
      <c r="F2437" s="7" t="n">
        <f aca="false">C2437*D2437</f>
        <v>516.75</v>
      </c>
      <c r="G2437" s="7" t="n">
        <f aca="false">ROUND(F2437*0.2,2)</f>
        <v>103.35</v>
      </c>
      <c r="H2437" s="4" t="str">
        <f aca="false">IF(F2437&gt;500,"Yüksek",IF(F2437&gt;100,"Orta","Düşük"))</f>
        <v>Yüksek</v>
      </c>
    </row>
    <row r="2438" customFormat="false" ht="12.8" hidden="false" customHeight="false" outlineLevel="0" collapsed="false">
      <c r="A2438" s="4" t="s">
        <v>20</v>
      </c>
      <c r="B2438" s="4" t="s">
        <v>11</v>
      </c>
      <c r="C2438" s="4" t="n">
        <v>46</v>
      </c>
      <c r="D2438" s="5" t="n">
        <v>16</v>
      </c>
      <c r="E2438" s="6" t="n">
        <f aca="false">DATE(2024,12,28)</f>
        <v>45654</v>
      </c>
      <c r="F2438" s="7" t="n">
        <f aca="false">C2438*D2438</f>
        <v>736</v>
      </c>
      <c r="G2438" s="7" t="n">
        <f aca="false">ROUND(F2438*0.2,2)</f>
        <v>147.2</v>
      </c>
      <c r="H2438" s="4" t="str">
        <f aca="false">IF(F2438&gt;500,"Yüksek",IF(F2438&gt;100,"Orta","Düşük"))</f>
        <v>Yüksek</v>
      </c>
    </row>
    <row r="2439" customFormat="false" ht="12.8" hidden="false" customHeight="false" outlineLevel="0" collapsed="false">
      <c r="A2439" s="4" t="s">
        <v>21</v>
      </c>
      <c r="B2439" s="4" t="s">
        <v>13</v>
      </c>
      <c r="C2439" s="4" t="n">
        <v>3</v>
      </c>
      <c r="D2439" s="5" t="n">
        <v>18.75</v>
      </c>
      <c r="E2439" s="6" t="n">
        <f aca="false">DATE(2024,1,1)</f>
        <v>45292</v>
      </c>
      <c r="F2439" s="7" t="n">
        <f aca="false">C2439*D2439</f>
        <v>56.25</v>
      </c>
      <c r="G2439" s="7" t="n">
        <f aca="false">ROUND(F2439*0.2,2)</f>
        <v>11.25</v>
      </c>
      <c r="H2439" s="4" t="str">
        <f aca="false">IF(F2439&gt;500,"Yüksek",IF(F2439&gt;100,"Orta","Düşük"))</f>
        <v>Düşük</v>
      </c>
    </row>
    <row r="2440" customFormat="false" ht="12.8" hidden="false" customHeight="false" outlineLevel="0" collapsed="false">
      <c r="A2440" s="4" t="s">
        <v>22</v>
      </c>
      <c r="B2440" s="4" t="s">
        <v>15</v>
      </c>
      <c r="C2440" s="4" t="n">
        <v>10</v>
      </c>
      <c r="D2440" s="5" t="n">
        <v>21.5</v>
      </c>
      <c r="E2440" s="6" t="n">
        <f aca="false">DATE(2024,2,2)</f>
        <v>45324</v>
      </c>
      <c r="F2440" s="7" t="n">
        <f aca="false">C2440*D2440</f>
        <v>215</v>
      </c>
      <c r="G2440" s="7" t="n">
        <f aca="false">ROUND(F2440*0.2,2)</f>
        <v>43</v>
      </c>
      <c r="H2440" s="4" t="str">
        <f aca="false">IF(F2440&gt;500,"Yüksek",IF(F2440&gt;100,"Orta","Düşük"))</f>
        <v>Orta</v>
      </c>
    </row>
    <row r="2441" customFormat="false" ht="12.8" hidden="false" customHeight="false" outlineLevel="0" collapsed="false">
      <c r="A2441" s="4" t="s">
        <v>23</v>
      </c>
      <c r="B2441" s="4" t="s">
        <v>17</v>
      </c>
      <c r="C2441" s="4" t="n">
        <v>17</v>
      </c>
      <c r="D2441" s="5" t="n">
        <v>24.25</v>
      </c>
      <c r="E2441" s="6" t="n">
        <f aca="false">DATE(2024,3,3)</f>
        <v>45354</v>
      </c>
      <c r="F2441" s="7" t="n">
        <f aca="false">C2441*D2441</f>
        <v>412.25</v>
      </c>
      <c r="G2441" s="7" t="n">
        <f aca="false">ROUND(F2441*0.2,2)</f>
        <v>82.45</v>
      </c>
      <c r="H2441" s="4" t="str">
        <f aca="false">IF(F2441&gt;500,"Yüksek",IF(F2441&gt;100,"Orta","Düşük"))</f>
        <v>Orta</v>
      </c>
    </row>
    <row r="2442" customFormat="false" ht="12.8" hidden="false" customHeight="false" outlineLevel="0" collapsed="false">
      <c r="A2442" s="4" t="s">
        <v>24</v>
      </c>
      <c r="B2442" s="4" t="s">
        <v>19</v>
      </c>
      <c r="C2442" s="4" t="n">
        <v>24</v>
      </c>
      <c r="D2442" s="5" t="n">
        <v>27</v>
      </c>
      <c r="E2442" s="6" t="n">
        <f aca="false">DATE(2024,4,4)</f>
        <v>45386</v>
      </c>
      <c r="F2442" s="7" t="n">
        <f aca="false">C2442*D2442</f>
        <v>648</v>
      </c>
      <c r="G2442" s="7" t="n">
        <f aca="false">ROUND(F2442*0.2,2)</f>
        <v>129.6</v>
      </c>
      <c r="H2442" s="4" t="str">
        <f aca="false">IF(F2442&gt;500,"Yüksek",IF(F2442&gt;100,"Orta","Düşük"))</f>
        <v>Yüksek</v>
      </c>
    </row>
    <row r="2443" customFormat="false" ht="12.8" hidden="false" customHeight="false" outlineLevel="0" collapsed="false">
      <c r="A2443" s="4" t="s">
        <v>10</v>
      </c>
      <c r="B2443" s="4" t="s">
        <v>11</v>
      </c>
      <c r="C2443" s="4" t="n">
        <v>31</v>
      </c>
      <c r="D2443" s="5" t="n">
        <v>29.75</v>
      </c>
      <c r="E2443" s="6" t="n">
        <f aca="false">DATE(2024,5,5)</f>
        <v>45417</v>
      </c>
      <c r="F2443" s="7" t="n">
        <f aca="false">C2443*D2443</f>
        <v>922.25</v>
      </c>
      <c r="G2443" s="7" t="n">
        <f aca="false">ROUND(F2443*0.2,2)</f>
        <v>184.45</v>
      </c>
      <c r="H2443" s="4" t="str">
        <f aca="false">IF(F2443&gt;500,"Yüksek",IF(F2443&gt;100,"Orta","Düşük"))</f>
        <v>Yüksek</v>
      </c>
    </row>
    <row r="2444" customFormat="false" ht="12.8" hidden="false" customHeight="false" outlineLevel="0" collapsed="false">
      <c r="A2444" s="4" t="s">
        <v>12</v>
      </c>
      <c r="B2444" s="4" t="s">
        <v>13</v>
      </c>
      <c r="C2444" s="4" t="n">
        <v>38</v>
      </c>
      <c r="D2444" s="5" t="n">
        <v>32.5</v>
      </c>
      <c r="E2444" s="6" t="n">
        <f aca="false">DATE(2024,6,6)</f>
        <v>45449</v>
      </c>
      <c r="F2444" s="7" t="n">
        <f aca="false">C2444*D2444</f>
        <v>1235</v>
      </c>
      <c r="G2444" s="7" t="n">
        <f aca="false">ROUND(F2444*0.2,2)</f>
        <v>247</v>
      </c>
      <c r="H2444" s="4" t="str">
        <f aca="false">IF(F2444&gt;500,"Yüksek",IF(F2444&gt;100,"Orta","Düşük"))</f>
        <v>Yüksek</v>
      </c>
    </row>
    <row r="2445" customFormat="false" ht="12.8" hidden="false" customHeight="false" outlineLevel="0" collapsed="false">
      <c r="A2445" s="4" t="s">
        <v>14</v>
      </c>
      <c r="B2445" s="4" t="s">
        <v>15</v>
      </c>
      <c r="C2445" s="4" t="n">
        <v>45</v>
      </c>
      <c r="D2445" s="5" t="n">
        <v>35.25</v>
      </c>
      <c r="E2445" s="6" t="n">
        <f aca="false">DATE(2024,7,7)</f>
        <v>45480</v>
      </c>
      <c r="F2445" s="7" t="n">
        <f aca="false">C2445*D2445</f>
        <v>1586.25</v>
      </c>
      <c r="G2445" s="7" t="n">
        <f aca="false">ROUND(F2445*0.2,2)</f>
        <v>317.25</v>
      </c>
      <c r="H2445" s="4" t="str">
        <f aca="false">IF(F2445&gt;500,"Yüksek",IF(F2445&gt;100,"Orta","Düşük"))</f>
        <v>Yüksek</v>
      </c>
    </row>
    <row r="2446" customFormat="false" ht="12.8" hidden="false" customHeight="false" outlineLevel="0" collapsed="false">
      <c r="A2446" s="4" t="s">
        <v>16</v>
      </c>
      <c r="B2446" s="4" t="s">
        <v>17</v>
      </c>
      <c r="C2446" s="4" t="n">
        <v>2</v>
      </c>
      <c r="D2446" s="5" t="n">
        <v>38</v>
      </c>
      <c r="E2446" s="6" t="n">
        <f aca="false">DATE(2024,8,8)</f>
        <v>45512</v>
      </c>
      <c r="F2446" s="7" t="n">
        <f aca="false">C2446*D2446</f>
        <v>76</v>
      </c>
      <c r="G2446" s="7" t="n">
        <f aca="false">ROUND(F2446*0.2,2)</f>
        <v>15.2</v>
      </c>
      <c r="H2446" s="4" t="str">
        <f aca="false">IF(F2446&gt;500,"Yüksek",IF(F2446&gt;100,"Orta","Düşük"))</f>
        <v>Düşük</v>
      </c>
    </row>
    <row r="2447" customFormat="false" ht="12.8" hidden="false" customHeight="false" outlineLevel="0" collapsed="false">
      <c r="A2447" s="4" t="s">
        <v>18</v>
      </c>
      <c r="B2447" s="4" t="s">
        <v>19</v>
      </c>
      <c r="C2447" s="4" t="n">
        <v>9</v>
      </c>
      <c r="D2447" s="5" t="n">
        <v>5</v>
      </c>
      <c r="E2447" s="6" t="n">
        <f aca="false">DATE(2024,9,9)</f>
        <v>45544</v>
      </c>
      <c r="F2447" s="7" t="n">
        <f aca="false">C2447*D2447</f>
        <v>45</v>
      </c>
      <c r="G2447" s="7" t="n">
        <f aca="false">ROUND(F2447*0.2,2)</f>
        <v>9</v>
      </c>
      <c r="H2447" s="4" t="str">
        <f aca="false">IF(F2447&gt;500,"Yüksek",IF(F2447&gt;100,"Orta","Düşük"))</f>
        <v>Düşük</v>
      </c>
    </row>
    <row r="2448" customFormat="false" ht="12.8" hidden="false" customHeight="false" outlineLevel="0" collapsed="false">
      <c r="A2448" s="4" t="s">
        <v>20</v>
      </c>
      <c r="B2448" s="4" t="s">
        <v>11</v>
      </c>
      <c r="C2448" s="4" t="n">
        <v>16</v>
      </c>
      <c r="D2448" s="5" t="n">
        <v>7.75</v>
      </c>
      <c r="E2448" s="6" t="n">
        <f aca="false">DATE(2024,10,10)</f>
        <v>45575</v>
      </c>
      <c r="F2448" s="7" t="n">
        <f aca="false">C2448*D2448</f>
        <v>124</v>
      </c>
      <c r="G2448" s="7" t="n">
        <f aca="false">ROUND(F2448*0.2,2)</f>
        <v>24.8</v>
      </c>
      <c r="H2448" s="4" t="str">
        <f aca="false">IF(F2448&gt;500,"Yüksek",IF(F2448&gt;100,"Orta","Düşük"))</f>
        <v>Orta</v>
      </c>
    </row>
    <row r="2449" customFormat="false" ht="12.8" hidden="false" customHeight="false" outlineLevel="0" collapsed="false">
      <c r="A2449" s="4" t="s">
        <v>21</v>
      </c>
      <c r="B2449" s="4" t="s">
        <v>13</v>
      </c>
      <c r="C2449" s="4" t="n">
        <v>23</v>
      </c>
      <c r="D2449" s="5" t="n">
        <v>10.5</v>
      </c>
      <c r="E2449" s="6" t="n">
        <f aca="false">DATE(2024,11,11)</f>
        <v>45607</v>
      </c>
      <c r="F2449" s="7" t="n">
        <f aca="false">C2449*D2449</f>
        <v>241.5</v>
      </c>
      <c r="G2449" s="7" t="n">
        <f aca="false">ROUND(F2449*0.2,2)</f>
        <v>48.3</v>
      </c>
      <c r="H2449" s="4" t="str">
        <f aca="false">IF(F2449&gt;500,"Yüksek",IF(F2449&gt;100,"Orta","Düşük"))</f>
        <v>Orta</v>
      </c>
    </row>
    <row r="2450" customFormat="false" ht="12.8" hidden="false" customHeight="false" outlineLevel="0" collapsed="false">
      <c r="A2450" s="4" t="s">
        <v>22</v>
      </c>
      <c r="B2450" s="4" t="s">
        <v>15</v>
      </c>
      <c r="C2450" s="4" t="n">
        <v>30</v>
      </c>
      <c r="D2450" s="5" t="n">
        <v>13.25</v>
      </c>
      <c r="E2450" s="6" t="n">
        <f aca="false">DATE(2024,12,12)</f>
        <v>45638</v>
      </c>
      <c r="F2450" s="7" t="n">
        <f aca="false">C2450*D2450</f>
        <v>397.5</v>
      </c>
      <c r="G2450" s="7" t="n">
        <f aca="false">ROUND(F2450*0.2,2)</f>
        <v>79.5</v>
      </c>
      <c r="H2450" s="4" t="str">
        <f aca="false">IF(F2450&gt;500,"Yüksek",IF(F2450&gt;100,"Orta","Düşük"))</f>
        <v>Orta</v>
      </c>
    </row>
    <row r="2451" customFormat="false" ht="12.8" hidden="false" customHeight="false" outlineLevel="0" collapsed="false">
      <c r="A2451" s="4" t="s">
        <v>23</v>
      </c>
      <c r="B2451" s="4" t="s">
        <v>17</v>
      </c>
      <c r="C2451" s="4" t="n">
        <v>37</v>
      </c>
      <c r="D2451" s="5" t="n">
        <v>16</v>
      </c>
      <c r="E2451" s="6" t="n">
        <f aca="false">DATE(2024,1,13)</f>
        <v>45304</v>
      </c>
      <c r="F2451" s="7" t="n">
        <f aca="false">C2451*D2451</f>
        <v>592</v>
      </c>
      <c r="G2451" s="7" t="n">
        <f aca="false">ROUND(F2451*0.2,2)</f>
        <v>118.4</v>
      </c>
      <c r="H2451" s="4" t="str">
        <f aca="false">IF(F2451&gt;500,"Yüksek",IF(F2451&gt;100,"Orta","Düşük"))</f>
        <v>Yüksek</v>
      </c>
    </row>
    <row r="2452" customFormat="false" ht="12.8" hidden="false" customHeight="false" outlineLevel="0" collapsed="false">
      <c r="A2452" s="4" t="s">
        <v>24</v>
      </c>
      <c r="B2452" s="4" t="s">
        <v>19</v>
      </c>
      <c r="C2452" s="4" t="n">
        <v>44</v>
      </c>
      <c r="D2452" s="5" t="n">
        <v>18.75</v>
      </c>
      <c r="E2452" s="6" t="n">
        <f aca="false">DATE(2024,2,14)</f>
        <v>45336</v>
      </c>
      <c r="F2452" s="7" t="n">
        <f aca="false">C2452*D2452</f>
        <v>825</v>
      </c>
      <c r="G2452" s="7" t="n">
        <f aca="false">ROUND(F2452*0.2,2)</f>
        <v>165</v>
      </c>
      <c r="H2452" s="4" t="str">
        <f aca="false">IF(F2452&gt;500,"Yüksek",IF(F2452&gt;100,"Orta","Düşük"))</f>
        <v>Yüksek</v>
      </c>
    </row>
    <row r="2453" customFormat="false" ht="12.8" hidden="false" customHeight="false" outlineLevel="0" collapsed="false">
      <c r="A2453" s="4" t="s">
        <v>10</v>
      </c>
      <c r="B2453" s="4" t="s">
        <v>11</v>
      </c>
      <c r="C2453" s="4" t="n">
        <v>1</v>
      </c>
      <c r="D2453" s="5" t="n">
        <v>21.5</v>
      </c>
      <c r="E2453" s="6" t="n">
        <f aca="false">DATE(2024,3,15)</f>
        <v>45366</v>
      </c>
      <c r="F2453" s="7" t="n">
        <f aca="false">C2453*D2453</f>
        <v>21.5</v>
      </c>
      <c r="G2453" s="7" t="n">
        <f aca="false">ROUND(F2453*0.2,2)</f>
        <v>4.3</v>
      </c>
      <c r="H2453" s="4" t="str">
        <f aca="false">IF(F2453&gt;500,"Yüksek",IF(F2453&gt;100,"Orta","Düşük"))</f>
        <v>Düşük</v>
      </c>
    </row>
    <row r="2454" customFormat="false" ht="12.8" hidden="false" customHeight="false" outlineLevel="0" collapsed="false">
      <c r="A2454" s="4" t="s">
        <v>12</v>
      </c>
      <c r="B2454" s="4" t="s">
        <v>13</v>
      </c>
      <c r="C2454" s="4" t="n">
        <v>8</v>
      </c>
      <c r="D2454" s="5" t="n">
        <v>24.25</v>
      </c>
      <c r="E2454" s="6" t="n">
        <f aca="false">DATE(2024,4,16)</f>
        <v>45398</v>
      </c>
      <c r="F2454" s="7" t="n">
        <f aca="false">C2454*D2454</f>
        <v>194</v>
      </c>
      <c r="G2454" s="7" t="n">
        <f aca="false">ROUND(F2454*0.2,2)</f>
        <v>38.8</v>
      </c>
      <c r="H2454" s="4" t="str">
        <f aca="false">IF(F2454&gt;500,"Yüksek",IF(F2454&gt;100,"Orta","Düşük"))</f>
        <v>Orta</v>
      </c>
    </row>
    <row r="2455" customFormat="false" ht="12.8" hidden="false" customHeight="false" outlineLevel="0" collapsed="false">
      <c r="A2455" s="4" t="s">
        <v>14</v>
      </c>
      <c r="B2455" s="4" t="s">
        <v>15</v>
      </c>
      <c r="C2455" s="4" t="n">
        <v>15</v>
      </c>
      <c r="D2455" s="5" t="n">
        <v>27</v>
      </c>
      <c r="E2455" s="6" t="n">
        <f aca="false">DATE(2024,5,17)</f>
        <v>45429</v>
      </c>
      <c r="F2455" s="7" t="n">
        <f aca="false">C2455*D2455</f>
        <v>405</v>
      </c>
      <c r="G2455" s="7" t="n">
        <f aca="false">ROUND(F2455*0.2,2)</f>
        <v>81</v>
      </c>
      <c r="H2455" s="4" t="str">
        <f aca="false">IF(F2455&gt;500,"Yüksek",IF(F2455&gt;100,"Orta","Düşük"))</f>
        <v>Orta</v>
      </c>
    </row>
    <row r="2456" customFormat="false" ht="12.8" hidden="false" customHeight="false" outlineLevel="0" collapsed="false">
      <c r="A2456" s="4" t="s">
        <v>16</v>
      </c>
      <c r="B2456" s="4" t="s">
        <v>17</v>
      </c>
      <c r="C2456" s="4" t="n">
        <v>22</v>
      </c>
      <c r="D2456" s="5" t="n">
        <v>29.75</v>
      </c>
      <c r="E2456" s="6" t="n">
        <f aca="false">DATE(2024,6,18)</f>
        <v>45461</v>
      </c>
      <c r="F2456" s="7" t="n">
        <f aca="false">C2456*D2456</f>
        <v>654.5</v>
      </c>
      <c r="G2456" s="7" t="n">
        <f aca="false">ROUND(F2456*0.2,2)</f>
        <v>130.9</v>
      </c>
      <c r="H2456" s="4" t="str">
        <f aca="false">IF(F2456&gt;500,"Yüksek",IF(F2456&gt;100,"Orta","Düşük"))</f>
        <v>Yüksek</v>
      </c>
    </row>
    <row r="2457" customFormat="false" ht="12.8" hidden="false" customHeight="false" outlineLevel="0" collapsed="false">
      <c r="A2457" s="4" t="s">
        <v>18</v>
      </c>
      <c r="B2457" s="4" t="s">
        <v>19</v>
      </c>
      <c r="C2457" s="4" t="n">
        <v>29</v>
      </c>
      <c r="D2457" s="5" t="n">
        <v>32.5</v>
      </c>
      <c r="E2457" s="6" t="n">
        <f aca="false">DATE(2024,7,19)</f>
        <v>45492</v>
      </c>
      <c r="F2457" s="7" t="n">
        <f aca="false">C2457*D2457</f>
        <v>942.5</v>
      </c>
      <c r="G2457" s="7" t="n">
        <f aca="false">ROUND(F2457*0.2,2)</f>
        <v>188.5</v>
      </c>
      <c r="H2457" s="4" t="str">
        <f aca="false">IF(F2457&gt;500,"Yüksek",IF(F2457&gt;100,"Orta","Düşük"))</f>
        <v>Yüksek</v>
      </c>
    </row>
    <row r="2458" customFormat="false" ht="12.8" hidden="false" customHeight="false" outlineLevel="0" collapsed="false">
      <c r="A2458" s="4" t="s">
        <v>20</v>
      </c>
      <c r="B2458" s="4" t="s">
        <v>11</v>
      </c>
      <c r="C2458" s="4" t="n">
        <v>36</v>
      </c>
      <c r="D2458" s="5" t="n">
        <v>35.25</v>
      </c>
      <c r="E2458" s="6" t="n">
        <f aca="false">DATE(2024,8,20)</f>
        <v>45524</v>
      </c>
      <c r="F2458" s="7" t="n">
        <f aca="false">C2458*D2458</f>
        <v>1269</v>
      </c>
      <c r="G2458" s="7" t="n">
        <f aca="false">ROUND(F2458*0.2,2)</f>
        <v>253.8</v>
      </c>
      <c r="H2458" s="4" t="str">
        <f aca="false">IF(F2458&gt;500,"Yüksek",IF(F2458&gt;100,"Orta","Düşük"))</f>
        <v>Yüksek</v>
      </c>
    </row>
    <row r="2459" customFormat="false" ht="12.8" hidden="false" customHeight="false" outlineLevel="0" collapsed="false">
      <c r="A2459" s="4" t="s">
        <v>21</v>
      </c>
      <c r="B2459" s="4" t="s">
        <v>13</v>
      </c>
      <c r="C2459" s="4" t="n">
        <v>43</v>
      </c>
      <c r="D2459" s="5" t="n">
        <v>38</v>
      </c>
      <c r="E2459" s="6" t="n">
        <f aca="false">DATE(2024,9,21)</f>
        <v>45556</v>
      </c>
      <c r="F2459" s="7" t="n">
        <f aca="false">C2459*D2459</f>
        <v>1634</v>
      </c>
      <c r="G2459" s="7" t="n">
        <f aca="false">ROUND(F2459*0.2,2)</f>
        <v>326.8</v>
      </c>
      <c r="H2459" s="4" t="str">
        <f aca="false">IF(F2459&gt;500,"Yüksek",IF(F2459&gt;100,"Orta","Düşük"))</f>
        <v>Yüksek</v>
      </c>
    </row>
    <row r="2460" customFormat="false" ht="12.8" hidden="false" customHeight="false" outlineLevel="0" collapsed="false">
      <c r="A2460" s="4" t="s">
        <v>22</v>
      </c>
      <c r="B2460" s="4" t="s">
        <v>15</v>
      </c>
      <c r="C2460" s="4" t="n">
        <v>50</v>
      </c>
      <c r="D2460" s="5" t="n">
        <v>5</v>
      </c>
      <c r="E2460" s="6" t="n">
        <f aca="false">DATE(2024,10,22)</f>
        <v>45587</v>
      </c>
      <c r="F2460" s="7" t="n">
        <f aca="false">C2460*D2460</f>
        <v>250</v>
      </c>
      <c r="G2460" s="7" t="n">
        <f aca="false">ROUND(F2460*0.2,2)</f>
        <v>50</v>
      </c>
      <c r="H2460" s="4" t="str">
        <f aca="false">IF(F2460&gt;500,"Yüksek",IF(F2460&gt;100,"Orta","Düşük"))</f>
        <v>Orta</v>
      </c>
    </row>
    <row r="2461" customFormat="false" ht="12.8" hidden="false" customHeight="false" outlineLevel="0" collapsed="false">
      <c r="A2461" s="4" t="s">
        <v>23</v>
      </c>
      <c r="B2461" s="4" t="s">
        <v>17</v>
      </c>
      <c r="C2461" s="4" t="n">
        <v>7</v>
      </c>
      <c r="D2461" s="5" t="n">
        <v>7.75</v>
      </c>
      <c r="E2461" s="6" t="n">
        <f aca="false">DATE(2024,11,23)</f>
        <v>45619</v>
      </c>
      <c r="F2461" s="7" t="n">
        <f aca="false">C2461*D2461</f>
        <v>54.25</v>
      </c>
      <c r="G2461" s="7" t="n">
        <f aca="false">ROUND(F2461*0.2,2)</f>
        <v>10.85</v>
      </c>
      <c r="H2461" s="4" t="str">
        <f aca="false">IF(F2461&gt;500,"Yüksek",IF(F2461&gt;100,"Orta","Düşük"))</f>
        <v>Düşük</v>
      </c>
    </row>
    <row r="2462" customFormat="false" ht="12.8" hidden="false" customHeight="false" outlineLevel="0" collapsed="false">
      <c r="A2462" s="4" t="s">
        <v>24</v>
      </c>
      <c r="B2462" s="4" t="s">
        <v>19</v>
      </c>
      <c r="C2462" s="4" t="n">
        <v>14</v>
      </c>
      <c r="D2462" s="5" t="n">
        <v>10.5</v>
      </c>
      <c r="E2462" s="6" t="n">
        <f aca="false">DATE(2024,12,24)</f>
        <v>45650</v>
      </c>
      <c r="F2462" s="7" t="n">
        <f aca="false">C2462*D2462</f>
        <v>147</v>
      </c>
      <c r="G2462" s="7" t="n">
        <f aca="false">ROUND(F2462*0.2,2)</f>
        <v>29.4</v>
      </c>
      <c r="H2462" s="4" t="str">
        <f aca="false">IF(F2462&gt;500,"Yüksek",IF(F2462&gt;100,"Orta","Düşük"))</f>
        <v>Orta</v>
      </c>
    </row>
    <row r="2463" customFormat="false" ht="12.8" hidden="false" customHeight="false" outlineLevel="0" collapsed="false">
      <c r="A2463" s="4" t="s">
        <v>10</v>
      </c>
      <c r="B2463" s="4" t="s">
        <v>11</v>
      </c>
      <c r="C2463" s="4" t="n">
        <v>21</v>
      </c>
      <c r="D2463" s="5" t="n">
        <v>13.25</v>
      </c>
      <c r="E2463" s="6" t="n">
        <f aca="false">DATE(2024,1,25)</f>
        <v>45316</v>
      </c>
      <c r="F2463" s="7" t="n">
        <f aca="false">C2463*D2463</f>
        <v>278.25</v>
      </c>
      <c r="G2463" s="7" t="n">
        <f aca="false">ROUND(F2463*0.2,2)</f>
        <v>55.65</v>
      </c>
      <c r="H2463" s="4" t="str">
        <f aca="false">IF(F2463&gt;500,"Yüksek",IF(F2463&gt;100,"Orta","Düşük"))</f>
        <v>Orta</v>
      </c>
    </row>
    <row r="2464" customFormat="false" ht="12.8" hidden="false" customHeight="false" outlineLevel="0" collapsed="false">
      <c r="A2464" s="4" t="s">
        <v>12</v>
      </c>
      <c r="B2464" s="4" t="s">
        <v>13</v>
      </c>
      <c r="C2464" s="4" t="n">
        <v>28</v>
      </c>
      <c r="D2464" s="5" t="n">
        <v>16</v>
      </c>
      <c r="E2464" s="6" t="n">
        <f aca="false">DATE(2024,2,26)</f>
        <v>45348</v>
      </c>
      <c r="F2464" s="7" t="n">
        <f aca="false">C2464*D2464</f>
        <v>448</v>
      </c>
      <c r="G2464" s="7" t="n">
        <f aca="false">ROUND(F2464*0.2,2)</f>
        <v>89.6</v>
      </c>
      <c r="H2464" s="4" t="str">
        <f aca="false">IF(F2464&gt;500,"Yüksek",IF(F2464&gt;100,"Orta","Düşük"))</f>
        <v>Orta</v>
      </c>
    </row>
    <row r="2465" customFormat="false" ht="12.8" hidden="false" customHeight="false" outlineLevel="0" collapsed="false">
      <c r="A2465" s="4" t="s">
        <v>14</v>
      </c>
      <c r="B2465" s="4" t="s">
        <v>15</v>
      </c>
      <c r="C2465" s="4" t="n">
        <v>35</v>
      </c>
      <c r="D2465" s="5" t="n">
        <v>18.75</v>
      </c>
      <c r="E2465" s="6" t="n">
        <f aca="false">DATE(2024,3,27)</f>
        <v>45378</v>
      </c>
      <c r="F2465" s="7" t="n">
        <f aca="false">C2465*D2465</f>
        <v>656.25</v>
      </c>
      <c r="G2465" s="7" t="n">
        <f aca="false">ROUND(F2465*0.2,2)</f>
        <v>131.25</v>
      </c>
      <c r="H2465" s="4" t="str">
        <f aca="false">IF(F2465&gt;500,"Yüksek",IF(F2465&gt;100,"Orta","Düşük"))</f>
        <v>Yüksek</v>
      </c>
    </row>
    <row r="2466" customFormat="false" ht="12.8" hidden="false" customHeight="false" outlineLevel="0" collapsed="false">
      <c r="A2466" s="4" t="s">
        <v>16</v>
      </c>
      <c r="B2466" s="4" t="s">
        <v>17</v>
      </c>
      <c r="C2466" s="4" t="n">
        <v>42</v>
      </c>
      <c r="D2466" s="5" t="n">
        <v>21.5</v>
      </c>
      <c r="E2466" s="6" t="n">
        <f aca="false">DATE(2024,4,28)</f>
        <v>45410</v>
      </c>
      <c r="F2466" s="7" t="n">
        <f aca="false">C2466*D2466</f>
        <v>903</v>
      </c>
      <c r="G2466" s="7" t="n">
        <f aca="false">ROUND(F2466*0.2,2)</f>
        <v>180.6</v>
      </c>
      <c r="H2466" s="4" t="str">
        <f aca="false">IF(F2466&gt;500,"Yüksek",IF(F2466&gt;100,"Orta","Düşük"))</f>
        <v>Yüksek</v>
      </c>
    </row>
    <row r="2467" customFormat="false" ht="12.8" hidden="false" customHeight="false" outlineLevel="0" collapsed="false">
      <c r="A2467" s="4" t="s">
        <v>18</v>
      </c>
      <c r="B2467" s="4" t="s">
        <v>19</v>
      </c>
      <c r="C2467" s="4" t="n">
        <v>49</v>
      </c>
      <c r="D2467" s="5" t="n">
        <v>24.25</v>
      </c>
      <c r="E2467" s="6" t="n">
        <f aca="false">DATE(2024,5,1)</f>
        <v>45413</v>
      </c>
      <c r="F2467" s="7" t="n">
        <f aca="false">C2467*D2467</f>
        <v>1188.25</v>
      </c>
      <c r="G2467" s="7" t="n">
        <f aca="false">ROUND(F2467*0.2,2)</f>
        <v>237.65</v>
      </c>
      <c r="H2467" s="4" t="str">
        <f aca="false">IF(F2467&gt;500,"Yüksek",IF(F2467&gt;100,"Orta","Düşük"))</f>
        <v>Yüksek</v>
      </c>
    </row>
    <row r="2468" customFormat="false" ht="12.8" hidden="false" customHeight="false" outlineLevel="0" collapsed="false">
      <c r="A2468" s="4" t="s">
        <v>20</v>
      </c>
      <c r="B2468" s="4" t="s">
        <v>11</v>
      </c>
      <c r="C2468" s="4" t="n">
        <v>6</v>
      </c>
      <c r="D2468" s="5" t="n">
        <v>27</v>
      </c>
      <c r="E2468" s="6" t="n">
        <f aca="false">DATE(2024,6,2)</f>
        <v>45445</v>
      </c>
      <c r="F2468" s="7" t="n">
        <f aca="false">C2468*D2468</f>
        <v>162</v>
      </c>
      <c r="G2468" s="7" t="n">
        <f aca="false">ROUND(F2468*0.2,2)</f>
        <v>32.4</v>
      </c>
      <c r="H2468" s="4" t="str">
        <f aca="false">IF(F2468&gt;500,"Yüksek",IF(F2468&gt;100,"Orta","Düşük"))</f>
        <v>Orta</v>
      </c>
    </row>
    <row r="2469" customFormat="false" ht="12.8" hidden="false" customHeight="false" outlineLevel="0" collapsed="false">
      <c r="A2469" s="4" t="s">
        <v>21</v>
      </c>
      <c r="B2469" s="4" t="s">
        <v>13</v>
      </c>
      <c r="C2469" s="4" t="n">
        <v>13</v>
      </c>
      <c r="D2469" s="5" t="n">
        <v>29.75</v>
      </c>
      <c r="E2469" s="6" t="n">
        <f aca="false">DATE(2024,7,3)</f>
        <v>45476</v>
      </c>
      <c r="F2469" s="7" t="n">
        <f aca="false">C2469*D2469</f>
        <v>386.75</v>
      </c>
      <c r="G2469" s="7" t="n">
        <f aca="false">ROUND(F2469*0.2,2)</f>
        <v>77.35</v>
      </c>
      <c r="H2469" s="4" t="str">
        <f aca="false">IF(F2469&gt;500,"Yüksek",IF(F2469&gt;100,"Orta","Düşük"))</f>
        <v>Orta</v>
      </c>
    </row>
    <row r="2470" customFormat="false" ht="12.8" hidden="false" customHeight="false" outlineLevel="0" collapsed="false">
      <c r="A2470" s="4" t="s">
        <v>22</v>
      </c>
      <c r="B2470" s="4" t="s">
        <v>15</v>
      </c>
      <c r="C2470" s="4" t="n">
        <v>20</v>
      </c>
      <c r="D2470" s="5" t="n">
        <v>32.5</v>
      </c>
      <c r="E2470" s="6" t="n">
        <f aca="false">DATE(2024,8,4)</f>
        <v>45508</v>
      </c>
      <c r="F2470" s="7" t="n">
        <f aca="false">C2470*D2470</f>
        <v>650</v>
      </c>
      <c r="G2470" s="7" t="n">
        <f aca="false">ROUND(F2470*0.2,2)</f>
        <v>130</v>
      </c>
      <c r="H2470" s="4" t="str">
        <f aca="false">IF(F2470&gt;500,"Yüksek",IF(F2470&gt;100,"Orta","Düşük"))</f>
        <v>Yüksek</v>
      </c>
    </row>
    <row r="2471" customFormat="false" ht="12.8" hidden="false" customHeight="false" outlineLevel="0" collapsed="false">
      <c r="A2471" s="4" t="s">
        <v>23</v>
      </c>
      <c r="B2471" s="4" t="s">
        <v>17</v>
      </c>
      <c r="C2471" s="4" t="n">
        <v>27</v>
      </c>
      <c r="D2471" s="5" t="n">
        <v>35.25</v>
      </c>
      <c r="E2471" s="6" t="n">
        <f aca="false">DATE(2024,9,5)</f>
        <v>45540</v>
      </c>
      <c r="F2471" s="7" t="n">
        <f aca="false">C2471*D2471</f>
        <v>951.75</v>
      </c>
      <c r="G2471" s="7" t="n">
        <f aca="false">ROUND(F2471*0.2,2)</f>
        <v>190.35</v>
      </c>
      <c r="H2471" s="4" t="str">
        <f aca="false">IF(F2471&gt;500,"Yüksek",IF(F2471&gt;100,"Orta","Düşük"))</f>
        <v>Yüksek</v>
      </c>
    </row>
    <row r="2472" customFormat="false" ht="12.8" hidden="false" customHeight="false" outlineLevel="0" collapsed="false">
      <c r="A2472" s="4" t="s">
        <v>24</v>
      </c>
      <c r="B2472" s="4" t="s">
        <v>19</v>
      </c>
      <c r="C2472" s="4" t="n">
        <v>34</v>
      </c>
      <c r="D2472" s="5" t="n">
        <v>38</v>
      </c>
      <c r="E2472" s="6" t="n">
        <f aca="false">DATE(2024,10,6)</f>
        <v>45571</v>
      </c>
      <c r="F2472" s="7" t="n">
        <f aca="false">C2472*D2472</f>
        <v>1292</v>
      </c>
      <c r="G2472" s="7" t="n">
        <f aca="false">ROUND(F2472*0.2,2)</f>
        <v>258.4</v>
      </c>
      <c r="H2472" s="4" t="str">
        <f aca="false">IF(F2472&gt;500,"Yüksek",IF(F2472&gt;100,"Orta","Düşük"))</f>
        <v>Yüksek</v>
      </c>
    </row>
    <row r="2473" customFormat="false" ht="12.8" hidden="false" customHeight="false" outlineLevel="0" collapsed="false">
      <c r="A2473" s="4" t="s">
        <v>10</v>
      </c>
      <c r="B2473" s="4" t="s">
        <v>11</v>
      </c>
      <c r="C2473" s="4" t="n">
        <v>41</v>
      </c>
      <c r="D2473" s="5" t="n">
        <v>5</v>
      </c>
      <c r="E2473" s="6" t="n">
        <f aca="false">DATE(2024,11,7)</f>
        <v>45603</v>
      </c>
      <c r="F2473" s="7" t="n">
        <f aca="false">C2473*D2473</f>
        <v>205</v>
      </c>
      <c r="G2473" s="7" t="n">
        <f aca="false">ROUND(F2473*0.2,2)</f>
        <v>41</v>
      </c>
      <c r="H2473" s="4" t="str">
        <f aca="false">IF(F2473&gt;500,"Yüksek",IF(F2473&gt;100,"Orta","Düşük"))</f>
        <v>Orta</v>
      </c>
    </row>
    <row r="2474" customFormat="false" ht="12.8" hidden="false" customHeight="false" outlineLevel="0" collapsed="false">
      <c r="A2474" s="4" t="s">
        <v>12</v>
      </c>
      <c r="B2474" s="4" t="s">
        <v>13</v>
      </c>
      <c r="C2474" s="4" t="n">
        <v>48</v>
      </c>
      <c r="D2474" s="5" t="n">
        <v>7.75</v>
      </c>
      <c r="E2474" s="6" t="n">
        <f aca="false">DATE(2024,12,8)</f>
        <v>45634</v>
      </c>
      <c r="F2474" s="7" t="n">
        <f aca="false">C2474*D2474</f>
        <v>372</v>
      </c>
      <c r="G2474" s="7" t="n">
        <f aca="false">ROUND(F2474*0.2,2)</f>
        <v>74.4</v>
      </c>
      <c r="H2474" s="4" t="str">
        <f aca="false">IF(F2474&gt;500,"Yüksek",IF(F2474&gt;100,"Orta","Düşük"))</f>
        <v>Orta</v>
      </c>
    </row>
    <row r="2475" customFormat="false" ht="12.8" hidden="false" customHeight="false" outlineLevel="0" collapsed="false">
      <c r="A2475" s="4" t="s">
        <v>14</v>
      </c>
      <c r="B2475" s="4" t="s">
        <v>15</v>
      </c>
      <c r="C2475" s="4" t="n">
        <v>5</v>
      </c>
      <c r="D2475" s="5" t="n">
        <v>10.5</v>
      </c>
      <c r="E2475" s="6" t="n">
        <f aca="false">DATE(2024,1,9)</f>
        <v>45300</v>
      </c>
      <c r="F2475" s="7" t="n">
        <f aca="false">C2475*D2475</f>
        <v>52.5</v>
      </c>
      <c r="G2475" s="7" t="n">
        <f aca="false">ROUND(F2475*0.2,2)</f>
        <v>10.5</v>
      </c>
      <c r="H2475" s="4" t="str">
        <f aca="false">IF(F2475&gt;500,"Yüksek",IF(F2475&gt;100,"Orta","Düşük"))</f>
        <v>Düşük</v>
      </c>
    </row>
    <row r="2476" customFormat="false" ht="12.8" hidden="false" customHeight="false" outlineLevel="0" collapsed="false">
      <c r="A2476" s="4" t="s">
        <v>16</v>
      </c>
      <c r="B2476" s="4" t="s">
        <v>17</v>
      </c>
      <c r="C2476" s="4" t="n">
        <v>12</v>
      </c>
      <c r="D2476" s="5" t="n">
        <v>13.25</v>
      </c>
      <c r="E2476" s="6" t="n">
        <f aca="false">DATE(2024,2,10)</f>
        <v>45332</v>
      </c>
      <c r="F2476" s="7" t="n">
        <f aca="false">C2476*D2476</f>
        <v>159</v>
      </c>
      <c r="G2476" s="7" t="n">
        <f aca="false">ROUND(F2476*0.2,2)</f>
        <v>31.8</v>
      </c>
      <c r="H2476" s="4" t="str">
        <f aca="false">IF(F2476&gt;500,"Yüksek",IF(F2476&gt;100,"Orta","Düşük"))</f>
        <v>Orta</v>
      </c>
    </row>
    <row r="2477" customFormat="false" ht="12.8" hidden="false" customHeight="false" outlineLevel="0" collapsed="false">
      <c r="A2477" s="4" t="s">
        <v>18</v>
      </c>
      <c r="B2477" s="4" t="s">
        <v>19</v>
      </c>
      <c r="C2477" s="4" t="n">
        <v>19</v>
      </c>
      <c r="D2477" s="5" t="n">
        <v>16</v>
      </c>
      <c r="E2477" s="6" t="n">
        <f aca="false">DATE(2024,3,11)</f>
        <v>45362</v>
      </c>
      <c r="F2477" s="7" t="n">
        <f aca="false">C2477*D2477</f>
        <v>304</v>
      </c>
      <c r="G2477" s="7" t="n">
        <f aca="false">ROUND(F2477*0.2,2)</f>
        <v>60.8</v>
      </c>
      <c r="H2477" s="4" t="str">
        <f aca="false">IF(F2477&gt;500,"Yüksek",IF(F2477&gt;100,"Orta","Düşük"))</f>
        <v>Orta</v>
      </c>
    </row>
    <row r="2478" customFormat="false" ht="12.8" hidden="false" customHeight="false" outlineLevel="0" collapsed="false">
      <c r="A2478" s="4" t="s">
        <v>20</v>
      </c>
      <c r="B2478" s="4" t="s">
        <v>11</v>
      </c>
      <c r="C2478" s="4" t="n">
        <v>26</v>
      </c>
      <c r="D2478" s="5" t="n">
        <v>18.75</v>
      </c>
      <c r="E2478" s="6" t="n">
        <f aca="false">DATE(2024,4,12)</f>
        <v>45394</v>
      </c>
      <c r="F2478" s="7" t="n">
        <f aca="false">C2478*D2478</f>
        <v>487.5</v>
      </c>
      <c r="G2478" s="7" t="n">
        <f aca="false">ROUND(F2478*0.2,2)</f>
        <v>97.5</v>
      </c>
      <c r="H2478" s="4" t="str">
        <f aca="false">IF(F2478&gt;500,"Yüksek",IF(F2478&gt;100,"Orta","Düşük"))</f>
        <v>Orta</v>
      </c>
    </row>
    <row r="2479" customFormat="false" ht="12.8" hidden="false" customHeight="false" outlineLevel="0" collapsed="false">
      <c r="A2479" s="4" t="s">
        <v>21</v>
      </c>
      <c r="B2479" s="4" t="s">
        <v>13</v>
      </c>
      <c r="C2479" s="4" t="n">
        <v>33</v>
      </c>
      <c r="D2479" s="5" t="n">
        <v>21.5</v>
      </c>
      <c r="E2479" s="6" t="n">
        <f aca="false">DATE(2024,5,13)</f>
        <v>45425</v>
      </c>
      <c r="F2479" s="7" t="n">
        <f aca="false">C2479*D2479</f>
        <v>709.5</v>
      </c>
      <c r="G2479" s="7" t="n">
        <f aca="false">ROUND(F2479*0.2,2)</f>
        <v>141.9</v>
      </c>
      <c r="H2479" s="4" t="str">
        <f aca="false">IF(F2479&gt;500,"Yüksek",IF(F2479&gt;100,"Orta","Düşük"))</f>
        <v>Yüksek</v>
      </c>
    </row>
    <row r="2480" customFormat="false" ht="12.8" hidden="false" customHeight="false" outlineLevel="0" collapsed="false">
      <c r="A2480" s="4" t="s">
        <v>22</v>
      </c>
      <c r="B2480" s="4" t="s">
        <v>15</v>
      </c>
      <c r="C2480" s="4" t="n">
        <v>40</v>
      </c>
      <c r="D2480" s="5" t="n">
        <v>24.25</v>
      </c>
      <c r="E2480" s="6" t="n">
        <f aca="false">DATE(2024,6,14)</f>
        <v>45457</v>
      </c>
      <c r="F2480" s="7" t="n">
        <f aca="false">C2480*D2480</f>
        <v>970</v>
      </c>
      <c r="G2480" s="7" t="n">
        <f aca="false">ROUND(F2480*0.2,2)</f>
        <v>194</v>
      </c>
      <c r="H2480" s="4" t="str">
        <f aca="false">IF(F2480&gt;500,"Yüksek",IF(F2480&gt;100,"Orta","Düşük"))</f>
        <v>Yüksek</v>
      </c>
    </row>
    <row r="2481" customFormat="false" ht="12.8" hidden="false" customHeight="false" outlineLevel="0" collapsed="false">
      <c r="A2481" s="4" t="s">
        <v>23</v>
      </c>
      <c r="B2481" s="4" t="s">
        <v>17</v>
      </c>
      <c r="C2481" s="4" t="n">
        <v>47</v>
      </c>
      <c r="D2481" s="5" t="n">
        <v>27</v>
      </c>
      <c r="E2481" s="6" t="n">
        <f aca="false">DATE(2024,7,15)</f>
        <v>45488</v>
      </c>
      <c r="F2481" s="7" t="n">
        <f aca="false">C2481*D2481</f>
        <v>1269</v>
      </c>
      <c r="G2481" s="7" t="n">
        <f aca="false">ROUND(F2481*0.2,2)</f>
        <v>253.8</v>
      </c>
      <c r="H2481" s="4" t="str">
        <f aca="false">IF(F2481&gt;500,"Yüksek",IF(F2481&gt;100,"Orta","Düşük"))</f>
        <v>Yüksek</v>
      </c>
    </row>
    <row r="2482" customFormat="false" ht="12.8" hidden="false" customHeight="false" outlineLevel="0" collapsed="false">
      <c r="A2482" s="4" t="s">
        <v>24</v>
      </c>
      <c r="B2482" s="4" t="s">
        <v>19</v>
      </c>
      <c r="C2482" s="4" t="n">
        <v>4</v>
      </c>
      <c r="D2482" s="5" t="n">
        <v>29.75</v>
      </c>
      <c r="E2482" s="6" t="n">
        <f aca="false">DATE(2024,8,16)</f>
        <v>45520</v>
      </c>
      <c r="F2482" s="7" t="n">
        <f aca="false">C2482*D2482</f>
        <v>119</v>
      </c>
      <c r="G2482" s="7" t="n">
        <f aca="false">ROUND(F2482*0.2,2)</f>
        <v>23.8</v>
      </c>
      <c r="H2482" s="4" t="str">
        <f aca="false">IF(F2482&gt;500,"Yüksek",IF(F2482&gt;100,"Orta","Düşük"))</f>
        <v>Orta</v>
      </c>
    </row>
    <row r="2483" customFormat="false" ht="12.8" hidden="false" customHeight="false" outlineLevel="0" collapsed="false">
      <c r="A2483" s="4" t="s">
        <v>10</v>
      </c>
      <c r="B2483" s="4" t="s">
        <v>11</v>
      </c>
      <c r="C2483" s="4" t="n">
        <v>11</v>
      </c>
      <c r="D2483" s="5" t="n">
        <v>32.5</v>
      </c>
      <c r="E2483" s="6" t="n">
        <f aca="false">DATE(2024,9,17)</f>
        <v>45552</v>
      </c>
      <c r="F2483" s="7" t="n">
        <f aca="false">C2483*D2483</f>
        <v>357.5</v>
      </c>
      <c r="G2483" s="7" t="n">
        <f aca="false">ROUND(F2483*0.2,2)</f>
        <v>71.5</v>
      </c>
      <c r="H2483" s="4" t="str">
        <f aca="false">IF(F2483&gt;500,"Yüksek",IF(F2483&gt;100,"Orta","Düşük"))</f>
        <v>Orta</v>
      </c>
    </row>
    <row r="2484" customFormat="false" ht="12.8" hidden="false" customHeight="false" outlineLevel="0" collapsed="false">
      <c r="A2484" s="4" t="s">
        <v>12</v>
      </c>
      <c r="B2484" s="4" t="s">
        <v>13</v>
      </c>
      <c r="C2484" s="4" t="n">
        <v>18</v>
      </c>
      <c r="D2484" s="5" t="n">
        <v>35.25</v>
      </c>
      <c r="E2484" s="6" t="n">
        <f aca="false">DATE(2024,10,18)</f>
        <v>45583</v>
      </c>
      <c r="F2484" s="7" t="n">
        <f aca="false">C2484*D2484</f>
        <v>634.5</v>
      </c>
      <c r="G2484" s="7" t="n">
        <f aca="false">ROUND(F2484*0.2,2)</f>
        <v>126.9</v>
      </c>
      <c r="H2484" s="4" t="str">
        <f aca="false">IF(F2484&gt;500,"Yüksek",IF(F2484&gt;100,"Orta","Düşük"))</f>
        <v>Yüksek</v>
      </c>
    </row>
    <row r="2485" customFormat="false" ht="12.8" hidden="false" customHeight="false" outlineLevel="0" collapsed="false">
      <c r="A2485" s="4" t="s">
        <v>14</v>
      </c>
      <c r="B2485" s="4" t="s">
        <v>15</v>
      </c>
      <c r="C2485" s="4" t="n">
        <v>25</v>
      </c>
      <c r="D2485" s="5" t="n">
        <v>38</v>
      </c>
      <c r="E2485" s="6" t="n">
        <f aca="false">DATE(2024,11,19)</f>
        <v>45615</v>
      </c>
      <c r="F2485" s="7" t="n">
        <f aca="false">C2485*D2485</f>
        <v>950</v>
      </c>
      <c r="G2485" s="7" t="n">
        <f aca="false">ROUND(F2485*0.2,2)</f>
        <v>190</v>
      </c>
      <c r="H2485" s="4" t="str">
        <f aca="false">IF(F2485&gt;500,"Yüksek",IF(F2485&gt;100,"Orta","Düşük"))</f>
        <v>Yüksek</v>
      </c>
    </row>
    <row r="2486" customFormat="false" ht="12.8" hidden="false" customHeight="false" outlineLevel="0" collapsed="false">
      <c r="A2486" s="4" t="s">
        <v>16</v>
      </c>
      <c r="B2486" s="4" t="s">
        <v>17</v>
      </c>
      <c r="C2486" s="4" t="n">
        <v>32</v>
      </c>
      <c r="D2486" s="5" t="n">
        <v>5</v>
      </c>
      <c r="E2486" s="6" t="n">
        <f aca="false">DATE(2024,12,20)</f>
        <v>45646</v>
      </c>
      <c r="F2486" s="7" t="n">
        <f aca="false">C2486*D2486</f>
        <v>160</v>
      </c>
      <c r="G2486" s="7" t="n">
        <f aca="false">ROUND(F2486*0.2,2)</f>
        <v>32</v>
      </c>
      <c r="H2486" s="4" t="str">
        <f aca="false">IF(F2486&gt;500,"Yüksek",IF(F2486&gt;100,"Orta","Düşük"))</f>
        <v>Orta</v>
      </c>
    </row>
    <row r="2487" customFormat="false" ht="12.8" hidden="false" customHeight="false" outlineLevel="0" collapsed="false">
      <c r="A2487" s="4" t="s">
        <v>18</v>
      </c>
      <c r="B2487" s="4" t="s">
        <v>19</v>
      </c>
      <c r="C2487" s="4" t="n">
        <v>39</v>
      </c>
      <c r="D2487" s="5" t="n">
        <v>7.75</v>
      </c>
      <c r="E2487" s="6" t="n">
        <f aca="false">DATE(2024,1,21)</f>
        <v>45312</v>
      </c>
      <c r="F2487" s="7" t="n">
        <f aca="false">C2487*D2487</f>
        <v>302.25</v>
      </c>
      <c r="G2487" s="7" t="n">
        <f aca="false">ROUND(F2487*0.2,2)</f>
        <v>60.45</v>
      </c>
      <c r="H2487" s="4" t="str">
        <f aca="false">IF(F2487&gt;500,"Yüksek",IF(F2487&gt;100,"Orta","Düşük"))</f>
        <v>Orta</v>
      </c>
    </row>
    <row r="2488" customFormat="false" ht="12.8" hidden="false" customHeight="false" outlineLevel="0" collapsed="false">
      <c r="A2488" s="4" t="s">
        <v>20</v>
      </c>
      <c r="B2488" s="4" t="s">
        <v>11</v>
      </c>
      <c r="C2488" s="4" t="n">
        <v>46</v>
      </c>
      <c r="D2488" s="5" t="n">
        <v>10.5</v>
      </c>
      <c r="E2488" s="6" t="n">
        <f aca="false">DATE(2024,2,22)</f>
        <v>45344</v>
      </c>
      <c r="F2488" s="7" t="n">
        <f aca="false">C2488*D2488</f>
        <v>483</v>
      </c>
      <c r="G2488" s="7" t="n">
        <f aca="false">ROUND(F2488*0.2,2)</f>
        <v>96.6</v>
      </c>
      <c r="H2488" s="4" t="str">
        <f aca="false">IF(F2488&gt;500,"Yüksek",IF(F2488&gt;100,"Orta","Düşük"))</f>
        <v>Orta</v>
      </c>
    </row>
    <row r="2489" customFormat="false" ht="12.8" hidden="false" customHeight="false" outlineLevel="0" collapsed="false">
      <c r="A2489" s="4" t="s">
        <v>21</v>
      </c>
      <c r="B2489" s="4" t="s">
        <v>13</v>
      </c>
      <c r="C2489" s="4" t="n">
        <v>3</v>
      </c>
      <c r="D2489" s="5" t="n">
        <v>13.25</v>
      </c>
      <c r="E2489" s="6" t="n">
        <f aca="false">DATE(2024,3,23)</f>
        <v>45374</v>
      </c>
      <c r="F2489" s="7" t="n">
        <f aca="false">C2489*D2489</f>
        <v>39.75</v>
      </c>
      <c r="G2489" s="7" t="n">
        <f aca="false">ROUND(F2489*0.2,2)</f>
        <v>7.95</v>
      </c>
      <c r="H2489" s="4" t="str">
        <f aca="false">IF(F2489&gt;500,"Yüksek",IF(F2489&gt;100,"Orta","Düşük"))</f>
        <v>Düşük</v>
      </c>
    </row>
    <row r="2490" customFormat="false" ht="12.8" hidden="false" customHeight="false" outlineLevel="0" collapsed="false">
      <c r="A2490" s="4" t="s">
        <v>22</v>
      </c>
      <c r="B2490" s="4" t="s">
        <v>15</v>
      </c>
      <c r="C2490" s="4" t="n">
        <v>10</v>
      </c>
      <c r="D2490" s="5" t="n">
        <v>16</v>
      </c>
      <c r="E2490" s="6" t="n">
        <f aca="false">DATE(2024,4,24)</f>
        <v>45406</v>
      </c>
      <c r="F2490" s="7" t="n">
        <f aca="false">C2490*D2490</f>
        <v>160</v>
      </c>
      <c r="G2490" s="7" t="n">
        <f aca="false">ROUND(F2490*0.2,2)</f>
        <v>32</v>
      </c>
      <c r="H2490" s="4" t="str">
        <f aca="false">IF(F2490&gt;500,"Yüksek",IF(F2490&gt;100,"Orta","Düşük"))</f>
        <v>Orta</v>
      </c>
    </row>
    <row r="2491" customFormat="false" ht="12.8" hidden="false" customHeight="false" outlineLevel="0" collapsed="false">
      <c r="A2491" s="4" t="s">
        <v>23</v>
      </c>
      <c r="B2491" s="4" t="s">
        <v>17</v>
      </c>
      <c r="C2491" s="4" t="n">
        <v>17</v>
      </c>
      <c r="D2491" s="5" t="n">
        <v>18.75</v>
      </c>
      <c r="E2491" s="6" t="n">
        <f aca="false">DATE(2024,5,25)</f>
        <v>45437</v>
      </c>
      <c r="F2491" s="7" t="n">
        <f aca="false">C2491*D2491</f>
        <v>318.75</v>
      </c>
      <c r="G2491" s="7" t="n">
        <f aca="false">ROUND(F2491*0.2,2)</f>
        <v>63.75</v>
      </c>
      <c r="H2491" s="4" t="str">
        <f aca="false">IF(F2491&gt;500,"Yüksek",IF(F2491&gt;100,"Orta","Düşük"))</f>
        <v>Orta</v>
      </c>
    </row>
    <row r="2492" customFormat="false" ht="12.8" hidden="false" customHeight="false" outlineLevel="0" collapsed="false">
      <c r="A2492" s="4" t="s">
        <v>24</v>
      </c>
      <c r="B2492" s="4" t="s">
        <v>19</v>
      </c>
      <c r="C2492" s="4" t="n">
        <v>24</v>
      </c>
      <c r="D2492" s="5" t="n">
        <v>21.5</v>
      </c>
      <c r="E2492" s="6" t="n">
        <f aca="false">DATE(2024,6,26)</f>
        <v>45469</v>
      </c>
      <c r="F2492" s="7" t="n">
        <f aca="false">C2492*D2492</f>
        <v>516</v>
      </c>
      <c r="G2492" s="7" t="n">
        <f aca="false">ROUND(F2492*0.2,2)</f>
        <v>103.2</v>
      </c>
      <c r="H2492" s="4" t="str">
        <f aca="false">IF(F2492&gt;500,"Yüksek",IF(F2492&gt;100,"Orta","Düşük"))</f>
        <v>Yüksek</v>
      </c>
    </row>
    <row r="2493" customFormat="false" ht="12.8" hidden="false" customHeight="false" outlineLevel="0" collapsed="false">
      <c r="A2493" s="4" t="s">
        <v>10</v>
      </c>
      <c r="B2493" s="4" t="s">
        <v>11</v>
      </c>
      <c r="C2493" s="4" t="n">
        <v>31</v>
      </c>
      <c r="D2493" s="5" t="n">
        <v>24.25</v>
      </c>
      <c r="E2493" s="6" t="n">
        <f aca="false">DATE(2024,7,27)</f>
        <v>45500</v>
      </c>
      <c r="F2493" s="7" t="n">
        <f aca="false">C2493*D2493</f>
        <v>751.75</v>
      </c>
      <c r="G2493" s="7" t="n">
        <f aca="false">ROUND(F2493*0.2,2)</f>
        <v>150.35</v>
      </c>
      <c r="H2493" s="4" t="str">
        <f aca="false">IF(F2493&gt;500,"Yüksek",IF(F2493&gt;100,"Orta","Düşük"))</f>
        <v>Yüksek</v>
      </c>
    </row>
    <row r="2494" customFormat="false" ht="12.8" hidden="false" customHeight="false" outlineLevel="0" collapsed="false">
      <c r="A2494" s="4" t="s">
        <v>12</v>
      </c>
      <c r="B2494" s="4" t="s">
        <v>13</v>
      </c>
      <c r="C2494" s="4" t="n">
        <v>38</v>
      </c>
      <c r="D2494" s="5" t="n">
        <v>27</v>
      </c>
      <c r="E2494" s="6" t="n">
        <f aca="false">DATE(2024,8,28)</f>
        <v>45532</v>
      </c>
      <c r="F2494" s="7" t="n">
        <f aca="false">C2494*D2494</f>
        <v>1026</v>
      </c>
      <c r="G2494" s="7" t="n">
        <f aca="false">ROUND(F2494*0.2,2)</f>
        <v>205.2</v>
      </c>
      <c r="H2494" s="4" t="str">
        <f aca="false">IF(F2494&gt;500,"Yüksek",IF(F2494&gt;100,"Orta","Düşük"))</f>
        <v>Yüksek</v>
      </c>
    </row>
    <row r="2495" customFormat="false" ht="12.8" hidden="false" customHeight="false" outlineLevel="0" collapsed="false">
      <c r="A2495" s="4" t="s">
        <v>14</v>
      </c>
      <c r="B2495" s="4" t="s">
        <v>15</v>
      </c>
      <c r="C2495" s="4" t="n">
        <v>45</v>
      </c>
      <c r="D2495" s="5" t="n">
        <v>29.75</v>
      </c>
      <c r="E2495" s="6" t="n">
        <f aca="false">DATE(2024,9,1)</f>
        <v>45536</v>
      </c>
      <c r="F2495" s="7" t="n">
        <f aca="false">C2495*D2495</f>
        <v>1338.75</v>
      </c>
      <c r="G2495" s="7" t="n">
        <f aca="false">ROUND(F2495*0.2,2)</f>
        <v>267.75</v>
      </c>
      <c r="H2495" s="4" t="str">
        <f aca="false">IF(F2495&gt;500,"Yüksek",IF(F2495&gt;100,"Orta","Düşük"))</f>
        <v>Yüksek</v>
      </c>
    </row>
    <row r="2496" customFormat="false" ht="12.8" hidden="false" customHeight="false" outlineLevel="0" collapsed="false">
      <c r="A2496" s="4" t="s">
        <v>16</v>
      </c>
      <c r="B2496" s="4" t="s">
        <v>17</v>
      </c>
      <c r="C2496" s="4" t="n">
        <v>2</v>
      </c>
      <c r="D2496" s="5" t="n">
        <v>32.5</v>
      </c>
      <c r="E2496" s="6" t="n">
        <f aca="false">DATE(2024,10,2)</f>
        <v>45567</v>
      </c>
      <c r="F2496" s="7" t="n">
        <f aca="false">C2496*D2496</f>
        <v>65</v>
      </c>
      <c r="G2496" s="7" t="n">
        <f aca="false">ROUND(F2496*0.2,2)</f>
        <v>13</v>
      </c>
      <c r="H2496" s="4" t="str">
        <f aca="false">IF(F2496&gt;500,"Yüksek",IF(F2496&gt;100,"Orta","Düşük"))</f>
        <v>Düşük</v>
      </c>
    </row>
    <row r="2497" customFormat="false" ht="12.8" hidden="false" customHeight="false" outlineLevel="0" collapsed="false">
      <c r="A2497" s="4" t="s">
        <v>18</v>
      </c>
      <c r="B2497" s="4" t="s">
        <v>19</v>
      </c>
      <c r="C2497" s="4" t="n">
        <v>9</v>
      </c>
      <c r="D2497" s="5" t="n">
        <v>35.25</v>
      </c>
      <c r="E2497" s="6" t="n">
        <f aca="false">DATE(2024,11,3)</f>
        <v>45599</v>
      </c>
      <c r="F2497" s="7" t="n">
        <f aca="false">C2497*D2497</f>
        <v>317.25</v>
      </c>
      <c r="G2497" s="7" t="n">
        <f aca="false">ROUND(F2497*0.2,2)</f>
        <v>63.45</v>
      </c>
      <c r="H2497" s="4" t="str">
        <f aca="false">IF(F2497&gt;500,"Yüksek",IF(F2497&gt;100,"Orta","Düşük"))</f>
        <v>Orta</v>
      </c>
    </row>
    <row r="2498" customFormat="false" ht="12.8" hidden="false" customHeight="false" outlineLevel="0" collapsed="false">
      <c r="A2498" s="4" t="s">
        <v>20</v>
      </c>
      <c r="B2498" s="4" t="s">
        <v>11</v>
      </c>
      <c r="C2498" s="4" t="n">
        <v>16</v>
      </c>
      <c r="D2498" s="5" t="n">
        <v>38</v>
      </c>
      <c r="E2498" s="6" t="n">
        <f aca="false">DATE(2024,12,4)</f>
        <v>45630</v>
      </c>
      <c r="F2498" s="7" t="n">
        <f aca="false">C2498*D2498</f>
        <v>608</v>
      </c>
      <c r="G2498" s="7" t="n">
        <f aca="false">ROUND(F2498*0.2,2)</f>
        <v>121.6</v>
      </c>
      <c r="H2498" s="4" t="str">
        <f aca="false">IF(F2498&gt;500,"Yüksek",IF(F2498&gt;100,"Orta","Düşük"))</f>
        <v>Yüksek</v>
      </c>
    </row>
    <row r="2499" customFormat="false" ht="12.8" hidden="false" customHeight="false" outlineLevel="0" collapsed="false">
      <c r="A2499" s="4" t="s">
        <v>21</v>
      </c>
      <c r="B2499" s="4" t="s">
        <v>13</v>
      </c>
      <c r="C2499" s="4" t="n">
        <v>23</v>
      </c>
      <c r="D2499" s="5" t="n">
        <v>5</v>
      </c>
      <c r="E2499" s="6" t="n">
        <f aca="false">DATE(2024,1,5)</f>
        <v>45296</v>
      </c>
      <c r="F2499" s="7" t="n">
        <f aca="false">C2499*D2499</f>
        <v>115</v>
      </c>
      <c r="G2499" s="7" t="n">
        <f aca="false">ROUND(F2499*0.2,2)</f>
        <v>23</v>
      </c>
      <c r="H2499" s="4" t="str">
        <f aca="false">IF(F2499&gt;500,"Yüksek",IF(F2499&gt;100,"Orta","Düşük"))</f>
        <v>Orta</v>
      </c>
    </row>
    <row r="2500" customFormat="false" ht="12.8" hidden="false" customHeight="false" outlineLevel="0" collapsed="false">
      <c r="A2500" s="4" t="s">
        <v>22</v>
      </c>
      <c r="B2500" s="4" t="s">
        <v>15</v>
      </c>
      <c r="C2500" s="4" t="n">
        <v>30</v>
      </c>
      <c r="D2500" s="5" t="n">
        <v>7.75</v>
      </c>
      <c r="E2500" s="6" t="n">
        <f aca="false">DATE(2024,2,6)</f>
        <v>45328</v>
      </c>
      <c r="F2500" s="7" t="n">
        <f aca="false">C2500*D2500</f>
        <v>232.5</v>
      </c>
      <c r="G2500" s="7" t="n">
        <f aca="false">ROUND(F2500*0.2,2)</f>
        <v>46.5</v>
      </c>
      <c r="H2500" s="4" t="str">
        <f aca="false">IF(F2500&gt;500,"Yüksek",IF(F2500&gt;100,"Orta","Düşük"))</f>
        <v>Orta</v>
      </c>
    </row>
    <row r="2501" customFormat="false" ht="12.8" hidden="false" customHeight="false" outlineLevel="0" collapsed="false">
      <c r="A2501" s="4" t="s">
        <v>23</v>
      </c>
      <c r="B2501" s="4" t="s">
        <v>17</v>
      </c>
      <c r="C2501" s="4" t="n">
        <v>37</v>
      </c>
      <c r="D2501" s="5" t="n">
        <v>10.5</v>
      </c>
      <c r="E2501" s="6" t="n">
        <f aca="false">DATE(2024,3,7)</f>
        <v>45358</v>
      </c>
      <c r="F2501" s="7" t="n">
        <f aca="false">C2501*D2501</f>
        <v>388.5</v>
      </c>
      <c r="G2501" s="7" t="n">
        <f aca="false">ROUND(F2501*0.2,2)</f>
        <v>77.7</v>
      </c>
      <c r="H2501" s="4" t="str">
        <f aca="false">IF(F2501&gt;500,"Yüksek",IF(F2501&gt;100,"Orta","Düşük"))</f>
        <v>Orta</v>
      </c>
    </row>
    <row r="2502" customFormat="false" ht="12.8" hidden="false" customHeight="false" outlineLevel="0" collapsed="false">
      <c r="A2502" s="4" t="s">
        <v>24</v>
      </c>
      <c r="B2502" s="4" t="s">
        <v>19</v>
      </c>
      <c r="C2502" s="4" t="n">
        <v>44</v>
      </c>
      <c r="D2502" s="5" t="n">
        <v>13.25</v>
      </c>
      <c r="E2502" s="6" t="n">
        <f aca="false">DATE(2024,4,8)</f>
        <v>45390</v>
      </c>
      <c r="F2502" s="7" t="n">
        <f aca="false">C2502*D2502</f>
        <v>583</v>
      </c>
      <c r="G2502" s="7" t="n">
        <f aca="false">ROUND(F2502*0.2,2)</f>
        <v>116.6</v>
      </c>
      <c r="H2502" s="4" t="str">
        <f aca="false">IF(F2502&gt;500,"Yüksek",IF(F2502&gt;100,"Orta","Düşük"))</f>
        <v>Yüksek</v>
      </c>
    </row>
    <row r="2503" customFormat="false" ht="12.8" hidden="false" customHeight="false" outlineLevel="0" collapsed="false">
      <c r="A2503" s="4" t="s">
        <v>10</v>
      </c>
      <c r="B2503" s="4" t="s">
        <v>11</v>
      </c>
      <c r="C2503" s="4" t="n">
        <v>1</v>
      </c>
      <c r="D2503" s="5" t="n">
        <v>16</v>
      </c>
      <c r="E2503" s="6" t="n">
        <f aca="false">DATE(2024,5,9)</f>
        <v>45421</v>
      </c>
      <c r="F2503" s="7" t="n">
        <f aca="false">C2503*D2503</f>
        <v>16</v>
      </c>
      <c r="G2503" s="7" t="n">
        <f aca="false">ROUND(F2503*0.2,2)</f>
        <v>3.2</v>
      </c>
      <c r="H2503" s="4" t="str">
        <f aca="false">IF(F2503&gt;500,"Yüksek",IF(F2503&gt;100,"Orta","Düşük"))</f>
        <v>Düşük</v>
      </c>
    </row>
    <row r="2504" customFormat="false" ht="12.8" hidden="false" customHeight="false" outlineLevel="0" collapsed="false">
      <c r="A2504" s="4" t="s">
        <v>12</v>
      </c>
      <c r="B2504" s="4" t="s">
        <v>13</v>
      </c>
      <c r="C2504" s="4" t="n">
        <v>8</v>
      </c>
      <c r="D2504" s="5" t="n">
        <v>18.75</v>
      </c>
      <c r="E2504" s="6" t="n">
        <f aca="false">DATE(2024,6,10)</f>
        <v>45453</v>
      </c>
      <c r="F2504" s="7" t="n">
        <f aca="false">C2504*D2504</f>
        <v>150</v>
      </c>
      <c r="G2504" s="7" t="n">
        <f aca="false">ROUND(F2504*0.2,2)</f>
        <v>30</v>
      </c>
      <c r="H2504" s="4" t="str">
        <f aca="false">IF(F2504&gt;500,"Yüksek",IF(F2504&gt;100,"Orta","Düşük"))</f>
        <v>Orta</v>
      </c>
    </row>
    <row r="2505" customFormat="false" ht="12.8" hidden="false" customHeight="false" outlineLevel="0" collapsed="false">
      <c r="A2505" s="4" t="s">
        <v>14</v>
      </c>
      <c r="B2505" s="4" t="s">
        <v>15</v>
      </c>
      <c r="C2505" s="4" t="n">
        <v>15</v>
      </c>
      <c r="D2505" s="5" t="n">
        <v>21.5</v>
      </c>
      <c r="E2505" s="6" t="n">
        <f aca="false">DATE(2024,7,11)</f>
        <v>45484</v>
      </c>
      <c r="F2505" s="7" t="n">
        <f aca="false">C2505*D2505</f>
        <v>322.5</v>
      </c>
      <c r="G2505" s="7" t="n">
        <f aca="false">ROUND(F2505*0.2,2)</f>
        <v>64.5</v>
      </c>
      <c r="H2505" s="4" t="str">
        <f aca="false">IF(F2505&gt;500,"Yüksek",IF(F2505&gt;100,"Orta","Düşük"))</f>
        <v>Orta</v>
      </c>
    </row>
    <row r="2506" customFormat="false" ht="12.8" hidden="false" customHeight="false" outlineLevel="0" collapsed="false">
      <c r="A2506" s="4" t="s">
        <v>16</v>
      </c>
      <c r="B2506" s="4" t="s">
        <v>17</v>
      </c>
      <c r="C2506" s="4" t="n">
        <v>22</v>
      </c>
      <c r="D2506" s="5" t="n">
        <v>24.25</v>
      </c>
      <c r="E2506" s="6" t="n">
        <f aca="false">DATE(2024,8,12)</f>
        <v>45516</v>
      </c>
      <c r="F2506" s="7" t="n">
        <f aca="false">C2506*D2506</f>
        <v>533.5</v>
      </c>
      <c r="G2506" s="7" t="n">
        <f aca="false">ROUND(F2506*0.2,2)</f>
        <v>106.7</v>
      </c>
      <c r="H2506" s="4" t="str">
        <f aca="false">IF(F2506&gt;500,"Yüksek",IF(F2506&gt;100,"Orta","Düşük"))</f>
        <v>Yüksek</v>
      </c>
    </row>
    <row r="2507" customFormat="false" ht="12.8" hidden="false" customHeight="false" outlineLevel="0" collapsed="false">
      <c r="A2507" s="4" t="s">
        <v>18</v>
      </c>
      <c r="B2507" s="4" t="s">
        <v>19</v>
      </c>
      <c r="C2507" s="4" t="n">
        <v>29</v>
      </c>
      <c r="D2507" s="5" t="n">
        <v>27</v>
      </c>
      <c r="E2507" s="6" t="n">
        <f aca="false">DATE(2024,9,13)</f>
        <v>45548</v>
      </c>
      <c r="F2507" s="7" t="n">
        <f aca="false">C2507*D2507</f>
        <v>783</v>
      </c>
      <c r="G2507" s="7" t="n">
        <f aca="false">ROUND(F2507*0.2,2)</f>
        <v>156.6</v>
      </c>
      <c r="H2507" s="4" t="str">
        <f aca="false">IF(F2507&gt;500,"Yüksek",IF(F2507&gt;100,"Orta","Düşük"))</f>
        <v>Yüksek</v>
      </c>
    </row>
    <row r="2508" customFormat="false" ht="12.8" hidden="false" customHeight="false" outlineLevel="0" collapsed="false">
      <c r="A2508" s="4" t="s">
        <v>20</v>
      </c>
      <c r="B2508" s="4" t="s">
        <v>11</v>
      </c>
      <c r="C2508" s="4" t="n">
        <v>36</v>
      </c>
      <c r="D2508" s="5" t="n">
        <v>29.75</v>
      </c>
      <c r="E2508" s="6" t="n">
        <f aca="false">DATE(2024,10,14)</f>
        <v>45579</v>
      </c>
      <c r="F2508" s="7" t="n">
        <f aca="false">C2508*D2508</f>
        <v>1071</v>
      </c>
      <c r="G2508" s="7" t="n">
        <f aca="false">ROUND(F2508*0.2,2)</f>
        <v>214.2</v>
      </c>
      <c r="H2508" s="4" t="str">
        <f aca="false">IF(F2508&gt;500,"Yüksek",IF(F2508&gt;100,"Orta","Düşük"))</f>
        <v>Yüksek</v>
      </c>
    </row>
    <row r="2509" customFormat="false" ht="12.8" hidden="false" customHeight="false" outlineLevel="0" collapsed="false">
      <c r="A2509" s="4" t="s">
        <v>21</v>
      </c>
      <c r="B2509" s="4" t="s">
        <v>13</v>
      </c>
      <c r="C2509" s="4" t="n">
        <v>43</v>
      </c>
      <c r="D2509" s="5" t="n">
        <v>32.5</v>
      </c>
      <c r="E2509" s="6" t="n">
        <f aca="false">DATE(2024,11,15)</f>
        <v>45611</v>
      </c>
      <c r="F2509" s="7" t="n">
        <f aca="false">C2509*D2509</f>
        <v>1397.5</v>
      </c>
      <c r="G2509" s="7" t="n">
        <f aca="false">ROUND(F2509*0.2,2)</f>
        <v>279.5</v>
      </c>
      <c r="H2509" s="4" t="str">
        <f aca="false">IF(F2509&gt;500,"Yüksek",IF(F2509&gt;100,"Orta","Düşük"))</f>
        <v>Yüksek</v>
      </c>
    </row>
    <row r="2510" customFormat="false" ht="12.8" hidden="false" customHeight="false" outlineLevel="0" collapsed="false">
      <c r="A2510" s="4" t="s">
        <v>22</v>
      </c>
      <c r="B2510" s="4" t="s">
        <v>15</v>
      </c>
      <c r="C2510" s="4" t="n">
        <v>50</v>
      </c>
      <c r="D2510" s="5" t="n">
        <v>35.25</v>
      </c>
      <c r="E2510" s="6" t="n">
        <f aca="false">DATE(2024,12,16)</f>
        <v>45642</v>
      </c>
      <c r="F2510" s="7" t="n">
        <f aca="false">C2510*D2510</f>
        <v>1762.5</v>
      </c>
      <c r="G2510" s="7" t="n">
        <f aca="false">ROUND(F2510*0.2,2)</f>
        <v>352.5</v>
      </c>
      <c r="H2510" s="4" t="str">
        <f aca="false">IF(F2510&gt;500,"Yüksek",IF(F2510&gt;100,"Orta","Düşük"))</f>
        <v>Yüksek</v>
      </c>
    </row>
    <row r="2511" customFormat="false" ht="12.8" hidden="false" customHeight="false" outlineLevel="0" collapsed="false">
      <c r="A2511" s="4" t="s">
        <v>23</v>
      </c>
      <c r="B2511" s="4" t="s">
        <v>17</v>
      </c>
      <c r="C2511" s="4" t="n">
        <v>7</v>
      </c>
      <c r="D2511" s="5" t="n">
        <v>38</v>
      </c>
      <c r="E2511" s="6" t="n">
        <f aca="false">DATE(2024,1,17)</f>
        <v>45308</v>
      </c>
      <c r="F2511" s="7" t="n">
        <f aca="false">C2511*D2511</f>
        <v>266</v>
      </c>
      <c r="G2511" s="7" t="n">
        <f aca="false">ROUND(F2511*0.2,2)</f>
        <v>53.2</v>
      </c>
      <c r="H2511" s="4" t="str">
        <f aca="false">IF(F2511&gt;500,"Yüksek",IF(F2511&gt;100,"Orta","Düşük"))</f>
        <v>Orta</v>
      </c>
    </row>
    <row r="2512" customFormat="false" ht="12.8" hidden="false" customHeight="false" outlineLevel="0" collapsed="false">
      <c r="A2512" s="4" t="s">
        <v>24</v>
      </c>
      <c r="B2512" s="4" t="s">
        <v>19</v>
      </c>
      <c r="C2512" s="4" t="n">
        <v>14</v>
      </c>
      <c r="D2512" s="5" t="n">
        <v>5</v>
      </c>
      <c r="E2512" s="6" t="n">
        <f aca="false">DATE(2024,2,18)</f>
        <v>45340</v>
      </c>
      <c r="F2512" s="7" t="n">
        <f aca="false">C2512*D2512</f>
        <v>70</v>
      </c>
      <c r="G2512" s="7" t="n">
        <f aca="false">ROUND(F2512*0.2,2)</f>
        <v>14</v>
      </c>
      <c r="H2512" s="4" t="str">
        <f aca="false">IF(F2512&gt;500,"Yüksek",IF(F2512&gt;100,"Orta","Düşük"))</f>
        <v>Düşük</v>
      </c>
    </row>
    <row r="2513" customFormat="false" ht="12.8" hidden="false" customHeight="false" outlineLevel="0" collapsed="false">
      <c r="A2513" s="4" t="s">
        <v>10</v>
      </c>
      <c r="B2513" s="4" t="s">
        <v>11</v>
      </c>
      <c r="C2513" s="4" t="n">
        <v>21</v>
      </c>
      <c r="D2513" s="5" t="n">
        <v>7.75</v>
      </c>
      <c r="E2513" s="6" t="n">
        <f aca="false">DATE(2024,3,19)</f>
        <v>45370</v>
      </c>
      <c r="F2513" s="7" t="n">
        <f aca="false">C2513*D2513</f>
        <v>162.75</v>
      </c>
      <c r="G2513" s="7" t="n">
        <f aca="false">ROUND(F2513*0.2,2)</f>
        <v>32.55</v>
      </c>
      <c r="H2513" s="4" t="str">
        <f aca="false">IF(F2513&gt;500,"Yüksek",IF(F2513&gt;100,"Orta","Düşük"))</f>
        <v>Orta</v>
      </c>
    </row>
    <row r="2514" customFormat="false" ht="12.8" hidden="false" customHeight="false" outlineLevel="0" collapsed="false">
      <c r="A2514" s="4" t="s">
        <v>12</v>
      </c>
      <c r="B2514" s="4" t="s">
        <v>13</v>
      </c>
      <c r="C2514" s="4" t="n">
        <v>28</v>
      </c>
      <c r="D2514" s="5" t="n">
        <v>10.5</v>
      </c>
      <c r="E2514" s="6" t="n">
        <f aca="false">DATE(2024,4,20)</f>
        <v>45402</v>
      </c>
      <c r="F2514" s="7" t="n">
        <f aca="false">C2514*D2514</f>
        <v>294</v>
      </c>
      <c r="G2514" s="7" t="n">
        <f aca="false">ROUND(F2514*0.2,2)</f>
        <v>58.8</v>
      </c>
      <c r="H2514" s="4" t="str">
        <f aca="false">IF(F2514&gt;500,"Yüksek",IF(F2514&gt;100,"Orta","Düşük"))</f>
        <v>Orta</v>
      </c>
    </row>
    <row r="2515" customFormat="false" ht="12.8" hidden="false" customHeight="false" outlineLevel="0" collapsed="false">
      <c r="A2515" s="4" t="s">
        <v>14</v>
      </c>
      <c r="B2515" s="4" t="s">
        <v>15</v>
      </c>
      <c r="C2515" s="4" t="n">
        <v>35</v>
      </c>
      <c r="D2515" s="5" t="n">
        <v>13.25</v>
      </c>
      <c r="E2515" s="6" t="n">
        <f aca="false">DATE(2024,5,21)</f>
        <v>45433</v>
      </c>
      <c r="F2515" s="7" t="n">
        <f aca="false">C2515*D2515</f>
        <v>463.75</v>
      </c>
      <c r="G2515" s="7" t="n">
        <f aca="false">ROUND(F2515*0.2,2)</f>
        <v>92.75</v>
      </c>
      <c r="H2515" s="4" t="str">
        <f aca="false">IF(F2515&gt;500,"Yüksek",IF(F2515&gt;100,"Orta","Düşük"))</f>
        <v>Orta</v>
      </c>
    </row>
    <row r="2516" customFormat="false" ht="12.8" hidden="false" customHeight="false" outlineLevel="0" collapsed="false">
      <c r="A2516" s="4" t="s">
        <v>16</v>
      </c>
      <c r="B2516" s="4" t="s">
        <v>17</v>
      </c>
      <c r="C2516" s="4" t="n">
        <v>42</v>
      </c>
      <c r="D2516" s="5" t="n">
        <v>16</v>
      </c>
      <c r="E2516" s="6" t="n">
        <f aca="false">DATE(2024,6,22)</f>
        <v>45465</v>
      </c>
      <c r="F2516" s="7" t="n">
        <f aca="false">C2516*D2516</f>
        <v>672</v>
      </c>
      <c r="G2516" s="7" t="n">
        <f aca="false">ROUND(F2516*0.2,2)</f>
        <v>134.4</v>
      </c>
      <c r="H2516" s="4" t="str">
        <f aca="false">IF(F2516&gt;500,"Yüksek",IF(F2516&gt;100,"Orta","Düşük"))</f>
        <v>Yüksek</v>
      </c>
    </row>
    <row r="2517" customFormat="false" ht="12.8" hidden="false" customHeight="false" outlineLevel="0" collapsed="false">
      <c r="A2517" s="4" t="s">
        <v>18</v>
      </c>
      <c r="B2517" s="4" t="s">
        <v>19</v>
      </c>
      <c r="C2517" s="4" t="n">
        <v>49</v>
      </c>
      <c r="D2517" s="5" t="n">
        <v>18.75</v>
      </c>
      <c r="E2517" s="6" t="n">
        <f aca="false">DATE(2024,7,23)</f>
        <v>45496</v>
      </c>
      <c r="F2517" s="7" t="n">
        <f aca="false">C2517*D2517</f>
        <v>918.75</v>
      </c>
      <c r="G2517" s="7" t="n">
        <f aca="false">ROUND(F2517*0.2,2)</f>
        <v>183.75</v>
      </c>
      <c r="H2517" s="4" t="str">
        <f aca="false">IF(F2517&gt;500,"Yüksek",IF(F2517&gt;100,"Orta","Düşük"))</f>
        <v>Yüksek</v>
      </c>
    </row>
    <row r="2518" customFormat="false" ht="12.8" hidden="false" customHeight="false" outlineLevel="0" collapsed="false">
      <c r="A2518" s="4" t="s">
        <v>20</v>
      </c>
      <c r="B2518" s="4" t="s">
        <v>11</v>
      </c>
      <c r="C2518" s="4" t="n">
        <v>6</v>
      </c>
      <c r="D2518" s="5" t="n">
        <v>21.5</v>
      </c>
      <c r="E2518" s="6" t="n">
        <f aca="false">DATE(2024,8,24)</f>
        <v>45528</v>
      </c>
      <c r="F2518" s="7" t="n">
        <f aca="false">C2518*D2518</f>
        <v>129</v>
      </c>
      <c r="G2518" s="7" t="n">
        <f aca="false">ROUND(F2518*0.2,2)</f>
        <v>25.8</v>
      </c>
      <c r="H2518" s="4" t="str">
        <f aca="false">IF(F2518&gt;500,"Yüksek",IF(F2518&gt;100,"Orta","Düşük"))</f>
        <v>Orta</v>
      </c>
    </row>
    <row r="2519" customFormat="false" ht="12.8" hidden="false" customHeight="false" outlineLevel="0" collapsed="false">
      <c r="A2519" s="4" t="s">
        <v>21</v>
      </c>
      <c r="B2519" s="4" t="s">
        <v>13</v>
      </c>
      <c r="C2519" s="4" t="n">
        <v>13</v>
      </c>
      <c r="D2519" s="5" t="n">
        <v>24.25</v>
      </c>
      <c r="E2519" s="6" t="n">
        <f aca="false">DATE(2024,9,25)</f>
        <v>45560</v>
      </c>
      <c r="F2519" s="7" t="n">
        <f aca="false">C2519*D2519</f>
        <v>315.25</v>
      </c>
      <c r="G2519" s="7" t="n">
        <f aca="false">ROUND(F2519*0.2,2)</f>
        <v>63.05</v>
      </c>
      <c r="H2519" s="4" t="str">
        <f aca="false">IF(F2519&gt;500,"Yüksek",IF(F2519&gt;100,"Orta","Düşük"))</f>
        <v>Orta</v>
      </c>
    </row>
    <row r="2520" customFormat="false" ht="12.8" hidden="false" customHeight="false" outlineLevel="0" collapsed="false">
      <c r="A2520" s="4" t="s">
        <v>22</v>
      </c>
      <c r="B2520" s="4" t="s">
        <v>15</v>
      </c>
      <c r="C2520" s="4" t="n">
        <v>20</v>
      </c>
      <c r="D2520" s="5" t="n">
        <v>27</v>
      </c>
      <c r="E2520" s="6" t="n">
        <f aca="false">DATE(2024,10,26)</f>
        <v>45591</v>
      </c>
      <c r="F2520" s="7" t="n">
        <f aca="false">C2520*D2520</f>
        <v>540</v>
      </c>
      <c r="G2520" s="7" t="n">
        <f aca="false">ROUND(F2520*0.2,2)</f>
        <v>108</v>
      </c>
      <c r="H2520" s="4" t="str">
        <f aca="false">IF(F2520&gt;500,"Yüksek",IF(F2520&gt;100,"Orta","Düşük"))</f>
        <v>Yüksek</v>
      </c>
    </row>
    <row r="2521" customFormat="false" ht="12.8" hidden="false" customHeight="false" outlineLevel="0" collapsed="false">
      <c r="A2521" s="4" t="s">
        <v>23</v>
      </c>
      <c r="B2521" s="4" t="s">
        <v>17</v>
      </c>
      <c r="C2521" s="4" t="n">
        <v>27</v>
      </c>
      <c r="D2521" s="5" t="n">
        <v>29.75</v>
      </c>
      <c r="E2521" s="6" t="n">
        <f aca="false">DATE(2024,11,27)</f>
        <v>45623</v>
      </c>
      <c r="F2521" s="7" t="n">
        <f aca="false">C2521*D2521</f>
        <v>803.25</v>
      </c>
      <c r="G2521" s="7" t="n">
        <f aca="false">ROUND(F2521*0.2,2)</f>
        <v>160.65</v>
      </c>
      <c r="H2521" s="4" t="str">
        <f aca="false">IF(F2521&gt;500,"Yüksek",IF(F2521&gt;100,"Orta","Düşük"))</f>
        <v>Yüksek</v>
      </c>
    </row>
    <row r="2522" customFormat="false" ht="12.8" hidden="false" customHeight="false" outlineLevel="0" collapsed="false">
      <c r="A2522" s="4" t="s">
        <v>24</v>
      </c>
      <c r="B2522" s="4" t="s">
        <v>19</v>
      </c>
      <c r="C2522" s="4" t="n">
        <v>34</v>
      </c>
      <c r="D2522" s="5" t="n">
        <v>32.5</v>
      </c>
      <c r="E2522" s="6" t="n">
        <f aca="false">DATE(2024,12,28)</f>
        <v>45654</v>
      </c>
      <c r="F2522" s="7" t="n">
        <f aca="false">C2522*D2522</f>
        <v>1105</v>
      </c>
      <c r="G2522" s="7" t="n">
        <f aca="false">ROUND(F2522*0.2,2)</f>
        <v>221</v>
      </c>
      <c r="H2522" s="4" t="str">
        <f aca="false">IF(F2522&gt;500,"Yüksek",IF(F2522&gt;100,"Orta","Düşük"))</f>
        <v>Yüksek</v>
      </c>
    </row>
    <row r="2523" customFormat="false" ht="12.8" hidden="false" customHeight="false" outlineLevel="0" collapsed="false">
      <c r="A2523" s="4" t="s">
        <v>10</v>
      </c>
      <c r="B2523" s="4" t="s">
        <v>11</v>
      </c>
      <c r="C2523" s="4" t="n">
        <v>41</v>
      </c>
      <c r="D2523" s="5" t="n">
        <v>35.25</v>
      </c>
      <c r="E2523" s="6" t="n">
        <f aca="false">DATE(2024,1,1)</f>
        <v>45292</v>
      </c>
      <c r="F2523" s="7" t="n">
        <f aca="false">C2523*D2523</f>
        <v>1445.25</v>
      </c>
      <c r="G2523" s="7" t="n">
        <f aca="false">ROUND(F2523*0.2,2)</f>
        <v>289.05</v>
      </c>
      <c r="H2523" s="4" t="str">
        <f aca="false">IF(F2523&gt;500,"Yüksek",IF(F2523&gt;100,"Orta","Düşük"))</f>
        <v>Yüksek</v>
      </c>
    </row>
    <row r="2524" customFormat="false" ht="12.8" hidden="false" customHeight="false" outlineLevel="0" collapsed="false">
      <c r="A2524" s="4" t="s">
        <v>12</v>
      </c>
      <c r="B2524" s="4" t="s">
        <v>13</v>
      </c>
      <c r="C2524" s="4" t="n">
        <v>48</v>
      </c>
      <c r="D2524" s="5" t="n">
        <v>38</v>
      </c>
      <c r="E2524" s="6" t="n">
        <f aca="false">DATE(2024,2,2)</f>
        <v>45324</v>
      </c>
      <c r="F2524" s="7" t="n">
        <f aca="false">C2524*D2524</f>
        <v>1824</v>
      </c>
      <c r="G2524" s="7" t="n">
        <f aca="false">ROUND(F2524*0.2,2)</f>
        <v>364.8</v>
      </c>
      <c r="H2524" s="4" t="str">
        <f aca="false">IF(F2524&gt;500,"Yüksek",IF(F2524&gt;100,"Orta","Düşük"))</f>
        <v>Yüksek</v>
      </c>
    </row>
    <row r="2525" customFormat="false" ht="12.8" hidden="false" customHeight="false" outlineLevel="0" collapsed="false">
      <c r="A2525" s="4" t="s">
        <v>14</v>
      </c>
      <c r="B2525" s="4" t="s">
        <v>15</v>
      </c>
      <c r="C2525" s="4" t="n">
        <v>5</v>
      </c>
      <c r="D2525" s="5" t="n">
        <v>5</v>
      </c>
      <c r="E2525" s="6" t="n">
        <f aca="false">DATE(2024,3,3)</f>
        <v>45354</v>
      </c>
      <c r="F2525" s="7" t="n">
        <f aca="false">C2525*D2525</f>
        <v>25</v>
      </c>
      <c r="G2525" s="7" t="n">
        <f aca="false">ROUND(F2525*0.2,2)</f>
        <v>5</v>
      </c>
      <c r="H2525" s="4" t="str">
        <f aca="false">IF(F2525&gt;500,"Yüksek",IF(F2525&gt;100,"Orta","Düşük"))</f>
        <v>Düşük</v>
      </c>
    </row>
    <row r="2526" customFormat="false" ht="12.8" hidden="false" customHeight="false" outlineLevel="0" collapsed="false">
      <c r="A2526" s="4" t="s">
        <v>16</v>
      </c>
      <c r="B2526" s="4" t="s">
        <v>17</v>
      </c>
      <c r="C2526" s="4" t="n">
        <v>12</v>
      </c>
      <c r="D2526" s="5" t="n">
        <v>7.75</v>
      </c>
      <c r="E2526" s="6" t="n">
        <f aca="false">DATE(2024,4,4)</f>
        <v>45386</v>
      </c>
      <c r="F2526" s="7" t="n">
        <f aca="false">C2526*D2526</f>
        <v>93</v>
      </c>
      <c r="G2526" s="7" t="n">
        <f aca="false">ROUND(F2526*0.2,2)</f>
        <v>18.6</v>
      </c>
      <c r="H2526" s="4" t="str">
        <f aca="false">IF(F2526&gt;500,"Yüksek",IF(F2526&gt;100,"Orta","Düşük"))</f>
        <v>Düşük</v>
      </c>
    </row>
    <row r="2527" customFormat="false" ht="12.8" hidden="false" customHeight="false" outlineLevel="0" collapsed="false">
      <c r="A2527" s="4" t="s">
        <v>18</v>
      </c>
      <c r="B2527" s="4" t="s">
        <v>19</v>
      </c>
      <c r="C2527" s="4" t="n">
        <v>19</v>
      </c>
      <c r="D2527" s="5" t="n">
        <v>10.5</v>
      </c>
      <c r="E2527" s="6" t="n">
        <f aca="false">DATE(2024,5,5)</f>
        <v>45417</v>
      </c>
      <c r="F2527" s="7" t="n">
        <f aca="false">C2527*D2527</f>
        <v>199.5</v>
      </c>
      <c r="G2527" s="7" t="n">
        <f aca="false">ROUND(F2527*0.2,2)</f>
        <v>39.9</v>
      </c>
      <c r="H2527" s="4" t="str">
        <f aca="false">IF(F2527&gt;500,"Yüksek",IF(F2527&gt;100,"Orta","Düşük"))</f>
        <v>Orta</v>
      </c>
    </row>
    <row r="2528" customFormat="false" ht="12.8" hidden="false" customHeight="false" outlineLevel="0" collapsed="false">
      <c r="A2528" s="4" t="s">
        <v>20</v>
      </c>
      <c r="B2528" s="4" t="s">
        <v>11</v>
      </c>
      <c r="C2528" s="4" t="n">
        <v>26</v>
      </c>
      <c r="D2528" s="5" t="n">
        <v>13.25</v>
      </c>
      <c r="E2528" s="6" t="n">
        <f aca="false">DATE(2024,6,6)</f>
        <v>45449</v>
      </c>
      <c r="F2528" s="7" t="n">
        <f aca="false">C2528*D2528</f>
        <v>344.5</v>
      </c>
      <c r="G2528" s="7" t="n">
        <f aca="false">ROUND(F2528*0.2,2)</f>
        <v>68.9</v>
      </c>
      <c r="H2528" s="4" t="str">
        <f aca="false">IF(F2528&gt;500,"Yüksek",IF(F2528&gt;100,"Orta","Düşük"))</f>
        <v>Orta</v>
      </c>
    </row>
    <row r="2529" customFormat="false" ht="12.8" hidden="false" customHeight="false" outlineLevel="0" collapsed="false">
      <c r="A2529" s="4" t="s">
        <v>21</v>
      </c>
      <c r="B2529" s="4" t="s">
        <v>13</v>
      </c>
      <c r="C2529" s="4" t="n">
        <v>33</v>
      </c>
      <c r="D2529" s="5" t="n">
        <v>16</v>
      </c>
      <c r="E2529" s="6" t="n">
        <f aca="false">DATE(2024,7,7)</f>
        <v>45480</v>
      </c>
      <c r="F2529" s="7" t="n">
        <f aca="false">C2529*D2529</f>
        <v>528</v>
      </c>
      <c r="G2529" s="7" t="n">
        <f aca="false">ROUND(F2529*0.2,2)</f>
        <v>105.6</v>
      </c>
      <c r="H2529" s="4" t="str">
        <f aca="false">IF(F2529&gt;500,"Yüksek",IF(F2529&gt;100,"Orta","Düşük"))</f>
        <v>Yüksek</v>
      </c>
    </row>
    <row r="2530" customFormat="false" ht="12.8" hidden="false" customHeight="false" outlineLevel="0" collapsed="false">
      <c r="A2530" s="4" t="s">
        <v>22</v>
      </c>
      <c r="B2530" s="4" t="s">
        <v>15</v>
      </c>
      <c r="C2530" s="4" t="n">
        <v>40</v>
      </c>
      <c r="D2530" s="5" t="n">
        <v>18.75</v>
      </c>
      <c r="E2530" s="6" t="n">
        <f aca="false">DATE(2024,8,8)</f>
        <v>45512</v>
      </c>
      <c r="F2530" s="7" t="n">
        <f aca="false">C2530*D2530</f>
        <v>750</v>
      </c>
      <c r="G2530" s="7" t="n">
        <f aca="false">ROUND(F2530*0.2,2)</f>
        <v>150</v>
      </c>
      <c r="H2530" s="4" t="str">
        <f aca="false">IF(F2530&gt;500,"Yüksek",IF(F2530&gt;100,"Orta","Düşük"))</f>
        <v>Yüksek</v>
      </c>
    </row>
    <row r="2531" customFormat="false" ht="12.8" hidden="false" customHeight="false" outlineLevel="0" collapsed="false">
      <c r="A2531" s="4" t="s">
        <v>23</v>
      </c>
      <c r="B2531" s="4" t="s">
        <v>17</v>
      </c>
      <c r="C2531" s="4" t="n">
        <v>47</v>
      </c>
      <c r="D2531" s="5" t="n">
        <v>21.5</v>
      </c>
      <c r="E2531" s="6" t="n">
        <f aca="false">DATE(2024,9,9)</f>
        <v>45544</v>
      </c>
      <c r="F2531" s="7" t="n">
        <f aca="false">C2531*D2531</f>
        <v>1010.5</v>
      </c>
      <c r="G2531" s="7" t="n">
        <f aca="false">ROUND(F2531*0.2,2)</f>
        <v>202.1</v>
      </c>
      <c r="H2531" s="4" t="str">
        <f aca="false">IF(F2531&gt;500,"Yüksek",IF(F2531&gt;100,"Orta","Düşük"))</f>
        <v>Yüksek</v>
      </c>
    </row>
    <row r="2532" customFormat="false" ht="12.8" hidden="false" customHeight="false" outlineLevel="0" collapsed="false">
      <c r="A2532" s="4" t="s">
        <v>24</v>
      </c>
      <c r="B2532" s="4" t="s">
        <v>19</v>
      </c>
      <c r="C2532" s="4" t="n">
        <v>4</v>
      </c>
      <c r="D2532" s="5" t="n">
        <v>24.25</v>
      </c>
      <c r="E2532" s="6" t="n">
        <f aca="false">DATE(2024,10,10)</f>
        <v>45575</v>
      </c>
      <c r="F2532" s="7" t="n">
        <f aca="false">C2532*D2532</f>
        <v>97</v>
      </c>
      <c r="G2532" s="7" t="n">
        <f aca="false">ROUND(F2532*0.2,2)</f>
        <v>19.4</v>
      </c>
      <c r="H2532" s="4" t="str">
        <f aca="false">IF(F2532&gt;500,"Yüksek",IF(F2532&gt;100,"Orta","Düşük"))</f>
        <v>Düşük</v>
      </c>
    </row>
    <row r="2533" customFormat="false" ht="12.8" hidden="false" customHeight="false" outlineLevel="0" collapsed="false">
      <c r="A2533" s="4" t="s">
        <v>10</v>
      </c>
      <c r="B2533" s="4" t="s">
        <v>11</v>
      </c>
      <c r="C2533" s="4" t="n">
        <v>11</v>
      </c>
      <c r="D2533" s="5" t="n">
        <v>27</v>
      </c>
      <c r="E2533" s="6" t="n">
        <f aca="false">DATE(2024,11,11)</f>
        <v>45607</v>
      </c>
      <c r="F2533" s="7" t="n">
        <f aca="false">C2533*D2533</f>
        <v>297</v>
      </c>
      <c r="G2533" s="7" t="n">
        <f aca="false">ROUND(F2533*0.2,2)</f>
        <v>59.4</v>
      </c>
      <c r="H2533" s="4" t="str">
        <f aca="false">IF(F2533&gt;500,"Yüksek",IF(F2533&gt;100,"Orta","Düşük"))</f>
        <v>Orta</v>
      </c>
    </row>
    <row r="2534" customFormat="false" ht="12.8" hidden="false" customHeight="false" outlineLevel="0" collapsed="false">
      <c r="A2534" s="4" t="s">
        <v>12</v>
      </c>
      <c r="B2534" s="4" t="s">
        <v>13</v>
      </c>
      <c r="C2534" s="4" t="n">
        <v>18</v>
      </c>
      <c r="D2534" s="5" t="n">
        <v>29.75</v>
      </c>
      <c r="E2534" s="6" t="n">
        <f aca="false">DATE(2024,12,12)</f>
        <v>45638</v>
      </c>
      <c r="F2534" s="7" t="n">
        <f aca="false">C2534*D2534</f>
        <v>535.5</v>
      </c>
      <c r="G2534" s="7" t="n">
        <f aca="false">ROUND(F2534*0.2,2)</f>
        <v>107.1</v>
      </c>
      <c r="H2534" s="4" t="str">
        <f aca="false">IF(F2534&gt;500,"Yüksek",IF(F2534&gt;100,"Orta","Düşük"))</f>
        <v>Yüksek</v>
      </c>
    </row>
    <row r="2535" customFormat="false" ht="12.8" hidden="false" customHeight="false" outlineLevel="0" collapsed="false">
      <c r="A2535" s="4" t="s">
        <v>14</v>
      </c>
      <c r="B2535" s="4" t="s">
        <v>15</v>
      </c>
      <c r="C2535" s="4" t="n">
        <v>25</v>
      </c>
      <c r="D2535" s="5" t="n">
        <v>32.5</v>
      </c>
      <c r="E2535" s="6" t="n">
        <f aca="false">DATE(2024,1,13)</f>
        <v>45304</v>
      </c>
      <c r="F2535" s="7" t="n">
        <f aca="false">C2535*D2535</f>
        <v>812.5</v>
      </c>
      <c r="G2535" s="7" t="n">
        <f aca="false">ROUND(F2535*0.2,2)</f>
        <v>162.5</v>
      </c>
      <c r="H2535" s="4" t="str">
        <f aca="false">IF(F2535&gt;500,"Yüksek",IF(F2535&gt;100,"Orta","Düşük"))</f>
        <v>Yüksek</v>
      </c>
    </row>
    <row r="2536" customFormat="false" ht="12.8" hidden="false" customHeight="false" outlineLevel="0" collapsed="false">
      <c r="A2536" s="4" t="s">
        <v>16</v>
      </c>
      <c r="B2536" s="4" t="s">
        <v>17</v>
      </c>
      <c r="C2536" s="4" t="n">
        <v>32</v>
      </c>
      <c r="D2536" s="5" t="n">
        <v>35.25</v>
      </c>
      <c r="E2536" s="6" t="n">
        <f aca="false">DATE(2024,2,14)</f>
        <v>45336</v>
      </c>
      <c r="F2536" s="7" t="n">
        <f aca="false">C2536*D2536</f>
        <v>1128</v>
      </c>
      <c r="G2536" s="7" t="n">
        <f aca="false">ROUND(F2536*0.2,2)</f>
        <v>225.6</v>
      </c>
      <c r="H2536" s="4" t="str">
        <f aca="false">IF(F2536&gt;500,"Yüksek",IF(F2536&gt;100,"Orta","Düşük"))</f>
        <v>Yüksek</v>
      </c>
    </row>
    <row r="2537" customFormat="false" ht="12.8" hidden="false" customHeight="false" outlineLevel="0" collapsed="false">
      <c r="A2537" s="4" t="s">
        <v>18</v>
      </c>
      <c r="B2537" s="4" t="s">
        <v>19</v>
      </c>
      <c r="C2537" s="4" t="n">
        <v>39</v>
      </c>
      <c r="D2537" s="5" t="n">
        <v>38</v>
      </c>
      <c r="E2537" s="6" t="n">
        <f aca="false">DATE(2024,3,15)</f>
        <v>45366</v>
      </c>
      <c r="F2537" s="7" t="n">
        <f aca="false">C2537*D2537</f>
        <v>1482</v>
      </c>
      <c r="G2537" s="7" t="n">
        <f aca="false">ROUND(F2537*0.2,2)</f>
        <v>296.4</v>
      </c>
      <c r="H2537" s="4" t="str">
        <f aca="false">IF(F2537&gt;500,"Yüksek",IF(F2537&gt;100,"Orta","Düşük"))</f>
        <v>Yüksek</v>
      </c>
    </row>
    <row r="2538" customFormat="false" ht="12.8" hidden="false" customHeight="false" outlineLevel="0" collapsed="false">
      <c r="A2538" s="4" t="s">
        <v>20</v>
      </c>
      <c r="B2538" s="4" t="s">
        <v>11</v>
      </c>
      <c r="C2538" s="4" t="n">
        <v>46</v>
      </c>
      <c r="D2538" s="5" t="n">
        <v>5</v>
      </c>
      <c r="E2538" s="6" t="n">
        <f aca="false">DATE(2024,4,16)</f>
        <v>45398</v>
      </c>
      <c r="F2538" s="7" t="n">
        <f aca="false">C2538*D2538</f>
        <v>230</v>
      </c>
      <c r="G2538" s="7" t="n">
        <f aca="false">ROUND(F2538*0.2,2)</f>
        <v>46</v>
      </c>
      <c r="H2538" s="4" t="str">
        <f aca="false">IF(F2538&gt;500,"Yüksek",IF(F2538&gt;100,"Orta","Düşük"))</f>
        <v>Orta</v>
      </c>
    </row>
    <row r="2539" customFormat="false" ht="12.8" hidden="false" customHeight="false" outlineLevel="0" collapsed="false">
      <c r="A2539" s="4" t="s">
        <v>21</v>
      </c>
      <c r="B2539" s="4" t="s">
        <v>13</v>
      </c>
      <c r="C2539" s="4" t="n">
        <v>3</v>
      </c>
      <c r="D2539" s="5" t="n">
        <v>7.75</v>
      </c>
      <c r="E2539" s="6" t="n">
        <f aca="false">DATE(2024,5,17)</f>
        <v>45429</v>
      </c>
      <c r="F2539" s="7" t="n">
        <f aca="false">C2539*D2539</f>
        <v>23.25</v>
      </c>
      <c r="G2539" s="7" t="n">
        <f aca="false">ROUND(F2539*0.2,2)</f>
        <v>4.65</v>
      </c>
      <c r="H2539" s="4" t="str">
        <f aca="false">IF(F2539&gt;500,"Yüksek",IF(F2539&gt;100,"Orta","Düşük"))</f>
        <v>Düşük</v>
      </c>
    </row>
    <row r="2540" customFormat="false" ht="12.8" hidden="false" customHeight="false" outlineLevel="0" collapsed="false">
      <c r="A2540" s="4" t="s">
        <v>22</v>
      </c>
      <c r="B2540" s="4" t="s">
        <v>15</v>
      </c>
      <c r="C2540" s="4" t="n">
        <v>10</v>
      </c>
      <c r="D2540" s="5" t="n">
        <v>10.5</v>
      </c>
      <c r="E2540" s="6" t="n">
        <f aca="false">DATE(2024,6,18)</f>
        <v>45461</v>
      </c>
      <c r="F2540" s="7" t="n">
        <f aca="false">C2540*D2540</f>
        <v>105</v>
      </c>
      <c r="G2540" s="7" t="n">
        <f aca="false">ROUND(F2540*0.2,2)</f>
        <v>21</v>
      </c>
      <c r="H2540" s="4" t="str">
        <f aca="false">IF(F2540&gt;500,"Yüksek",IF(F2540&gt;100,"Orta","Düşük"))</f>
        <v>Orta</v>
      </c>
    </row>
    <row r="2541" customFormat="false" ht="12.8" hidden="false" customHeight="false" outlineLevel="0" collapsed="false">
      <c r="A2541" s="4" t="s">
        <v>23</v>
      </c>
      <c r="B2541" s="4" t="s">
        <v>17</v>
      </c>
      <c r="C2541" s="4" t="n">
        <v>17</v>
      </c>
      <c r="D2541" s="5" t="n">
        <v>13.25</v>
      </c>
      <c r="E2541" s="6" t="n">
        <f aca="false">DATE(2024,7,19)</f>
        <v>45492</v>
      </c>
      <c r="F2541" s="7" t="n">
        <f aca="false">C2541*D2541</f>
        <v>225.25</v>
      </c>
      <c r="G2541" s="7" t="n">
        <f aca="false">ROUND(F2541*0.2,2)</f>
        <v>45.05</v>
      </c>
      <c r="H2541" s="4" t="str">
        <f aca="false">IF(F2541&gt;500,"Yüksek",IF(F2541&gt;100,"Orta","Düşük"))</f>
        <v>Orta</v>
      </c>
    </row>
    <row r="2542" customFormat="false" ht="12.8" hidden="false" customHeight="false" outlineLevel="0" collapsed="false">
      <c r="A2542" s="4" t="s">
        <v>24</v>
      </c>
      <c r="B2542" s="4" t="s">
        <v>19</v>
      </c>
      <c r="C2542" s="4" t="n">
        <v>24</v>
      </c>
      <c r="D2542" s="5" t="n">
        <v>16</v>
      </c>
      <c r="E2542" s="6" t="n">
        <f aca="false">DATE(2024,8,20)</f>
        <v>45524</v>
      </c>
      <c r="F2542" s="7" t="n">
        <f aca="false">C2542*D2542</f>
        <v>384</v>
      </c>
      <c r="G2542" s="7" t="n">
        <f aca="false">ROUND(F2542*0.2,2)</f>
        <v>76.8</v>
      </c>
      <c r="H2542" s="4" t="str">
        <f aca="false">IF(F2542&gt;500,"Yüksek",IF(F2542&gt;100,"Orta","Düşük"))</f>
        <v>Orta</v>
      </c>
    </row>
    <row r="2543" customFormat="false" ht="12.8" hidden="false" customHeight="false" outlineLevel="0" collapsed="false">
      <c r="A2543" s="4" t="s">
        <v>10</v>
      </c>
      <c r="B2543" s="4" t="s">
        <v>11</v>
      </c>
      <c r="C2543" s="4" t="n">
        <v>31</v>
      </c>
      <c r="D2543" s="5" t="n">
        <v>18.75</v>
      </c>
      <c r="E2543" s="6" t="n">
        <f aca="false">DATE(2024,9,21)</f>
        <v>45556</v>
      </c>
      <c r="F2543" s="7" t="n">
        <f aca="false">C2543*D2543</f>
        <v>581.25</v>
      </c>
      <c r="G2543" s="7" t="n">
        <f aca="false">ROUND(F2543*0.2,2)</f>
        <v>116.25</v>
      </c>
      <c r="H2543" s="4" t="str">
        <f aca="false">IF(F2543&gt;500,"Yüksek",IF(F2543&gt;100,"Orta","Düşük"))</f>
        <v>Yüksek</v>
      </c>
    </row>
    <row r="2544" customFormat="false" ht="12.8" hidden="false" customHeight="false" outlineLevel="0" collapsed="false">
      <c r="A2544" s="4" t="s">
        <v>12</v>
      </c>
      <c r="B2544" s="4" t="s">
        <v>13</v>
      </c>
      <c r="C2544" s="4" t="n">
        <v>38</v>
      </c>
      <c r="D2544" s="5" t="n">
        <v>21.5</v>
      </c>
      <c r="E2544" s="6" t="n">
        <f aca="false">DATE(2024,10,22)</f>
        <v>45587</v>
      </c>
      <c r="F2544" s="7" t="n">
        <f aca="false">C2544*D2544</f>
        <v>817</v>
      </c>
      <c r="G2544" s="7" t="n">
        <f aca="false">ROUND(F2544*0.2,2)</f>
        <v>163.4</v>
      </c>
      <c r="H2544" s="4" t="str">
        <f aca="false">IF(F2544&gt;500,"Yüksek",IF(F2544&gt;100,"Orta","Düşük"))</f>
        <v>Yüksek</v>
      </c>
    </row>
    <row r="2545" customFormat="false" ht="12.8" hidden="false" customHeight="false" outlineLevel="0" collapsed="false">
      <c r="A2545" s="4" t="s">
        <v>14</v>
      </c>
      <c r="B2545" s="4" t="s">
        <v>15</v>
      </c>
      <c r="C2545" s="4" t="n">
        <v>45</v>
      </c>
      <c r="D2545" s="5" t="n">
        <v>24.25</v>
      </c>
      <c r="E2545" s="6" t="n">
        <f aca="false">DATE(2024,11,23)</f>
        <v>45619</v>
      </c>
      <c r="F2545" s="7" t="n">
        <f aca="false">C2545*D2545</f>
        <v>1091.25</v>
      </c>
      <c r="G2545" s="7" t="n">
        <f aca="false">ROUND(F2545*0.2,2)</f>
        <v>218.25</v>
      </c>
      <c r="H2545" s="4" t="str">
        <f aca="false">IF(F2545&gt;500,"Yüksek",IF(F2545&gt;100,"Orta","Düşük"))</f>
        <v>Yüksek</v>
      </c>
    </row>
    <row r="2546" customFormat="false" ht="12.8" hidden="false" customHeight="false" outlineLevel="0" collapsed="false">
      <c r="A2546" s="4" t="s">
        <v>16</v>
      </c>
      <c r="B2546" s="4" t="s">
        <v>17</v>
      </c>
      <c r="C2546" s="4" t="n">
        <v>2</v>
      </c>
      <c r="D2546" s="5" t="n">
        <v>27</v>
      </c>
      <c r="E2546" s="6" t="n">
        <f aca="false">DATE(2024,12,24)</f>
        <v>45650</v>
      </c>
      <c r="F2546" s="7" t="n">
        <f aca="false">C2546*D2546</f>
        <v>54</v>
      </c>
      <c r="G2546" s="7" t="n">
        <f aca="false">ROUND(F2546*0.2,2)</f>
        <v>10.8</v>
      </c>
      <c r="H2546" s="4" t="str">
        <f aca="false">IF(F2546&gt;500,"Yüksek",IF(F2546&gt;100,"Orta","Düşük"))</f>
        <v>Düşük</v>
      </c>
    </row>
    <row r="2547" customFormat="false" ht="12.8" hidden="false" customHeight="false" outlineLevel="0" collapsed="false">
      <c r="A2547" s="4" t="s">
        <v>18</v>
      </c>
      <c r="B2547" s="4" t="s">
        <v>19</v>
      </c>
      <c r="C2547" s="4" t="n">
        <v>9</v>
      </c>
      <c r="D2547" s="5" t="n">
        <v>29.75</v>
      </c>
      <c r="E2547" s="6" t="n">
        <f aca="false">DATE(2024,1,25)</f>
        <v>45316</v>
      </c>
      <c r="F2547" s="7" t="n">
        <f aca="false">C2547*D2547</f>
        <v>267.75</v>
      </c>
      <c r="G2547" s="7" t="n">
        <f aca="false">ROUND(F2547*0.2,2)</f>
        <v>53.55</v>
      </c>
      <c r="H2547" s="4" t="str">
        <f aca="false">IF(F2547&gt;500,"Yüksek",IF(F2547&gt;100,"Orta","Düşük"))</f>
        <v>Orta</v>
      </c>
    </row>
    <row r="2548" customFormat="false" ht="12.8" hidden="false" customHeight="false" outlineLevel="0" collapsed="false">
      <c r="A2548" s="4" t="s">
        <v>20</v>
      </c>
      <c r="B2548" s="4" t="s">
        <v>11</v>
      </c>
      <c r="C2548" s="4" t="n">
        <v>16</v>
      </c>
      <c r="D2548" s="5" t="n">
        <v>32.5</v>
      </c>
      <c r="E2548" s="6" t="n">
        <f aca="false">DATE(2024,2,26)</f>
        <v>45348</v>
      </c>
      <c r="F2548" s="7" t="n">
        <f aca="false">C2548*D2548</f>
        <v>520</v>
      </c>
      <c r="G2548" s="7" t="n">
        <f aca="false">ROUND(F2548*0.2,2)</f>
        <v>104</v>
      </c>
      <c r="H2548" s="4" t="str">
        <f aca="false">IF(F2548&gt;500,"Yüksek",IF(F2548&gt;100,"Orta","Düşük"))</f>
        <v>Yüksek</v>
      </c>
    </row>
    <row r="2549" customFormat="false" ht="12.8" hidden="false" customHeight="false" outlineLevel="0" collapsed="false">
      <c r="A2549" s="4" t="s">
        <v>21</v>
      </c>
      <c r="B2549" s="4" t="s">
        <v>13</v>
      </c>
      <c r="C2549" s="4" t="n">
        <v>23</v>
      </c>
      <c r="D2549" s="5" t="n">
        <v>35.25</v>
      </c>
      <c r="E2549" s="6" t="n">
        <f aca="false">DATE(2024,3,27)</f>
        <v>45378</v>
      </c>
      <c r="F2549" s="7" t="n">
        <f aca="false">C2549*D2549</f>
        <v>810.75</v>
      </c>
      <c r="G2549" s="7" t="n">
        <f aca="false">ROUND(F2549*0.2,2)</f>
        <v>162.15</v>
      </c>
      <c r="H2549" s="4" t="str">
        <f aca="false">IF(F2549&gt;500,"Yüksek",IF(F2549&gt;100,"Orta","Düşük"))</f>
        <v>Yüksek</v>
      </c>
    </row>
    <row r="2550" customFormat="false" ht="12.8" hidden="false" customHeight="false" outlineLevel="0" collapsed="false">
      <c r="A2550" s="4" t="s">
        <v>22</v>
      </c>
      <c r="B2550" s="4" t="s">
        <v>15</v>
      </c>
      <c r="C2550" s="4" t="n">
        <v>30</v>
      </c>
      <c r="D2550" s="5" t="n">
        <v>38</v>
      </c>
      <c r="E2550" s="6" t="n">
        <f aca="false">DATE(2024,4,28)</f>
        <v>45410</v>
      </c>
      <c r="F2550" s="7" t="n">
        <f aca="false">C2550*D2550</f>
        <v>1140</v>
      </c>
      <c r="G2550" s="7" t="n">
        <f aca="false">ROUND(F2550*0.2,2)</f>
        <v>228</v>
      </c>
      <c r="H2550" s="4" t="str">
        <f aca="false">IF(F2550&gt;500,"Yüksek",IF(F2550&gt;100,"Orta","Düşük"))</f>
        <v>Yüksek</v>
      </c>
    </row>
    <row r="2551" customFormat="false" ht="12.8" hidden="false" customHeight="false" outlineLevel="0" collapsed="false">
      <c r="A2551" s="4" t="s">
        <v>23</v>
      </c>
      <c r="B2551" s="4" t="s">
        <v>17</v>
      </c>
      <c r="C2551" s="4" t="n">
        <v>37</v>
      </c>
      <c r="D2551" s="5" t="n">
        <v>5</v>
      </c>
      <c r="E2551" s="6" t="n">
        <f aca="false">DATE(2024,5,1)</f>
        <v>45413</v>
      </c>
      <c r="F2551" s="7" t="n">
        <f aca="false">C2551*D2551</f>
        <v>185</v>
      </c>
      <c r="G2551" s="7" t="n">
        <f aca="false">ROUND(F2551*0.2,2)</f>
        <v>37</v>
      </c>
      <c r="H2551" s="4" t="str">
        <f aca="false">IF(F2551&gt;500,"Yüksek",IF(F2551&gt;100,"Orta","Düşük"))</f>
        <v>Orta</v>
      </c>
    </row>
    <row r="2552" customFormat="false" ht="12.8" hidden="false" customHeight="false" outlineLevel="0" collapsed="false">
      <c r="A2552" s="4" t="s">
        <v>24</v>
      </c>
      <c r="B2552" s="4" t="s">
        <v>19</v>
      </c>
      <c r="C2552" s="4" t="n">
        <v>44</v>
      </c>
      <c r="D2552" s="5" t="n">
        <v>7.75</v>
      </c>
      <c r="E2552" s="6" t="n">
        <f aca="false">DATE(2024,6,2)</f>
        <v>45445</v>
      </c>
      <c r="F2552" s="7" t="n">
        <f aca="false">C2552*D2552</f>
        <v>341</v>
      </c>
      <c r="G2552" s="7" t="n">
        <f aca="false">ROUND(F2552*0.2,2)</f>
        <v>68.2</v>
      </c>
      <c r="H2552" s="4" t="str">
        <f aca="false">IF(F2552&gt;500,"Yüksek",IF(F2552&gt;100,"Orta","Düşük"))</f>
        <v>Orta</v>
      </c>
    </row>
    <row r="2553" customFormat="false" ht="12.8" hidden="false" customHeight="false" outlineLevel="0" collapsed="false">
      <c r="A2553" s="4" t="s">
        <v>10</v>
      </c>
      <c r="B2553" s="4" t="s">
        <v>11</v>
      </c>
      <c r="C2553" s="4" t="n">
        <v>1</v>
      </c>
      <c r="D2553" s="5" t="n">
        <v>10.5</v>
      </c>
      <c r="E2553" s="6" t="n">
        <f aca="false">DATE(2024,7,3)</f>
        <v>45476</v>
      </c>
      <c r="F2553" s="7" t="n">
        <f aca="false">C2553*D2553</f>
        <v>10.5</v>
      </c>
      <c r="G2553" s="7" t="n">
        <f aca="false">ROUND(F2553*0.2,2)</f>
        <v>2.1</v>
      </c>
      <c r="H2553" s="4" t="str">
        <f aca="false">IF(F2553&gt;500,"Yüksek",IF(F2553&gt;100,"Orta","Düşük"))</f>
        <v>Düşük</v>
      </c>
    </row>
    <row r="2554" customFormat="false" ht="12.8" hidden="false" customHeight="false" outlineLevel="0" collapsed="false">
      <c r="A2554" s="4" t="s">
        <v>12</v>
      </c>
      <c r="B2554" s="4" t="s">
        <v>13</v>
      </c>
      <c r="C2554" s="4" t="n">
        <v>8</v>
      </c>
      <c r="D2554" s="5" t="n">
        <v>13.25</v>
      </c>
      <c r="E2554" s="6" t="n">
        <f aca="false">DATE(2024,8,4)</f>
        <v>45508</v>
      </c>
      <c r="F2554" s="7" t="n">
        <f aca="false">C2554*D2554</f>
        <v>106</v>
      </c>
      <c r="G2554" s="7" t="n">
        <f aca="false">ROUND(F2554*0.2,2)</f>
        <v>21.2</v>
      </c>
      <c r="H2554" s="4" t="str">
        <f aca="false">IF(F2554&gt;500,"Yüksek",IF(F2554&gt;100,"Orta","Düşük"))</f>
        <v>Orta</v>
      </c>
    </row>
    <row r="2555" customFormat="false" ht="12.8" hidden="false" customHeight="false" outlineLevel="0" collapsed="false">
      <c r="A2555" s="4" t="s">
        <v>14</v>
      </c>
      <c r="B2555" s="4" t="s">
        <v>15</v>
      </c>
      <c r="C2555" s="4" t="n">
        <v>15</v>
      </c>
      <c r="D2555" s="5" t="n">
        <v>16</v>
      </c>
      <c r="E2555" s="6" t="n">
        <f aca="false">DATE(2024,9,5)</f>
        <v>45540</v>
      </c>
      <c r="F2555" s="7" t="n">
        <f aca="false">C2555*D2555</f>
        <v>240</v>
      </c>
      <c r="G2555" s="7" t="n">
        <f aca="false">ROUND(F2555*0.2,2)</f>
        <v>48</v>
      </c>
      <c r="H2555" s="4" t="str">
        <f aca="false">IF(F2555&gt;500,"Yüksek",IF(F2555&gt;100,"Orta","Düşük"))</f>
        <v>Orta</v>
      </c>
    </row>
    <row r="2556" customFormat="false" ht="12.8" hidden="false" customHeight="false" outlineLevel="0" collapsed="false">
      <c r="A2556" s="4" t="s">
        <v>16</v>
      </c>
      <c r="B2556" s="4" t="s">
        <v>17</v>
      </c>
      <c r="C2556" s="4" t="n">
        <v>22</v>
      </c>
      <c r="D2556" s="5" t="n">
        <v>18.75</v>
      </c>
      <c r="E2556" s="6" t="n">
        <f aca="false">DATE(2024,10,6)</f>
        <v>45571</v>
      </c>
      <c r="F2556" s="7" t="n">
        <f aca="false">C2556*D2556</f>
        <v>412.5</v>
      </c>
      <c r="G2556" s="7" t="n">
        <f aca="false">ROUND(F2556*0.2,2)</f>
        <v>82.5</v>
      </c>
      <c r="H2556" s="4" t="str">
        <f aca="false">IF(F2556&gt;500,"Yüksek",IF(F2556&gt;100,"Orta","Düşük"))</f>
        <v>Orta</v>
      </c>
    </row>
    <row r="2557" customFormat="false" ht="12.8" hidden="false" customHeight="false" outlineLevel="0" collapsed="false">
      <c r="A2557" s="4" t="s">
        <v>18</v>
      </c>
      <c r="B2557" s="4" t="s">
        <v>19</v>
      </c>
      <c r="C2557" s="4" t="n">
        <v>29</v>
      </c>
      <c r="D2557" s="5" t="n">
        <v>21.5</v>
      </c>
      <c r="E2557" s="6" t="n">
        <f aca="false">DATE(2024,11,7)</f>
        <v>45603</v>
      </c>
      <c r="F2557" s="7" t="n">
        <f aca="false">C2557*D2557</f>
        <v>623.5</v>
      </c>
      <c r="G2557" s="7" t="n">
        <f aca="false">ROUND(F2557*0.2,2)</f>
        <v>124.7</v>
      </c>
      <c r="H2557" s="4" t="str">
        <f aca="false">IF(F2557&gt;500,"Yüksek",IF(F2557&gt;100,"Orta","Düşük"))</f>
        <v>Yüksek</v>
      </c>
    </row>
    <row r="2558" customFormat="false" ht="12.8" hidden="false" customHeight="false" outlineLevel="0" collapsed="false">
      <c r="A2558" s="4" t="s">
        <v>20</v>
      </c>
      <c r="B2558" s="4" t="s">
        <v>11</v>
      </c>
      <c r="C2558" s="4" t="n">
        <v>36</v>
      </c>
      <c r="D2558" s="5" t="n">
        <v>24.25</v>
      </c>
      <c r="E2558" s="6" t="n">
        <f aca="false">DATE(2024,12,8)</f>
        <v>45634</v>
      </c>
      <c r="F2558" s="7" t="n">
        <f aca="false">C2558*D2558</f>
        <v>873</v>
      </c>
      <c r="G2558" s="7" t="n">
        <f aca="false">ROUND(F2558*0.2,2)</f>
        <v>174.6</v>
      </c>
      <c r="H2558" s="4" t="str">
        <f aca="false">IF(F2558&gt;500,"Yüksek",IF(F2558&gt;100,"Orta","Düşük"))</f>
        <v>Yüksek</v>
      </c>
    </row>
    <row r="2559" customFormat="false" ht="12.8" hidden="false" customHeight="false" outlineLevel="0" collapsed="false">
      <c r="A2559" s="4" t="s">
        <v>21</v>
      </c>
      <c r="B2559" s="4" t="s">
        <v>13</v>
      </c>
      <c r="C2559" s="4" t="n">
        <v>43</v>
      </c>
      <c r="D2559" s="5" t="n">
        <v>27</v>
      </c>
      <c r="E2559" s="6" t="n">
        <f aca="false">DATE(2024,1,9)</f>
        <v>45300</v>
      </c>
      <c r="F2559" s="7" t="n">
        <f aca="false">C2559*D2559</f>
        <v>1161</v>
      </c>
      <c r="G2559" s="7" t="n">
        <f aca="false">ROUND(F2559*0.2,2)</f>
        <v>232.2</v>
      </c>
      <c r="H2559" s="4" t="str">
        <f aca="false">IF(F2559&gt;500,"Yüksek",IF(F2559&gt;100,"Orta","Düşük"))</f>
        <v>Yüksek</v>
      </c>
    </row>
    <row r="2560" customFormat="false" ht="12.8" hidden="false" customHeight="false" outlineLevel="0" collapsed="false">
      <c r="A2560" s="4" t="s">
        <v>22</v>
      </c>
      <c r="B2560" s="4" t="s">
        <v>15</v>
      </c>
      <c r="C2560" s="4" t="n">
        <v>50</v>
      </c>
      <c r="D2560" s="5" t="n">
        <v>29.75</v>
      </c>
      <c r="E2560" s="6" t="n">
        <f aca="false">DATE(2024,2,10)</f>
        <v>45332</v>
      </c>
      <c r="F2560" s="7" t="n">
        <f aca="false">C2560*D2560</f>
        <v>1487.5</v>
      </c>
      <c r="G2560" s="7" t="n">
        <f aca="false">ROUND(F2560*0.2,2)</f>
        <v>297.5</v>
      </c>
      <c r="H2560" s="4" t="str">
        <f aca="false">IF(F2560&gt;500,"Yüksek",IF(F2560&gt;100,"Orta","Düşük"))</f>
        <v>Yüksek</v>
      </c>
    </row>
    <row r="2561" customFormat="false" ht="12.8" hidden="false" customHeight="false" outlineLevel="0" collapsed="false">
      <c r="A2561" s="4" t="s">
        <v>23</v>
      </c>
      <c r="B2561" s="4" t="s">
        <v>17</v>
      </c>
      <c r="C2561" s="4" t="n">
        <v>7</v>
      </c>
      <c r="D2561" s="5" t="n">
        <v>32.5</v>
      </c>
      <c r="E2561" s="6" t="n">
        <f aca="false">DATE(2024,3,11)</f>
        <v>45362</v>
      </c>
      <c r="F2561" s="7" t="n">
        <f aca="false">C2561*D2561</f>
        <v>227.5</v>
      </c>
      <c r="G2561" s="7" t="n">
        <f aca="false">ROUND(F2561*0.2,2)</f>
        <v>45.5</v>
      </c>
      <c r="H2561" s="4" t="str">
        <f aca="false">IF(F2561&gt;500,"Yüksek",IF(F2561&gt;100,"Orta","Düşük"))</f>
        <v>Orta</v>
      </c>
    </row>
    <row r="2562" customFormat="false" ht="12.8" hidden="false" customHeight="false" outlineLevel="0" collapsed="false">
      <c r="A2562" s="4" t="s">
        <v>24</v>
      </c>
      <c r="B2562" s="4" t="s">
        <v>19</v>
      </c>
      <c r="C2562" s="4" t="n">
        <v>14</v>
      </c>
      <c r="D2562" s="5" t="n">
        <v>35.25</v>
      </c>
      <c r="E2562" s="6" t="n">
        <f aca="false">DATE(2024,4,12)</f>
        <v>45394</v>
      </c>
      <c r="F2562" s="7" t="n">
        <f aca="false">C2562*D2562</f>
        <v>493.5</v>
      </c>
      <c r="G2562" s="7" t="n">
        <f aca="false">ROUND(F2562*0.2,2)</f>
        <v>98.7</v>
      </c>
      <c r="H2562" s="4" t="str">
        <f aca="false">IF(F2562&gt;500,"Yüksek",IF(F2562&gt;100,"Orta","Düşük"))</f>
        <v>Orta</v>
      </c>
    </row>
    <row r="2563" customFormat="false" ht="12.8" hidden="false" customHeight="false" outlineLevel="0" collapsed="false">
      <c r="A2563" s="4" t="s">
        <v>10</v>
      </c>
      <c r="B2563" s="4" t="s">
        <v>11</v>
      </c>
      <c r="C2563" s="4" t="n">
        <v>21</v>
      </c>
      <c r="D2563" s="5" t="n">
        <v>38</v>
      </c>
      <c r="E2563" s="6" t="n">
        <f aca="false">DATE(2024,5,13)</f>
        <v>45425</v>
      </c>
      <c r="F2563" s="7" t="n">
        <f aca="false">C2563*D2563</f>
        <v>798</v>
      </c>
      <c r="G2563" s="7" t="n">
        <f aca="false">ROUND(F2563*0.2,2)</f>
        <v>159.6</v>
      </c>
      <c r="H2563" s="4" t="str">
        <f aca="false">IF(F2563&gt;500,"Yüksek",IF(F2563&gt;100,"Orta","Düşük"))</f>
        <v>Yüksek</v>
      </c>
    </row>
    <row r="2564" customFormat="false" ht="12.8" hidden="false" customHeight="false" outlineLevel="0" collapsed="false">
      <c r="A2564" s="4" t="s">
        <v>12</v>
      </c>
      <c r="B2564" s="4" t="s">
        <v>13</v>
      </c>
      <c r="C2564" s="4" t="n">
        <v>28</v>
      </c>
      <c r="D2564" s="5" t="n">
        <v>5</v>
      </c>
      <c r="E2564" s="6" t="n">
        <f aca="false">DATE(2024,6,14)</f>
        <v>45457</v>
      </c>
      <c r="F2564" s="7" t="n">
        <f aca="false">C2564*D2564</f>
        <v>140</v>
      </c>
      <c r="G2564" s="7" t="n">
        <f aca="false">ROUND(F2564*0.2,2)</f>
        <v>28</v>
      </c>
      <c r="H2564" s="4" t="str">
        <f aca="false">IF(F2564&gt;500,"Yüksek",IF(F2564&gt;100,"Orta","Düşük"))</f>
        <v>Orta</v>
      </c>
    </row>
    <row r="2565" customFormat="false" ht="12.8" hidden="false" customHeight="false" outlineLevel="0" collapsed="false">
      <c r="A2565" s="4" t="s">
        <v>14</v>
      </c>
      <c r="B2565" s="4" t="s">
        <v>15</v>
      </c>
      <c r="C2565" s="4" t="n">
        <v>35</v>
      </c>
      <c r="D2565" s="5" t="n">
        <v>7.75</v>
      </c>
      <c r="E2565" s="6" t="n">
        <f aca="false">DATE(2024,7,15)</f>
        <v>45488</v>
      </c>
      <c r="F2565" s="7" t="n">
        <f aca="false">C2565*D2565</f>
        <v>271.25</v>
      </c>
      <c r="G2565" s="7" t="n">
        <f aca="false">ROUND(F2565*0.2,2)</f>
        <v>54.25</v>
      </c>
      <c r="H2565" s="4" t="str">
        <f aca="false">IF(F2565&gt;500,"Yüksek",IF(F2565&gt;100,"Orta","Düşük"))</f>
        <v>Orta</v>
      </c>
    </row>
    <row r="2566" customFormat="false" ht="12.8" hidden="false" customHeight="false" outlineLevel="0" collapsed="false">
      <c r="A2566" s="4" t="s">
        <v>16</v>
      </c>
      <c r="B2566" s="4" t="s">
        <v>17</v>
      </c>
      <c r="C2566" s="4" t="n">
        <v>42</v>
      </c>
      <c r="D2566" s="5" t="n">
        <v>10.5</v>
      </c>
      <c r="E2566" s="6" t="n">
        <f aca="false">DATE(2024,8,16)</f>
        <v>45520</v>
      </c>
      <c r="F2566" s="7" t="n">
        <f aca="false">C2566*D2566</f>
        <v>441</v>
      </c>
      <c r="G2566" s="7" t="n">
        <f aca="false">ROUND(F2566*0.2,2)</f>
        <v>88.2</v>
      </c>
      <c r="H2566" s="4" t="str">
        <f aca="false">IF(F2566&gt;500,"Yüksek",IF(F2566&gt;100,"Orta","Düşük"))</f>
        <v>Orta</v>
      </c>
    </row>
    <row r="2567" customFormat="false" ht="12.8" hidden="false" customHeight="false" outlineLevel="0" collapsed="false">
      <c r="A2567" s="4" t="s">
        <v>18</v>
      </c>
      <c r="B2567" s="4" t="s">
        <v>19</v>
      </c>
      <c r="C2567" s="4" t="n">
        <v>49</v>
      </c>
      <c r="D2567" s="5" t="n">
        <v>13.25</v>
      </c>
      <c r="E2567" s="6" t="n">
        <f aca="false">DATE(2024,9,17)</f>
        <v>45552</v>
      </c>
      <c r="F2567" s="7" t="n">
        <f aca="false">C2567*D2567</f>
        <v>649.25</v>
      </c>
      <c r="G2567" s="7" t="n">
        <f aca="false">ROUND(F2567*0.2,2)</f>
        <v>129.85</v>
      </c>
      <c r="H2567" s="4" t="str">
        <f aca="false">IF(F2567&gt;500,"Yüksek",IF(F2567&gt;100,"Orta","Düşük"))</f>
        <v>Yüksek</v>
      </c>
    </row>
    <row r="2568" customFormat="false" ht="12.8" hidden="false" customHeight="false" outlineLevel="0" collapsed="false">
      <c r="A2568" s="4" t="s">
        <v>20</v>
      </c>
      <c r="B2568" s="4" t="s">
        <v>11</v>
      </c>
      <c r="C2568" s="4" t="n">
        <v>6</v>
      </c>
      <c r="D2568" s="5" t="n">
        <v>16</v>
      </c>
      <c r="E2568" s="6" t="n">
        <f aca="false">DATE(2024,10,18)</f>
        <v>45583</v>
      </c>
      <c r="F2568" s="7" t="n">
        <f aca="false">C2568*D2568</f>
        <v>96</v>
      </c>
      <c r="G2568" s="7" t="n">
        <f aca="false">ROUND(F2568*0.2,2)</f>
        <v>19.2</v>
      </c>
      <c r="H2568" s="4" t="str">
        <f aca="false">IF(F2568&gt;500,"Yüksek",IF(F2568&gt;100,"Orta","Düşük"))</f>
        <v>Düşük</v>
      </c>
    </row>
    <row r="2569" customFormat="false" ht="12.8" hidden="false" customHeight="false" outlineLevel="0" collapsed="false">
      <c r="A2569" s="4" t="s">
        <v>21</v>
      </c>
      <c r="B2569" s="4" t="s">
        <v>13</v>
      </c>
      <c r="C2569" s="4" t="n">
        <v>13</v>
      </c>
      <c r="D2569" s="5" t="n">
        <v>18.75</v>
      </c>
      <c r="E2569" s="6" t="n">
        <f aca="false">DATE(2024,11,19)</f>
        <v>45615</v>
      </c>
      <c r="F2569" s="7" t="n">
        <f aca="false">C2569*D2569</f>
        <v>243.75</v>
      </c>
      <c r="G2569" s="7" t="n">
        <f aca="false">ROUND(F2569*0.2,2)</f>
        <v>48.75</v>
      </c>
      <c r="H2569" s="4" t="str">
        <f aca="false">IF(F2569&gt;500,"Yüksek",IF(F2569&gt;100,"Orta","Düşük"))</f>
        <v>Orta</v>
      </c>
    </row>
    <row r="2570" customFormat="false" ht="12.8" hidden="false" customHeight="false" outlineLevel="0" collapsed="false">
      <c r="A2570" s="4" t="s">
        <v>22</v>
      </c>
      <c r="B2570" s="4" t="s">
        <v>15</v>
      </c>
      <c r="C2570" s="4" t="n">
        <v>20</v>
      </c>
      <c r="D2570" s="5" t="n">
        <v>21.5</v>
      </c>
      <c r="E2570" s="6" t="n">
        <f aca="false">DATE(2024,12,20)</f>
        <v>45646</v>
      </c>
      <c r="F2570" s="7" t="n">
        <f aca="false">C2570*D2570</f>
        <v>430</v>
      </c>
      <c r="G2570" s="7" t="n">
        <f aca="false">ROUND(F2570*0.2,2)</f>
        <v>86</v>
      </c>
      <c r="H2570" s="4" t="str">
        <f aca="false">IF(F2570&gt;500,"Yüksek",IF(F2570&gt;100,"Orta","Düşük"))</f>
        <v>Orta</v>
      </c>
    </row>
    <row r="2571" customFormat="false" ht="12.8" hidden="false" customHeight="false" outlineLevel="0" collapsed="false">
      <c r="A2571" s="4" t="s">
        <v>23</v>
      </c>
      <c r="B2571" s="4" t="s">
        <v>17</v>
      </c>
      <c r="C2571" s="4" t="n">
        <v>27</v>
      </c>
      <c r="D2571" s="5" t="n">
        <v>24.25</v>
      </c>
      <c r="E2571" s="6" t="n">
        <f aca="false">DATE(2024,1,21)</f>
        <v>45312</v>
      </c>
      <c r="F2571" s="7" t="n">
        <f aca="false">C2571*D2571</f>
        <v>654.75</v>
      </c>
      <c r="G2571" s="7" t="n">
        <f aca="false">ROUND(F2571*0.2,2)</f>
        <v>130.95</v>
      </c>
      <c r="H2571" s="4" t="str">
        <f aca="false">IF(F2571&gt;500,"Yüksek",IF(F2571&gt;100,"Orta","Düşük"))</f>
        <v>Yüksek</v>
      </c>
    </row>
    <row r="2572" customFormat="false" ht="12.8" hidden="false" customHeight="false" outlineLevel="0" collapsed="false">
      <c r="A2572" s="4" t="s">
        <v>24</v>
      </c>
      <c r="B2572" s="4" t="s">
        <v>19</v>
      </c>
      <c r="C2572" s="4" t="n">
        <v>34</v>
      </c>
      <c r="D2572" s="5" t="n">
        <v>27</v>
      </c>
      <c r="E2572" s="6" t="n">
        <f aca="false">DATE(2024,2,22)</f>
        <v>45344</v>
      </c>
      <c r="F2572" s="7" t="n">
        <f aca="false">C2572*D2572</f>
        <v>918</v>
      </c>
      <c r="G2572" s="7" t="n">
        <f aca="false">ROUND(F2572*0.2,2)</f>
        <v>183.6</v>
      </c>
      <c r="H2572" s="4" t="str">
        <f aca="false">IF(F2572&gt;500,"Yüksek",IF(F2572&gt;100,"Orta","Düşük"))</f>
        <v>Yüksek</v>
      </c>
    </row>
    <row r="2573" customFormat="false" ht="12.8" hidden="false" customHeight="false" outlineLevel="0" collapsed="false">
      <c r="A2573" s="4" t="s">
        <v>10</v>
      </c>
      <c r="B2573" s="4" t="s">
        <v>11</v>
      </c>
      <c r="C2573" s="4" t="n">
        <v>41</v>
      </c>
      <c r="D2573" s="5" t="n">
        <v>29.75</v>
      </c>
      <c r="E2573" s="6" t="n">
        <f aca="false">DATE(2024,3,23)</f>
        <v>45374</v>
      </c>
      <c r="F2573" s="7" t="n">
        <f aca="false">C2573*D2573</f>
        <v>1219.75</v>
      </c>
      <c r="G2573" s="7" t="n">
        <f aca="false">ROUND(F2573*0.2,2)</f>
        <v>243.95</v>
      </c>
      <c r="H2573" s="4" t="str">
        <f aca="false">IF(F2573&gt;500,"Yüksek",IF(F2573&gt;100,"Orta","Düşük"))</f>
        <v>Yüksek</v>
      </c>
    </row>
    <row r="2574" customFormat="false" ht="12.8" hidden="false" customHeight="false" outlineLevel="0" collapsed="false">
      <c r="A2574" s="4" t="s">
        <v>12</v>
      </c>
      <c r="B2574" s="4" t="s">
        <v>13</v>
      </c>
      <c r="C2574" s="4" t="n">
        <v>48</v>
      </c>
      <c r="D2574" s="5" t="n">
        <v>32.5</v>
      </c>
      <c r="E2574" s="6" t="n">
        <f aca="false">DATE(2024,4,24)</f>
        <v>45406</v>
      </c>
      <c r="F2574" s="7" t="n">
        <f aca="false">C2574*D2574</f>
        <v>1560</v>
      </c>
      <c r="G2574" s="7" t="n">
        <f aca="false">ROUND(F2574*0.2,2)</f>
        <v>312</v>
      </c>
      <c r="H2574" s="4" t="str">
        <f aca="false">IF(F2574&gt;500,"Yüksek",IF(F2574&gt;100,"Orta","Düşük"))</f>
        <v>Yüksek</v>
      </c>
    </row>
    <row r="2575" customFormat="false" ht="12.8" hidden="false" customHeight="false" outlineLevel="0" collapsed="false">
      <c r="A2575" s="4" t="s">
        <v>14</v>
      </c>
      <c r="B2575" s="4" t="s">
        <v>15</v>
      </c>
      <c r="C2575" s="4" t="n">
        <v>5</v>
      </c>
      <c r="D2575" s="5" t="n">
        <v>35.25</v>
      </c>
      <c r="E2575" s="6" t="n">
        <f aca="false">DATE(2024,5,25)</f>
        <v>45437</v>
      </c>
      <c r="F2575" s="7" t="n">
        <f aca="false">C2575*D2575</f>
        <v>176.25</v>
      </c>
      <c r="G2575" s="7" t="n">
        <f aca="false">ROUND(F2575*0.2,2)</f>
        <v>35.25</v>
      </c>
      <c r="H2575" s="4" t="str">
        <f aca="false">IF(F2575&gt;500,"Yüksek",IF(F2575&gt;100,"Orta","Düşük"))</f>
        <v>Orta</v>
      </c>
    </row>
    <row r="2576" customFormat="false" ht="12.8" hidden="false" customHeight="false" outlineLevel="0" collapsed="false">
      <c r="A2576" s="4" t="s">
        <v>16</v>
      </c>
      <c r="B2576" s="4" t="s">
        <v>17</v>
      </c>
      <c r="C2576" s="4" t="n">
        <v>12</v>
      </c>
      <c r="D2576" s="5" t="n">
        <v>38</v>
      </c>
      <c r="E2576" s="6" t="n">
        <f aca="false">DATE(2024,6,26)</f>
        <v>45469</v>
      </c>
      <c r="F2576" s="7" t="n">
        <f aca="false">C2576*D2576</f>
        <v>456</v>
      </c>
      <c r="G2576" s="7" t="n">
        <f aca="false">ROUND(F2576*0.2,2)</f>
        <v>91.2</v>
      </c>
      <c r="H2576" s="4" t="str">
        <f aca="false">IF(F2576&gt;500,"Yüksek",IF(F2576&gt;100,"Orta","Düşük"))</f>
        <v>Orta</v>
      </c>
    </row>
    <row r="2577" customFormat="false" ht="12.8" hidden="false" customHeight="false" outlineLevel="0" collapsed="false">
      <c r="A2577" s="4" t="s">
        <v>18</v>
      </c>
      <c r="B2577" s="4" t="s">
        <v>19</v>
      </c>
      <c r="C2577" s="4" t="n">
        <v>19</v>
      </c>
      <c r="D2577" s="5" t="n">
        <v>5</v>
      </c>
      <c r="E2577" s="6" t="n">
        <f aca="false">DATE(2024,7,27)</f>
        <v>45500</v>
      </c>
      <c r="F2577" s="7" t="n">
        <f aca="false">C2577*D2577</f>
        <v>95</v>
      </c>
      <c r="G2577" s="7" t="n">
        <f aca="false">ROUND(F2577*0.2,2)</f>
        <v>19</v>
      </c>
      <c r="H2577" s="4" t="str">
        <f aca="false">IF(F2577&gt;500,"Yüksek",IF(F2577&gt;100,"Orta","Düşük"))</f>
        <v>Düşük</v>
      </c>
    </row>
    <row r="2578" customFormat="false" ht="12.8" hidden="false" customHeight="false" outlineLevel="0" collapsed="false">
      <c r="A2578" s="4" t="s">
        <v>20</v>
      </c>
      <c r="B2578" s="4" t="s">
        <v>11</v>
      </c>
      <c r="C2578" s="4" t="n">
        <v>26</v>
      </c>
      <c r="D2578" s="5" t="n">
        <v>7.75</v>
      </c>
      <c r="E2578" s="6" t="n">
        <f aca="false">DATE(2024,8,28)</f>
        <v>45532</v>
      </c>
      <c r="F2578" s="7" t="n">
        <f aca="false">C2578*D2578</f>
        <v>201.5</v>
      </c>
      <c r="G2578" s="7" t="n">
        <f aca="false">ROUND(F2578*0.2,2)</f>
        <v>40.3</v>
      </c>
      <c r="H2578" s="4" t="str">
        <f aca="false">IF(F2578&gt;500,"Yüksek",IF(F2578&gt;100,"Orta","Düşük"))</f>
        <v>Orta</v>
      </c>
    </row>
    <row r="2579" customFormat="false" ht="12.8" hidden="false" customHeight="false" outlineLevel="0" collapsed="false">
      <c r="A2579" s="4" t="s">
        <v>21</v>
      </c>
      <c r="B2579" s="4" t="s">
        <v>13</v>
      </c>
      <c r="C2579" s="4" t="n">
        <v>33</v>
      </c>
      <c r="D2579" s="5" t="n">
        <v>10.5</v>
      </c>
      <c r="E2579" s="6" t="n">
        <f aca="false">DATE(2024,9,1)</f>
        <v>45536</v>
      </c>
      <c r="F2579" s="7" t="n">
        <f aca="false">C2579*D2579</f>
        <v>346.5</v>
      </c>
      <c r="G2579" s="7" t="n">
        <f aca="false">ROUND(F2579*0.2,2)</f>
        <v>69.3</v>
      </c>
      <c r="H2579" s="4" t="str">
        <f aca="false">IF(F2579&gt;500,"Yüksek",IF(F2579&gt;100,"Orta","Düşük"))</f>
        <v>Orta</v>
      </c>
    </row>
    <row r="2580" customFormat="false" ht="12.8" hidden="false" customHeight="false" outlineLevel="0" collapsed="false">
      <c r="A2580" s="4" t="s">
        <v>22</v>
      </c>
      <c r="B2580" s="4" t="s">
        <v>15</v>
      </c>
      <c r="C2580" s="4" t="n">
        <v>40</v>
      </c>
      <c r="D2580" s="5" t="n">
        <v>13.25</v>
      </c>
      <c r="E2580" s="6" t="n">
        <f aca="false">DATE(2024,10,2)</f>
        <v>45567</v>
      </c>
      <c r="F2580" s="7" t="n">
        <f aca="false">C2580*D2580</f>
        <v>530</v>
      </c>
      <c r="G2580" s="7" t="n">
        <f aca="false">ROUND(F2580*0.2,2)</f>
        <v>106</v>
      </c>
      <c r="H2580" s="4" t="str">
        <f aca="false">IF(F2580&gt;500,"Yüksek",IF(F2580&gt;100,"Orta","Düşük"))</f>
        <v>Yüksek</v>
      </c>
    </row>
    <row r="2581" customFormat="false" ht="12.8" hidden="false" customHeight="false" outlineLevel="0" collapsed="false">
      <c r="A2581" s="4" t="s">
        <v>23</v>
      </c>
      <c r="B2581" s="4" t="s">
        <v>17</v>
      </c>
      <c r="C2581" s="4" t="n">
        <v>47</v>
      </c>
      <c r="D2581" s="5" t="n">
        <v>16</v>
      </c>
      <c r="E2581" s="6" t="n">
        <f aca="false">DATE(2024,11,3)</f>
        <v>45599</v>
      </c>
      <c r="F2581" s="7" t="n">
        <f aca="false">C2581*D2581</f>
        <v>752</v>
      </c>
      <c r="G2581" s="7" t="n">
        <f aca="false">ROUND(F2581*0.2,2)</f>
        <v>150.4</v>
      </c>
      <c r="H2581" s="4" t="str">
        <f aca="false">IF(F2581&gt;500,"Yüksek",IF(F2581&gt;100,"Orta","Düşük"))</f>
        <v>Yüksek</v>
      </c>
    </row>
    <row r="2582" customFormat="false" ht="12.8" hidden="false" customHeight="false" outlineLevel="0" collapsed="false">
      <c r="A2582" s="4" t="s">
        <v>24</v>
      </c>
      <c r="B2582" s="4" t="s">
        <v>19</v>
      </c>
      <c r="C2582" s="4" t="n">
        <v>4</v>
      </c>
      <c r="D2582" s="5" t="n">
        <v>18.75</v>
      </c>
      <c r="E2582" s="6" t="n">
        <f aca="false">DATE(2024,12,4)</f>
        <v>45630</v>
      </c>
      <c r="F2582" s="7" t="n">
        <f aca="false">C2582*D2582</f>
        <v>75</v>
      </c>
      <c r="G2582" s="7" t="n">
        <f aca="false">ROUND(F2582*0.2,2)</f>
        <v>15</v>
      </c>
      <c r="H2582" s="4" t="str">
        <f aca="false">IF(F2582&gt;500,"Yüksek",IF(F2582&gt;100,"Orta","Düşük"))</f>
        <v>Düşük</v>
      </c>
    </row>
    <row r="2583" customFormat="false" ht="12.8" hidden="false" customHeight="false" outlineLevel="0" collapsed="false">
      <c r="A2583" s="4" t="s">
        <v>10</v>
      </c>
      <c r="B2583" s="4" t="s">
        <v>11</v>
      </c>
      <c r="C2583" s="4" t="n">
        <v>11</v>
      </c>
      <c r="D2583" s="5" t="n">
        <v>21.5</v>
      </c>
      <c r="E2583" s="6" t="n">
        <f aca="false">DATE(2024,1,5)</f>
        <v>45296</v>
      </c>
      <c r="F2583" s="7" t="n">
        <f aca="false">C2583*D2583</f>
        <v>236.5</v>
      </c>
      <c r="G2583" s="7" t="n">
        <f aca="false">ROUND(F2583*0.2,2)</f>
        <v>47.3</v>
      </c>
      <c r="H2583" s="4" t="str">
        <f aca="false">IF(F2583&gt;500,"Yüksek",IF(F2583&gt;100,"Orta","Düşük"))</f>
        <v>Orta</v>
      </c>
    </row>
    <row r="2584" customFormat="false" ht="12.8" hidden="false" customHeight="false" outlineLevel="0" collapsed="false">
      <c r="A2584" s="4" t="s">
        <v>12</v>
      </c>
      <c r="B2584" s="4" t="s">
        <v>13</v>
      </c>
      <c r="C2584" s="4" t="n">
        <v>18</v>
      </c>
      <c r="D2584" s="5" t="n">
        <v>24.25</v>
      </c>
      <c r="E2584" s="6" t="n">
        <f aca="false">DATE(2024,2,6)</f>
        <v>45328</v>
      </c>
      <c r="F2584" s="7" t="n">
        <f aca="false">C2584*D2584</f>
        <v>436.5</v>
      </c>
      <c r="G2584" s="7" t="n">
        <f aca="false">ROUND(F2584*0.2,2)</f>
        <v>87.3</v>
      </c>
      <c r="H2584" s="4" t="str">
        <f aca="false">IF(F2584&gt;500,"Yüksek",IF(F2584&gt;100,"Orta","Düşük"))</f>
        <v>Orta</v>
      </c>
    </row>
    <row r="2585" customFormat="false" ht="12.8" hidden="false" customHeight="false" outlineLevel="0" collapsed="false">
      <c r="A2585" s="4" t="s">
        <v>14</v>
      </c>
      <c r="B2585" s="4" t="s">
        <v>15</v>
      </c>
      <c r="C2585" s="4" t="n">
        <v>25</v>
      </c>
      <c r="D2585" s="5" t="n">
        <v>27</v>
      </c>
      <c r="E2585" s="6" t="n">
        <f aca="false">DATE(2024,3,7)</f>
        <v>45358</v>
      </c>
      <c r="F2585" s="7" t="n">
        <f aca="false">C2585*D2585</f>
        <v>675</v>
      </c>
      <c r="G2585" s="7" t="n">
        <f aca="false">ROUND(F2585*0.2,2)</f>
        <v>135</v>
      </c>
      <c r="H2585" s="4" t="str">
        <f aca="false">IF(F2585&gt;500,"Yüksek",IF(F2585&gt;100,"Orta","Düşük"))</f>
        <v>Yüksek</v>
      </c>
    </row>
    <row r="2586" customFormat="false" ht="12.8" hidden="false" customHeight="false" outlineLevel="0" collapsed="false">
      <c r="A2586" s="4" t="s">
        <v>16</v>
      </c>
      <c r="B2586" s="4" t="s">
        <v>17</v>
      </c>
      <c r="C2586" s="4" t="n">
        <v>32</v>
      </c>
      <c r="D2586" s="5" t="n">
        <v>29.75</v>
      </c>
      <c r="E2586" s="6" t="n">
        <f aca="false">DATE(2024,4,8)</f>
        <v>45390</v>
      </c>
      <c r="F2586" s="7" t="n">
        <f aca="false">C2586*D2586</f>
        <v>952</v>
      </c>
      <c r="G2586" s="7" t="n">
        <f aca="false">ROUND(F2586*0.2,2)</f>
        <v>190.4</v>
      </c>
      <c r="H2586" s="4" t="str">
        <f aca="false">IF(F2586&gt;500,"Yüksek",IF(F2586&gt;100,"Orta","Düşük"))</f>
        <v>Yüksek</v>
      </c>
    </row>
    <row r="2587" customFormat="false" ht="12.8" hidden="false" customHeight="false" outlineLevel="0" collapsed="false">
      <c r="A2587" s="4" t="s">
        <v>18</v>
      </c>
      <c r="B2587" s="4" t="s">
        <v>19</v>
      </c>
      <c r="C2587" s="4" t="n">
        <v>39</v>
      </c>
      <c r="D2587" s="5" t="n">
        <v>32.5</v>
      </c>
      <c r="E2587" s="6" t="n">
        <f aca="false">DATE(2024,5,9)</f>
        <v>45421</v>
      </c>
      <c r="F2587" s="7" t="n">
        <f aca="false">C2587*D2587</f>
        <v>1267.5</v>
      </c>
      <c r="G2587" s="7" t="n">
        <f aca="false">ROUND(F2587*0.2,2)</f>
        <v>253.5</v>
      </c>
      <c r="H2587" s="4" t="str">
        <f aca="false">IF(F2587&gt;500,"Yüksek",IF(F2587&gt;100,"Orta","Düşük"))</f>
        <v>Yüksek</v>
      </c>
    </row>
    <row r="2588" customFormat="false" ht="12.8" hidden="false" customHeight="false" outlineLevel="0" collapsed="false">
      <c r="A2588" s="4" t="s">
        <v>20</v>
      </c>
      <c r="B2588" s="4" t="s">
        <v>11</v>
      </c>
      <c r="C2588" s="4" t="n">
        <v>46</v>
      </c>
      <c r="D2588" s="5" t="n">
        <v>35.25</v>
      </c>
      <c r="E2588" s="6" t="n">
        <f aca="false">DATE(2024,6,10)</f>
        <v>45453</v>
      </c>
      <c r="F2588" s="7" t="n">
        <f aca="false">C2588*D2588</f>
        <v>1621.5</v>
      </c>
      <c r="G2588" s="7" t="n">
        <f aca="false">ROUND(F2588*0.2,2)</f>
        <v>324.3</v>
      </c>
      <c r="H2588" s="4" t="str">
        <f aca="false">IF(F2588&gt;500,"Yüksek",IF(F2588&gt;100,"Orta","Düşük"))</f>
        <v>Yüksek</v>
      </c>
    </row>
    <row r="2589" customFormat="false" ht="12.8" hidden="false" customHeight="false" outlineLevel="0" collapsed="false">
      <c r="A2589" s="4" t="s">
        <v>21</v>
      </c>
      <c r="B2589" s="4" t="s">
        <v>13</v>
      </c>
      <c r="C2589" s="4" t="n">
        <v>3</v>
      </c>
      <c r="D2589" s="5" t="n">
        <v>38</v>
      </c>
      <c r="E2589" s="6" t="n">
        <f aca="false">DATE(2024,7,11)</f>
        <v>45484</v>
      </c>
      <c r="F2589" s="7" t="n">
        <f aca="false">C2589*D2589</f>
        <v>114</v>
      </c>
      <c r="G2589" s="7" t="n">
        <f aca="false">ROUND(F2589*0.2,2)</f>
        <v>22.8</v>
      </c>
      <c r="H2589" s="4" t="str">
        <f aca="false">IF(F2589&gt;500,"Yüksek",IF(F2589&gt;100,"Orta","Düşük"))</f>
        <v>Orta</v>
      </c>
    </row>
    <row r="2590" customFormat="false" ht="12.8" hidden="false" customHeight="false" outlineLevel="0" collapsed="false">
      <c r="A2590" s="4" t="s">
        <v>22</v>
      </c>
      <c r="B2590" s="4" t="s">
        <v>15</v>
      </c>
      <c r="C2590" s="4" t="n">
        <v>10</v>
      </c>
      <c r="D2590" s="5" t="n">
        <v>5</v>
      </c>
      <c r="E2590" s="6" t="n">
        <f aca="false">DATE(2024,8,12)</f>
        <v>45516</v>
      </c>
      <c r="F2590" s="7" t="n">
        <f aca="false">C2590*D2590</f>
        <v>50</v>
      </c>
      <c r="G2590" s="7" t="n">
        <f aca="false">ROUND(F2590*0.2,2)</f>
        <v>10</v>
      </c>
      <c r="H2590" s="4" t="str">
        <f aca="false">IF(F2590&gt;500,"Yüksek",IF(F2590&gt;100,"Orta","Düşük"))</f>
        <v>Düşük</v>
      </c>
    </row>
    <row r="2591" customFormat="false" ht="12.8" hidden="false" customHeight="false" outlineLevel="0" collapsed="false">
      <c r="A2591" s="4" t="s">
        <v>23</v>
      </c>
      <c r="B2591" s="4" t="s">
        <v>17</v>
      </c>
      <c r="C2591" s="4" t="n">
        <v>17</v>
      </c>
      <c r="D2591" s="5" t="n">
        <v>7.75</v>
      </c>
      <c r="E2591" s="6" t="n">
        <f aca="false">DATE(2024,9,13)</f>
        <v>45548</v>
      </c>
      <c r="F2591" s="7" t="n">
        <f aca="false">C2591*D2591</f>
        <v>131.75</v>
      </c>
      <c r="G2591" s="7" t="n">
        <f aca="false">ROUND(F2591*0.2,2)</f>
        <v>26.35</v>
      </c>
      <c r="H2591" s="4" t="str">
        <f aca="false">IF(F2591&gt;500,"Yüksek",IF(F2591&gt;100,"Orta","Düşük"))</f>
        <v>Orta</v>
      </c>
    </row>
    <row r="2592" customFormat="false" ht="12.8" hidden="false" customHeight="false" outlineLevel="0" collapsed="false">
      <c r="A2592" s="4" t="s">
        <v>24</v>
      </c>
      <c r="B2592" s="4" t="s">
        <v>19</v>
      </c>
      <c r="C2592" s="4" t="n">
        <v>24</v>
      </c>
      <c r="D2592" s="5" t="n">
        <v>10.5</v>
      </c>
      <c r="E2592" s="6" t="n">
        <f aca="false">DATE(2024,10,14)</f>
        <v>45579</v>
      </c>
      <c r="F2592" s="7" t="n">
        <f aca="false">C2592*D2592</f>
        <v>252</v>
      </c>
      <c r="G2592" s="7" t="n">
        <f aca="false">ROUND(F2592*0.2,2)</f>
        <v>50.4</v>
      </c>
      <c r="H2592" s="4" t="str">
        <f aca="false">IF(F2592&gt;500,"Yüksek",IF(F2592&gt;100,"Orta","Düşük"))</f>
        <v>Orta</v>
      </c>
    </row>
    <row r="2593" customFormat="false" ht="12.8" hidden="false" customHeight="false" outlineLevel="0" collapsed="false">
      <c r="A2593" s="4" t="s">
        <v>10</v>
      </c>
      <c r="B2593" s="4" t="s">
        <v>11</v>
      </c>
      <c r="C2593" s="4" t="n">
        <v>31</v>
      </c>
      <c r="D2593" s="5" t="n">
        <v>13.25</v>
      </c>
      <c r="E2593" s="6" t="n">
        <f aca="false">DATE(2024,11,15)</f>
        <v>45611</v>
      </c>
      <c r="F2593" s="7" t="n">
        <f aca="false">C2593*D2593</f>
        <v>410.75</v>
      </c>
      <c r="G2593" s="7" t="n">
        <f aca="false">ROUND(F2593*0.2,2)</f>
        <v>82.15</v>
      </c>
      <c r="H2593" s="4" t="str">
        <f aca="false">IF(F2593&gt;500,"Yüksek",IF(F2593&gt;100,"Orta","Düşük"))</f>
        <v>Orta</v>
      </c>
    </row>
    <row r="2594" customFormat="false" ht="12.8" hidden="false" customHeight="false" outlineLevel="0" collapsed="false">
      <c r="A2594" s="4" t="s">
        <v>12</v>
      </c>
      <c r="B2594" s="4" t="s">
        <v>13</v>
      </c>
      <c r="C2594" s="4" t="n">
        <v>38</v>
      </c>
      <c r="D2594" s="5" t="n">
        <v>16</v>
      </c>
      <c r="E2594" s="6" t="n">
        <f aca="false">DATE(2024,12,16)</f>
        <v>45642</v>
      </c>
      <c r="F2594" s="7" t="n">
        <f aca="false">C2594*D2594</f>
        <v>608</v>
      </c>
      <c r="G2594" s="7" t="n">
        <f aca="false">ROUND(F2594*0.2,2)</f>
        <v>121.6</v>
      </c>
      <c r="H2594" s="4" t="str">
        <f aca="false">IF(F2594&gt;500,"Yüksek",IF(F2594&gt;100,"Orta","Düşük"))</f>
        <v>Yüksek</v>
      </c>
    </row>
    <row r="2595" customFormat="false" ht="12.8" hidden="false" customHeight="false" outlineLevel="0" collapsed="false">
      <c r="A2595" s="4" t="s">
        <v>14</v>
      </c>
      <c r="B2595" s="4" t="s">
        <v>15</v>
      </c>
      <c r="C2595" s="4" t="n">
        <v>45</v>
      </c>
      <c r="D2595" s="5" t="n">
        <v>18.75</v>
      </c>
      <c r="E2595" s="6" t="n">
        <f aca="false">DATE(2024,1,17)</f>
        <v>45308</v>
      </c>
      <c r="F2595" s="7" t="n">
        <f aca="false">C2595*D2595</f>
        <v>843.75</v>
      </c>
      <c r="G2595" s="7" t="n">
        <f aca="false">ROUND(F2595*0.2,2)</f>
        <v>168.75</v>
      </c>
      <c r="H2595" s="4" t="str">
        <f aca="false">IF(F2595&gt;500,"Yüksek",IF(F2595&gt;100,"Orta","Düşük"))</f>
        <v>Yüksek</v>
      </c>
    </row>
    <row r="2596" customFormat="false" ht="12.8" hidden="false" customHeight="false" outlineLevel="0" collapsed="false">
      <c r="A2596" s="4" t="s">
        <v>16</v>
      </c>
      <c r="B2596" s="4" t="s">
        <v>17</v>
      </c>
      <c r="C2596" s="4" t="n">
        <v>2</v>
      </c>
      <c r="D2596" s="5" t="n">
        <v>21.5</v>
      </c>
      <c r="E2596" s="6" t="n">
        <f aca="false">DATE(2024,2,18)</f>
        <v>45340</v>
      </c>
      <c r="F2596" s="7" t="n">
        <f aca="false">C2596*D2596</f>
        <v>43</v>
      </c>
      <c r="G2596" s="7" t="n">
        <f aca="false">ROUND(F2596*0.2,2)</f>
        <v>8.6</v>
      </c>
      <c r="H2596" s="4" t="str">
        <f aca="false">IF(F2596&gt;500,"Yüksek",IF(F2596&gt;100,"Orta","Düşük"))</f>
        <v>Düşük</v>
      </c>
    </row>
    <row r="2597" customFormat="false" ht="12.8" hidden="false" customHeight="false" outlineLevel="0" collapsed="false">
      <c r="A2597" s="4" t="s">
        <v>18</v>
      </c>
      <c r="B2597" s="4" t="s">
        <v>19</v>
      </c>
      <c r="C2597" s="4" t="n">
        <v>9</v>
      </c>
      <c r="D2597" s="5" t="n">
        <v>24.25</v>
      </c>
      <c r="E2597" s="6" t="n">
        <f aca="false">DATE(2024,3,19)</f>
        <v>45370</v>
      </c>
      <c r="F2597" s="7" t="n">
        <f aca="false">C2597*D2597</f>
        <v>218.25</v>
      </c>
      <c r="G2597" s="7" t="n">
        <f aca="false">ROUND(F2597*0.2,2)</f>
        <v>43.65</v>
      </c>
      <c r="H2597" s="4" t="str">
        <f aca="false">IF(F2597&gt;500,"Yüksek",IF(F2597&gt;100,"Orta","Düşük"))</f>
        <v>Orta</v>
      </c>
    </row>
    <row r="2598" customFormat="false" ht="12.8" hidden="false" customHeight="false" outlineLevel="0" collapsed="false">
      <c r="A2598" s="4" t="s">
        <v>20</v>
      </c>
      <c r="B2598" s="4" t="s">
        <v>11</v>
      </c>
      <c r="C2598" s="4" t="n">
        <v>16</v>
      </c>
      <c r="D2598" s="5" t="n">
        <v>27</v>
      </c>
      <c r="E2598" s="6" t="n">
        <f aca="false">DATE(2024,4,20)</f>
        <v>45402</v>
      </c>
      <c r="F2598" s="7" t="n">
        <f aca="false">C2598*D2598</f>
        <v>432</v>
      </c>
      <c r="G2598" s="7" t="n">
        <f aca="false">ROUND(F2598*0.2,2)</f>
        <v>86.4</v>
      </c>
      <c r="H2598" s="4" t="str">
        <f aca="false">IF(F2598&gt;500,"Yüksek",IF(F2598&gt;100,"Orta","Düşük"))</f>
        <v>Orta</v>
      </c>
    </row>
    <row r="2599" customFormat="false" ht="12.8" hidden="false" customHeight="false" outlineLevel="0" collapsed="false">
      <c r="A2599" s="4" t="s">
        <v>21</v>
      </c>
      <c r="B2599" s="4" t="s">
        <v>13</v>
      </c>
      <c r="C2599" s="4" t="n">
        <v>23</v>
      </c>
      <c r="D2599" s="5" t="n">
        <v>29.75</v>
      </c>
      <c r="E2599" s="6" t="n">
        <f aca="false">DATE(2024,5,21)</f>
        <v>45433</v>
      </c>
      <c r="F2599" s="7" t="n">
        <f aca="false">C2599*D2599</f>
        <v>684.25</v>
      </c>
      <c r="G2599" s="7" t="n">
        <f aca="false">ROUND(F2599*0.2,2)</f>
        <v>136.85</v>
      </c>
      <c r="H2599" s="4" t="str">
        <f aca="false">IF(F2599&gt;500,"Yüksek",IF(F2599&gt;100,"Orta","Düşük"))</f>
        <v>Yüksek</v>
      </c>
    </row>
    <row r="2600" customFormat="false" ht="12.8" hidden="false" customHeight="false" outlineLevel="0" collapsed="false">
      <c r="A2600" s="4" t="s">
        <v>22</v>
      </c>
      <c r="B2600" s="4" t="s">
        <v>15</v>
      </c>
      <c r="C2600" s="4" t="n">
        <v>30</v>
      </c>
      <c r="D2600" s="5" t="n">
        <v>32.5</v>
      </c>
      <c r="E2600" s="6" t="n">
        <f aca="false">DATE(2024,6,22)</f>
        <v>45465</v>
      </c>
      <c r="F2600" s="7" t="n">
        <f aca="false">C2600*D2600</f>
        <v>975</v>
      </c>
      <c r="G2600" s="7" t="n">
        <f aca="false">ROUND(F2600*0.2,2)</f>
        <v>195</v>
      </c>
      <c r="H2600" s="4" t="str">
        <f aca="false">IF(F2600&gt;500,"Yüksek",IF(F2600&gt;100,"Orta","Düşük"))</f>
        <v>Yüksek</v>
      </c>
    </row>
    <row r="2601" customFormat="false" ht="12.8" hidden="false" customHeight="false" outlineLevel="0" collapsed="false">
      <c r="A2601" s="4" t="s">
        <v>23</v>
      </c>
      <c r="B2601" s="4" t="s">
        <v>17</v>
      </c>
      <c r="C2601" s="4" t="n">
        <v>37</v>
      </c>
      <c r="D2601" s="5" t="n">
        <v>35.25</v>
      </c>
      <c r="E2601" s="6" t="n">
        <f aca="false">DATE(2024,7,23)</f>
        <v>45496</v>
      </c>
      <c r="F2601" s="7" t="n">
        <f aca="false">C2601*D2601</f>
        <v>1304.25</v>
      </c>
      <c r="G2601" s="7" t="n">
        <f aca="false">ROUND(F2601*0.2,2)</f>
        <v>260.85</v>
      </c>
      <c r="H2601" s="4" t="str">
        <f aca="false">IF(F2601&gt;500,"Yüksek",IF(F2601&gt;100,"Orta","Düşük"))</f>
        <v>Yüksek</v>
      </c>
    </row>
    <row r="2602" customFormat="false" ht="12.8" hidden="false" customHeight="false" outlineLevel="0" collapsed="false">
      <c r="A2602" s="4" t="s">
        <v>24</v>
      </c>
      <c r="B2602" s="4" t="s">
        <v>19</v>
      </c>
      <c r="C2602" s="4" t="n">
        <v>44</v>
      </c>
      <c r="D2602" s="5" t="n">
        <v>38</v>
      </c>
      <c r="E2602" s="6" t="n">
        <f aca="false">DATE(2024,8,24)</f>
        <v>45528</v>
      </c>
      <c r="F2602" s="7" t="n">
        <f aca="false">C2602*D2602</f>
        <v>1672</v>
      </c>
      <c r="G2602" s="7" t="n">
        <f aca="false">ROUND(F2602*0.2,2)</f>
        <v>334.4</v>
      </c>
      <c r="H2602" s="4" t="str">
        <f aca="false">IF(F2602&gt;500,"Yüksek",IF(F2602&gt;100,"Orta","Düşük"))</f>
        <v>Yüksek</v>
      </c>
    </row>
    <row r="2603" customFormat="false" ht="12.8" hidden="false" customHeight="false" outlineLevel="0" collapsed="false">
      <c r="A2603" s="4" t="s">
        <v>10</v>
      </c>
      <c r="B2603" s="4" t="s">
        <v>11</v>
      </c>
      <c r="C2603" s="4" t="n">
        <v>1</v>
      </c>
      <c r="D2603" s="5" t="n">
        <v>5</v>
      </c>
      <c r="E2603" s="6" t="n">
        <f aca="false">DATE(2024,9,25)</f>
        <v>45560</v>
      </c>
      <c r="F2603" s="7" t="n">
        <f aca="false">C2603*D2603</f>
        <v>5</v>
      </c>
      <c r="G2603" s="7" t="n">
        <f aca="false">ROUND(F2603*0.2,2)</f>
        <v>1</v>
      </c>
      <c r="H2603" s="4" t="str">
        <f aca="false">IF(F2603&gt;500,"Yüksek",IF(F2603&gt;100,"Orta","Düşük"))</f>
        <v>Düşük</v>
      </c>
    </row>
    <row r="2604" customFormat="false" ht="12.8" hidden="false" customHeight="false" outlineLevel="0" collapsed="false">
      <c r="A2604" s="4" t="s">
        <v>12</v>
      </c>
      <c r="B2604" s="4" t="s">
        <v>13</v>
      </c>
      <c r="C2604" s="4" t="n">
        <v>8</v>
      </c>
      <c r="D2604" s="5" t="n">
        <v>7.75</v>
      </c>
      <c r="E2604" s="6" t="n">
        <f aca="false">DATE(2024,10,26)</f>
        <v>45591</v>
      </c>
      <c r="F2604" s="7" t="n">
        <f aca="false">C2604*D2604</f>
        <v>62</v>
      </c>
      <c r="G2604" s="7" t="n">
        <f aca="false">ROUND(F2604*0.2,2)</f>
        <v>12.4</v>
      </c>
      <c r="H2604" s="4" t="str">
        <f aca="false">IF(F2604&gt;500,"Yüksek",IF(F2604&gt;100,"Orta","Düşük"))</f>
        <v>Düşük</v>
      </c>
    </row>
    <row r="2605" customFormat="false" ht="12.8" hidden="false" customHeight="false" outlineLevel="0" collapsed="false">
      <c r="A2605" s="4" t="s">
        <v>14</v>
      </c>
      <c r="B2605" s="4" t="s">
        <v>15</v>
      </c>
      <c r="C2605" s="4" t="n">
        <v>15</v>
      </c>
      <c r="D2605" s="5" t="n">
        <v>10.5</v>
      </c>
      <c r="E2605" s="6" t="n">
        <f aca="false">DATE(2024,11,27)</f>
        <v>45623</v>
      </c>
      <c r="F2605" s="7" t="n">
        <f aca="false">C2605*D2605</f>
        <v>157.5</v>
      </c>
      <c r="G2605" s="7" t="n">
        <f aca="false">ROUND(F2605*0.2,2)</f>
        <v>31.5</v>
      </c>
      <c r="H2605" s="4" t="str">
        <f aca="false">IF(F2605&gt;500,"Yüksek",IF(F2605&gt;100,"Orta","Düşük"))</f>
        <v>Orta</v>
      </c>
    </row>
    <row r="2606" customFormat="false" ht="12.8" hidden="false" customHeight="false" outlineLevel="0" collapsed="false">
      <c r="A2606" s="4" t="s">
        <v>16</v>
      </c>
      <c r="B2606" s="4" t="s">
        <v>17</v>
      </c>
      <c r="C2606" s="4" t="n">
        <v>22</v>
      </c>
      <c r="D2606" s="5" t="n">
        <v>13.25</v>
      </c>
      <c r="E2606" s="6" t="n">
        <f aca="false">DATE(2024,12,28)</f>
        <v>45654</v>
      </c>
      <c r="F2606" s="7" t="n">
        <f aca="false">C2606*D2606</f>
        <v>291.5</v>
      </c>
      <c r="G2606" s="7" t="n">
        <f aca="false">ROUND(F2606*0.2,2)</f>
        <v>58.3</v>
      </c>
      <c r="H2606" s="4" t="str">
        <f aca="false">IF(F2606&gt;500,"Yüksek",IF(F2606&gt;100,"Orta","Düşük"))</f>
        <v>Orta</v>
      </c>
    </row>
    <row r="2607" customFormat="false" ht="12.8" hidden="false" customHeight="false" outlineLevel="0" collapsed="false">
      <c r="A2607" s="4" t="s">
        <v>18</v>
      </c>
      <c r="B2607" s="4" t="s">
        <v>19</v>
      </c>
      <c r="C2607" s="4" t="n">
        <v>29</v>
      </c>
      <c r="D2607" s="5" t="n">
        <v>16</v>
      </c>
      <c r="E2607" s="6" t="n">
        <f aca="false">DATE(2024,1,1)</f>
        <v>45292</v>
      </c>
      <c r="F2607" s="7" t="n">
        <f aca="false">C2607*D2607</f>
        <v>464</v>
      </c>
      <c r="G2607" s="7" t="n">
        <f aca="false">ROUND(F2607*0.2,2)</f>
        <v>92.8</v>
      </c>
      <c r="H2607" s="4" t="str">
        <f aca="false">IF(F2607&gt;500,"Yüksek",IF(F2607&gt;100,"Orta","Düşük"))</f>
        <v>Orta</v>
      </c>
    </row>
    <row r="2608" customFormat="false" ht="12.8" hidden="false" customHeight="false" outlineLevel="0" collapsed="false">
      <c r="A2608" s="4" t="s">
        <v>20</v>
      </c>
      <c r="B2608" s="4" t="s">
        <v>11</v>
      </c>
      <c r="C2608" s="4" t="n">
        <v>36</v>
      </c>
      <c r="D2608" s="5" t="n">
        <v>18.75</v>
      </c>
      <c r="E2608" s="6" t="n">
        <f aca="false">DATE(2024,2,2)</f>
        <v>45324</v>
      </c>
      <c r="F2608" s="7" t="n">
        <f aca="false">C2608*D2608</f>
        <v>675</v>
      </c>
      <c r="G2608" s="7" t="n">
        <f aca="false">ROUND(F2608*0.2,2)</f>
        <v>135</v>
      </c>
      <c r="H2608" s="4" t="str">
        <f aca="false">IF(F2608&gt;500,"Yüksek",IF(F2608&gt;100,"Orta","Düşük"))</f>
        <v>Yüksek</v>
      </c>
    </row>
    <row r="2609" customFormat="false" ht="12.8" hidden="false" customHeight="false" outlineLevel="0" collapsed="false">
      <c r="A2609" s="4" t="s">
        <v>21</v>
      </c>
      <c r="B2609" s="4" t="s">
        <v>13</v>
      </c>
      <c r="C2609" s="4" t="n">
        <v>43</v>
      </c>
      <c r="D2609" s="5" t="n">
        <v>21.5</v>
      </c>
      <c r="E2609" s="6" t="n">
        <f aca="false">DATE(2024,3,3)</f>
        <v>45354</v>
      </c>
      <c r="F2609" s="7" t="n">
        <f aca="false">C2609*D2609</f>
        <v>924.5</v>
      </c>
      <c r="G2609" s="7" t="n">
        <f aca="false">ROUND(F2609*0.2,2)</f>
        <v>184.9</v>
      </c>
      <c r="H2609" s="4" t="str">
        <f aca="false">IF(F2609&gt;500,"Yüksek",IF(F2609&gt;100,"Orta","Düşük"))</f>
        <v>Yüksek</v>
      </c>
    </row>
    <row r="2610" customFormat="false" ht="12.8" hidden="false" customHeight="false" outlineLevel="0" collapsed="false">
      <c r="A2610" s="4" t="s">
        <v>22</v>
      </c>
      <c r="B2610" s="4" t="s">
        <v>15</v>
      </c>
      <c r="C2610" s="4" t="n">
        <v>50</v>
      </c>
      <c r="D2610" s="5" t="n">
        <v>24.25</v>
      </c>
      <c r="E2610" s="6" t="n">
        <f aca="false">DATE(2024,4,4)</f>
        <v>45386</v>
      </c>
      <c r="F2610" s="7" t="n">
        <f aca="false">C2610*D2610</f>
        <v>1212.5</v>
      </c>
      <c r="G2610" s="7" t="n">
        <f aca="false">ROUND(F2610*0.2,2)</f>
        <v>242.5</v>
      </c>
      <c r="H2610" s="4" t="str">
        <f aca="false">IF(F2610&gt;500,"Yüksek",IF(F2610&gt;100,"Orta","Düşük"))</f>
        <v>Yüksek</v>
      </c>
    </row>
    <row r="2611" customFormat="false" ht="12.8" hidden="false" customHeight="false" outlineLevel="0" collapsed="false">
      <c r="A2611" s="4" t="s">
        <v>23</v>
      </c>
      <c r="B2611" s="4" t="s">
        <v>17</v>
      </c>
      <c r="C2611" s="4" t="n">
        <v>7</v>
      </c>
      <c r="D2611" s="5" t="n">
        <v>27</v>
      </c>
      <c r="E2611" s="6" t="n">
        <f aca="false">DATE(2024,5,5)</f>
        <v>45417</v>
      </c>
      <c r="F2611" s="7" t="n">
        <f aca="false">C2611*D2611</f>
        <v>189</v>
      </c>
      <c r="G2611" s="7" t="n">
        <f aca="false">ROUND(F2611*0.2,2)</f>
        <v>37.8</v>
      </c>
      <c r="H2611" s="4" t="str">
        <f aca="false">IF(F2611&gt;500,"Yüksek",IF(F2611&gt;100,"Orta","Düşük"))</f>
        <v>Orta</v>
      </c>
    </row>
    <row r="2612" customFormat="false" ht="12.8" hidden="false" customHeight="false" outlineLevel="0" collapsed="false">
      <c r="A2612" s="4" t="s">
        <v>24</v>
      </c>
      <c r="B2612" s="4" t="s">
        <v>19</v>
      </c>
      <c r="C2612" s="4" t="n">
        <v>14</v>
      </c>
      <c r="D2612" s="5" t="n">
        <v>29.75</v>
      </c>
      <c r="E2612" s="6" t="n">
        <f aca="false">DATE(2024,6,6)</f>
        <v>45449</v>
      </c>
      <c r="F2612" s="7" t="n">
        <f aca="false">C2612*D2612</f>
        <v>416.5</v>
      </c>
      <c r="G2612" s="7" t="n">
        <f aca="false">ROUND(F2612*0.2,2)</f>
        <v>83.3</v>
      </c>
      <c r="H2612" s="4" t="str">
        <f aca="false">IF(F2612&gt;500,"Yüksek",IF(F2612&gt;100,"Orta","Düşük"))</f>
        <v>Orta</v>
      </c>
    </row>
    <row r="2613" customFormat="false" ht="12.8" hidden="false" customHeight="false" outlineLevel="0" collapsed="false">
      <c r="A2613" s="4" t="s">
        <v>10</v>
      </c>
      <c r="B2613" s="4" t="s">
        <v>11</v>
      </c>
      <c r="C2613" s="4" t="n">
        <v>21</v>
      </c>
      <c r="D2613" s="5" t="n">
        <v>32.5</v>
      </c>
      <c r="E2613" s="6" t="n">
        <f aca="false">DATE(2024,7,7)</f>
        <v>45480</v>
      </c>
      <c r="F2613" s="7" t="n">
        <f aca="false">C2613*D2613</f>
        <v>682.5</v>
      </c>
      <c r="G2613" s="7" t="n">
        <f aca="false">ROUND(F2613*0.2,2)</f>
        <v>136.5</v>
      </c>
      <c r="H2613" s="4" t="str">
        <f aca="false">IF(F2613&gt;500,"Yüksek",IF(F2613&gt;100,"Orta","Düşük"))</f>
        <v>Yüksek</v>
      </c>
    </row>
    <row r="2614" customFormat="false" ht="12.8" hidden="false" customHeight="false" outlineLevel="0" collapsed="false">
      <c r="A2614" s="4" t="s">
        <v>12</v>
      </c>
      <c r="B2614" s="4" t="s">
        <v>13</v>
      </c>
      <c r="C2614" s="4" t="n">
        <v>28</v>
      </c>
      <c r="D2614" s="5" t="n">
        <v>35.25</v>
      </c>
      <c r="E2614" s="6" t="n">
        <f aca="false">DATE(2024,8,8)</f>
        <v>45512</v>
      </c>
      <c r="F2614" s="7" t="n">
        <f aca="false">C2614*D2614</f>
        <v>987</v>
      </c>
      <c r="G2614" s="7" t="n">
        <f aca="false">ROUND(F2614*0.2,2)</f>
        <v>197.4</v>
      </c>
      <c r="H2614" s="4" t="str">
        <f aca="false">IF(F2614&gt;500,"Yüksek",IF(F2614&gt;100,"Orta","Düşük"))</f>
        <v>Yüksek</v>
      </c>
    </row>
    <row r="2615" customFormat="false" ht="12.8" hidden="false" customHeight="false" outlineLevel="0" collapsed="false">
      <c r="A2615" s="4" t="s">
        <v>14</v>
      </c>
      <c r="B2615" s="4" t="s">
        <v>15</v>
      </c>
      <c r="C2615" s="4" t="n">
        <v>35</v>
      </c>
      <c r="D2615" s="5" t="n">
        <v>38</v>
      </c>
      <c r="E2615" s="6" t="n">
        <f aca="false">DATE(2024,9,9)</f>
        <v>45544</v>
      </c>
      <c r="F2615" s="7" t="n">
        <f aca="false">C2615*D2615</f>
        <v>1330</v>
      </c>
      <c r="G2615" s="7" t="n">
        <f aca="false">ROUND(F2615*0.2,2)</f>
        <v>266</v>
      </c>
      <c r="H2615" s="4" t="str">
        <f aca="false">IF(F2615&gt;500,"Yüksek",IF(F2615&gt;100,"Orta","Düşük"))</f>
        <v>Yüksek</v>
      </c>
    </row>
    <row r="2616" customFormat="false" ht="12.8" hidden="false" customHeight="false" outlineLevel="0" collapsed="false">
      <c r="A2616" s="4" t="s">
        <v>16</v>
      </c>
      <c r="B2616" s="4" t="s">
        <v>17</v>
      </c>
      <c r="C2616" s="4" t="n">
        <v>42</v>
      </c>
      <c r="D2616" s="5" t="n">
        <v>5</v>
      </c>
      <c r="E2616" s="6" t="n">
        <f aca="false">DATE(2024,10,10)</f>
        <v>45575</v>
      </c>
      <c r="F2616" s="7" t="n">
        <f aca="false">C2616*D2616</f>
        <v>210</v>
      </c>
      <c r="G2616" s="7" t="n">
        <f aca="false">ROUND(F2616*0.2,2)</f>
        <v>42</v>
      </c>
      <c r="H2616" s="4" t="str">
        <f aca="false">IF(F2616&gt;500,"Yüksek",IF(F2616&gt;100,"Orta","Düşük"))</f>
        <v>Orta</v>
      </c>
    </row>
    <row r="2617" customFormat="false" ht="12.8" hidden="false" customHeight="false" outlineLevel="0" collapsed="false">
      <c r="A2617" s="4" t="s">
        <v>18</v>
      </c>
      <c r="B2617" s="4" t="s">
        <v>19</v>
      </c>
      <c r="C2617" s="4" t="n">
        <v>49</v>
      </c>
      <c r="D2617" s="5" t="n">
        <v>7.75</v>
      </c>
      <c r="E2617" s="6" t="n">
        <f aca="false">DATE(2024,11,11)</f>
        <v>45607</v>
      </c>
      <c r="F2617" s="7" t="n">
        <f aca="false">C2617*D2617</f>
        <v>379.75</v>
      </c>
      <c r="G2617" s="7" t="n">
        <f aca="false">ROUND(F2617*0.2,2)</f>
        <v>75.95</v>
      </c>
      <c r="H2617" s="4" t="str">
        <f aca="false">IF(F2617&gt;500,"Yüksek",IF(F2617&gt;100,"Orta","Düşük"))</f>
        <v>Orta</v>
      </c>
    </row>
    <row r="2618" customFormat="false" ht="12.8" hidden="false" customHeight="false" outlineLevel="0" collapsed="false">
      <c r="A2618" s="4" t="s">
        <v>20</v>
      </c>
      <c r="B2618" s="4" t="s">
        <v>11</v>
      </c>
      <c r="C2618" s="4" t="n">
        <v>6</v>
      </c>
      <c r="D2618" s="5" t="n">
        <v>10.5</v>
      </c>
      <c r="E2618" s="6" t="n">
        <f aca="false">DATE(2024,12,12)</f>
        <v>45638</v>
      </c>
      <c r="F2618" s="7" t="n">
        <f aca="false">C2618*D2618</f>
        <v>63</v>
      </c>
      <c r="G2618" s="7" t="n">
        <f aca="false">ROUND(F2618*0.2,2)</f>
        <v>12.6</v>
      </c>
      <c r="H2618" s="4" t="str">
        <f aca="false">IF(F2618&gt;500,"Yüksek",IF(F2618&gt;100,"Orta","Düşük"))</f>
        <v>Düşük</v>
      </c>
    </row>
    <row r="2619" customFormat="false" ht="12.8" hidden="false" customHeight="false" outlineLevel="0" collapsed="false">
      <c r="A2619" s="4" t="s">
        <v>21</v>
      </c>
      <c r="B2619" s="4" t="s">
        <v>13</v>
      </c>
      <c r="C2619" s="4" t="n">
        <v>13</v>
      </c>
      <c r="D2619" s="5" t="n">
        <v>13.25</v>
      </c>
      <c r="E2619" s="6" t="n">
        <f aca="false">DATE(2024,1,13)</f>
        <v>45304</v>
      </c>
      <c r="F2619" s="7" t="n">
        <f aca="false">C2619*D2619</f>
        <v>172.25</v>
      </c>
      <c r="G2619" s="7" t="n">
        <f aca="false">ROUND(F2619*0.2,2)</f>
        <v>34.45</v>
      </c>
      <c r="H2619" s="4" t="str">
        <f aca="false">IF(F2619&gt;500,"Yüksek",IF(F2619&gt;100,"Orta","Düşük"))</f>
        <v>Orta</v>
      </c>
    </row>
    <row r="2620" customFormat="false" ht="12.8" hidden="false" customHeight="false" outlineLevel="0" collapsed="false">
      <c r="A2620" s="4" t="s">
        <v>22</v>
      </c>
      <c r="B2620" s="4" t="s">
        <v>15</v>
      </c>
      <c r="C2620" s="4" t="n">
        <v>20</v>
      </c>
      <c r="D2620" s="5" t="n">
        <v>16</v>
      </c>
      <c r="E2620" s="6" t="n">
        <f aca="false">DATE(2024,2,14)</f>
        <v>45336</v>
      </c>
      <c r="F2620" s="7" t="n">
        <f aca="false">C2620*D2620</f>
        <v>320</v>
      </c>
      <c r="G2620" s="7" t="n">
        <f aca="false">ROUND(F2620*0.2,2)</f>
        <v>64</v>
      </c>
      <c r="H2620" s="4" t="str">
        <f aca="false">IF(F2620&gt;500,"Yüksek",IF(F2620&gt;100,"Orta","Düşük"))</f>
        <v>Orta</v>
      </c>
    </row>
    <row r="2621" customFormat="false" ht="12.8" hidden="false" customHeight="false" outlineLevel="0" collapsed="false">
      <c r="A2621" s="4" t="s">
        <v>23</v>
      </c>
      <c r="B2621" s="4" t="s">
        <v>17</v>
      </c>
      <c r="C2621" s="4" t="n">
        <v>27</v>
      </c>
      <c r="D2621" s="5" t="n">
        <v>18.75</v>
      </c>
      <c r="E2621" s="6" t="n">
        <f aca="false">DATE(2024,3,15)</f>
        <v>45366</v>
      </c>
      <c r="F2621" s="7" t="n">
        <f aca="false">C2621*D2621</f>
        <v>506.25</v>
      </c>
      <c r="G2621" s="7" t="n">
        <f aca="false">ROUND(F2621*0.2,2)</f>
        <v>101.25</v>
      </c>
      <c r="H2621" s="4" t="str">
        <f aca="false">IF(F2621&gt;500,"Yüksek",IF(F2621&gt;100,"Orta","Düşük"))</f>
        <v>Yüksek</v>
      </c>
    </row>
    <row r="2622" customFormat="false" ht="12.8" hidden="false" customHeight="false" outlineLevel="0" collapsed="false">
      <c r="A2622" s="4" t="s">
        <v>24</v>
      </c>
      <c r="B2622" s="4" t="s">
        <v>19</v>
      </c>
      <c r="C2622" s="4" t="n">
        <v>34</v>
      </c>
      <c r="D2622" s="5" t="n">
        <v>21.5</v>
      </c>
      <c r="E2622" s="6" t="n">
        <f aca="false">DATE(2024,4,16)</f>
        <v>45398</v>
      </c>
      <c r="F2622" s="7" t="n">
        <f aca="false">C2622*D2622</f>
        <v>731</v>
      </c>
      <c r="G2622" s="7" t="n">
        <f aca="false">ROUND(F2622*0.2,2)</f>
        <v>146.2</v>
      </c>
      <c r="H2622" s="4" t="str">
        <f aca="false">IF(F2622&gt;500,"Yüksek",IF(F2622&gt;100,"Orta","Düşük"))</f>
        <v>Yüksek</v>
      </c>
    </row>
    <row r="2623" customFormat="false" ht="12.8" hidden="false" customHeight="false" outlineLevel="0" collapsed="false">
      <c r="A2623" s="4" t="s">
        <v>10</v>
      </c>
      <c r="B2623" s="4" t="s">
        <v>11</v>
      </c>
      <c r="C2623" s="4" t="n">
        <v>41</v>
      </c>
      <c r="D2623" s="5" t="n">
        <v>24.25</v>
      </c>
      <c r="E2623" s="6" t="n">
        <f aca="false">DATE(2024,5,17)</f>
        <v>45429</v>
      </c>
      <c r="F2623" s="7" t="n">
        <f aca="false">C2623*D2623</f>
        <v>994.25</v>
      </c>
      <c r="G2623" s="7" t="n">
        <f aca="false">ROUND(F2623*0.2,2)</f>
        <v>198.85</v>
      </c>
      <c r="H2623" s="4" t="str">
        <f aca="false">IF(F2623&gt;500,"Yüksek",IF(F2623&gt;100,"Orta","Düşük"))</f>
        <v>Yüksek</v>
      </c>
    </row>
    <row r="2624" customFormat="false" ht="12.8" hidden="false" customHeight="false" outlineLevel="0" collapsed="false">
      <c r="A2624" s="4" t="s">
        <v>12</v>
      </c>
      <c r="B2624" s="4" t="s">
        <v>13</v>
      </c>
      <c r="C2624" s="4" t="n">
        <v>48</v>
      </c>
      <c r="D2624" s="5" t="n">
        <v>27</v>
      </c>
      <c r="E2624" s="6" t="n">
        <f aca="false">DATE(2024,6,18)</f>
        <v>45461</v>
      </c>
      <c r="F2624" s="7" t="n">
        <f aca="false">C2624*D2624</f>
        <v>1296</v>
      </c>
      <c r="G2624" s="7" t="n">
        <f aca="false">ROUND(F2624*0.2,2)</f>
        <v>259.2</v>
      </c>
      <c r="H2624" s="4" t="str">
        <f aca="false">IF(F2624&gt;500,"Yüksek",IF(F2624&gt;100,"Orta","Düşük"))</f>
        <v>Yüksek</v>
      </c>
    </row>
    <row r="2625" customFormat="false" ht="12.8" hidden="false" customHeight="false" outlineLevel="0" collapsed="false">
      <c r="A2625" s="4" t="s">
        <v>14</v>
      </c>
      <c r="B2625" s="4" t="s">
        <v>15</v>
      </c>
      <c r="C2625" s="4" t="n">
        <v>5</v>
      </c>
      <c r="D2625" s="5" t="n">
        <v>29.75</v>
      </c>
      <c r="E2625" s="6" t="n">
        <f aca="false">DATE(2024,7,19)</f>
        <v>45492</v>
      </c>
      <c r="F2625" s="7" t="n">
        <f aca="false">C2625*D2625</f>
        <v>148.75</v>
      </c>
      <c r="G2625" s="7" t="n">
        <f aca="false">ROUND(F2625*0.2,2)</f>
        <v>29.75</v>
      </c>
      <c r="H2625" s="4" t="str">
        <f aca="false">IF(F2625&gt;500,"Yüksek",IF(F2625&gt;100,"Orta","Düşük"))</f>
        <v>Orta</v>
      </c>
    </row>
    <row r="2626" customFormat="false" ht="12.8" hidden="false" customHeight="false" outlineLevel="0" collapsed="false">
      <c r="A2626" s="4" t="s">
        <v>16</v>
      </c>
      <c r="B2626" s="4" t="s">
        <v>17</v>
      </c>
      <c r="C2626" s="4" t="n">
        <v>12</v>
      </c>
      <c r="D2626" s="5" t="n">
        <v>32.5</v>
      </c>
      <c r="E2626" s="6" t="n">
        <f aca="false">DATE(2024,8,20)</f>
        <v>45524</v>
      </c>
      <c r="F2626" s="7" t="n">
        <f aca="false">C2626*D2626</f>
        <v>390</v>
      </c>
      <c r="G2626" s="7" t="n">
        <f aca="false">ROUND(F2626*0.2,2)</f>
        <v>78</v>
      </c>
      <c r="H2626" s="4" t="str">
        <f aca="false">IF(F2626&gt;500,"Yüksek",IF(F2626&gt;100,"Orta","Düşük"))</f>
        <v>Orta</v>
      </c>
    </row>
    <row r="2627" customFormat="false" ht="12.8" hidden="false" customHeight="false" outlineLevel="0" collapsed="false">
      <c r="A2627" s="4" t="s">
        <v>18</v>
      </c>
      <c r="B2627" s="4" t="s">
        <v>19</v>
      </c>
      <c r="C2627" s="4" t="n">
        <v>19</v>
      </c>
      <c r="D2627" s="5" t="n">
        <v>35.25</v>
      </c>
      <c r="E2627" s="6" t="n">
        <f aca="false">DATE(2024,9,21)</f>
        <v>45556</v>
      </c>
      <c r="F2627" s="7" t="n">
        <f aca="false">C2627*D2627</f>
        <v>669.75</v>
      </c>
      <c r="G2627" s="7" t="n">
        <f aca="false">ROUND(F2627*0.2,2)</f>
        <v>133.95</v>
      </c>
      <c r="H2627" s="4" t="str">
        <f aca="false">IF(F2627&gt;500,"Yüksek",IF(F2627&gt;100,"Orta","Düşük"))</f>
        <v>Yüksek</v>
      </c>
    </row>
    <row r="2628" customFormat="false" ht="12.8" hidden="false" customHeight="false" outlineLevel="0" collapsed="false">
      <c r="A2628" s="4" t="s">
        <v>20</v>
      </c>
      <c r="B2628" s="4" t="s">
        <v>11</v>
      </c>
      <c r="C2628" s="4" t="n">
        <v>26</v>
      </c>
      <c r="D2628" s="5" t="n">
        <v>38</v>
      </c>
      <c r="E2628" s="6" t="n">
        <f aca="false">DATE(2024,10,22)</f>
        <v>45587</v>
      </c>
      <c r="F2628" s="7" t="n">
        <f aca="false">C2628*D2628</f>
        <v>988</v>
      </c>
      <c r="G2628" s="7" t="n">
        <f aca="false">ROUND(F2628*0.2,2)</f>
        <v>197.6</v>
      </c>
      <c r="H2628" s="4" t="str">
        <f aca="false">IF(F2628&gt;500,"Yüksek",IF(F2628&gt;100,"Orta","Düşük"))</f>
        <v>Yüksek</v>
      </c>
    </row>
    <row r="2629" customFormat="false" ht="12.8" hidden="false" customHeight="false" outlineLevel="0" collapsed="false">
      <c r="A2629" s="4" t="s">
        <v>21</v>
      </c>
      <c r="B2629" s="4" t="s">
        <v>13</v>
      </c>
      <c r="C2629" s="4" t="n">
        <v>33</v>
      </c>
      <c r="D2629" s="5" t="n">
        <v>5</v>
      </c>
      <c r="E2629" s="6" t="n">
        <f aca="false">DATE(2024,11,23)</f>
        <v>45619</v>
      </c>
      <c r="F2629" s="7" t="n">
        <f aca="false">C2629*D2629</f>
        <v>165</v>
      </c>
      <c r="G2629" s="7" t="n">
        <f aca="false">ROUND(F2629*0.2,2)</f>
        <v>33</v>
      </c>
      <c r="H2629" s="4" t="str">
        <f aca="false">IF(F2629&gt;500,"Yüksek",IF(F2629&gt;100,"Orta","Düşük"))</f>
        <v>Orta</v>
      </c>
    </row>
    <row r="2630" customFormat="false" ht="12.8" hidden="false" customHeight="false" outlineLevel="0" collapsed="false">
      <c r="A2630" s="4" t="s">
        <v>22</v>
      </c>
      <c r="B2630" s="4" t="s">
        <v>15</v>
      </c>
      <c r="C2630" s="4" t="n">
        <v>40</v>
      </c>
      <c r="D2630" s="5" t="n">
        <v>7.75</v>
      </c>
      <c r="E2630" s="6" t="n">
        <f aca="false">DATE(2024,12,24)</f>
        <v>45650</v>
      </c>
      <c r="F2630" s="7" t="n">
        <f aca="false">C2630*D2630</f>
        <v>310</v>
      </c>
      <c r="G2630" s="7" t="n">
        <f aca="false">ROUND(F2630*0.2,2)</f>
        <v>62</v>
      </c>
      <c r="H2630" s="4" t="str">
        <f aca="false">IF(F2630&gt;500,"Yüksek",IF(F2630&gt;100,"Orta","Düşük"))</f>
        <v>Orta</v>
      </c>
    </row>
    <row r="2631" customFormat="false" ht="12.8" hidden="false" customHeight="false" outlineLevel="0" collapsed="false">
      <c r="A2631" s="4" t="s">
        <v>23</v>
      </c>
      <c r="B2631" s="4" t="s">
        <v>17</v>
      </c>
      <c r="C2631" s="4" t="n">
        <v>47</v>
      </c>
      <c r="D2631" s="5" t="n">
        <v>10.5</v>
      </c>
      <c r="E2631" s="6" t="n">
        <f aca="false">DATE(2024,1,25)</f>
        <v>45316</v>
      </c>
      <c r="F2631" s="7" t="n">
        <f aca="false">C2631*D2631</f>
        <v>493.5</v>
      </c>
      <c r="G2631" s="7" t="n">
        <f aca="false">ROUND(F2631*0.2,2)</f>
        <v>98.7</v>
      </c>
      <c r="H2631" s="4" t="str">
        <f aca="false">IF(F2631&gt;500,"Yüksek",IF(F2631&gt;100,"Orta","Düşük"))</f>
        <v>Orta</v>
      </c>
    </row>
    <row r="2632" customFormat="false" ht="12.8" hidden="false" customHeight="false" outlineLevel="0" collapsed="false">
      <c r="A2632" s="4" t="s">
        <v>24</v>
      </c>
      <c r="B2632" s="4" t="s">
        <v>19</v>
      </c>
      <c r="C2632" s="4" t="n">
        <v>4</v>
      </c>
      <c r="D2632" s="5" t="n">
        <v>13.25</v>
      </c>
      <c r="E2632" s="6" t="n">
        <f aca="false">DATE(2024,2,26)</f>
        <v>45348</v>
      </c>
      <c r="F2632" s="7" t="n">
        <f aca="false">C2632*D2632</f>
        <v>53</v>
      </c>
      <c r="G2632" s="7" t="n">
        <f aca="false">ROUND(F2632*0.2,2)</f>
        <v>10.6</v>
      </c>
      <c r="H2632" s="4" t="str">
        <f aca="false">IF(F2632&gt;500,"Yüksek",IF(F2632&gt;100,"Orta","Düşük"))</f>
        <v>Düşük</v>
      </c>
    </row>
    <row r="2633" customFormat="false" ht="12.8" hidden="false" customHeight="false" outlineLevel="0" collapsed="false">
      <c r="A2633" s="4" t="s">
        <v>10</v>
      </c>
      <c r="B2633" s="4" t="s">
        <v>11</v>
      </c>
      <c r="C2633" s="4" t="n">
        <v>11</v>
      </c>
      <c r="D2633" s="5" t="n">
        <v>16</v>
      </c>
      <c r="E2633" s="6" t="n">
        <f aca="false">DATE(2024,3,27)</f>
        <v>45378</v>
      </c>
      <c r="F2633" s="7" t="n">
        <f aca="false">C2633*D2633</f>
        <v>176</v>
      </c>
      <c r="G2633" s="7" t="n">
        <f aca="false">ROUND(F2633*0.2,2)</f>
        <v>35.2</v>
      </c>
      <c r="H2633" s="4" t="str">
        <f aca="false">IF(F2633&gt;500,"Yüksek",IF(F2633&gt;100,"Orta","Düşük"))</f>
        <v>Orta</v>
      </c>
    </row>
    <row r="2634" customFormat="false" ht="12.8" hidden="false" customHeight="false" outlineLevel="0" collapsed="false">
      <c r="A2634" s="4" t="s">
        <v>12</v>
      </c>
      <c r="B2634" s="4" t="s">
        <v>13</v>
      </c>
      <c r="C2634" s="4" t="n">
        <v>18</v>
      </c>
      <c r="D2634" s="5" t="n">
        <v>18.75</v>
      </c>
      <c r="E2634" s="6" t="n">
        <f aca="false">DATE(2024,4,28)</f>
        <v>45410</v>
      </c>
      <c r="F2634" s="7" t="n">
        <f aca="false">C2634*D2634</f>
        <v>337.5</v>
      </c>
      <c r="G2634" s="7" t="n">
        <f aca="false">ROUND(F2634*0.2,2)</f>
        <v>67.5</v>
      </c>
      <c r="H2634" s="4" t="str">
        <f aca="false">IF(F2634&gt;500,"Yüksek",IF(F2634&gt;100,"Orta","Düşük"))</f>
        <v>Orta</v>
      </c>
    </row>
    <row r="2635" customFormat="false" ht="12.8" hidden="false" customHeight="false" outlineLevel="0" collapsed="false">
      <c r="A2635" s="4" t="s">
        <v>14</v>
      </c>
      <c r="B2635" s="4" t="s">
        <v>15</v>
      </c>
      <c r="C2635" s="4" t="n">
        <v>25</v>
      </c>
      <c r="D2635" s="5" t="n">
        <v>21.5</v>
      </c>
      <c r="E2635" s="6" t="n">
        <f aca="false">DATE(2024,5,1)</f>
        <v>45413</v>
      </c>
      <c r="F2635" s="7" t="n">
        <f aca="false">C2635*D2635</f>
        <v>537.5</v>
      </c>
      <c r="G2635" s="7" t="n">
        <f aca="false">ROUND(F2635*0.2,2)</f>
        <v>107.5</v>
      </c>
      <c r="H2635" s="4" t="str">
        <f aca="false">IF(F2635&gt;500,"Yüksek",IF(F2635&gt;100,"Orta","Düşük"))</f>
        <v>Yüksek</v>
      </c>
    </row>
    <row r="2636" customFormat="false" ht="12.8" hidden="false" customHeight="false" outlineLevel="0" collapsed="false">
      <c r="A2636" s="4" t="s">
        <v>16</v>
      </c>
      <c r="B2636" s="4" t="s">
        <v>17</v>
      </c>
      <c r="C2636" s="4" t="n">
        <v>32</v>
      </c>
      <c r="D2636" s="5" t="n">
        <v>24.25</v>
      </c>
      <c r="E2636" s="6" t="n">
        <f aca="false">DATE(2024,6,2)</f>
        <v>45445</v>
      </c>
      <c r="F2636" s="7" t="n">
        <f aca="false">C2636*D2636</f>
        <v>776</v>
      </c>
      <c r="G2636" s="7" t="n">
        <f aca="false">ROUND(F2636*0.2,2)</f>
        <v>155.2</v>
      </c>
      <c r="H2636" s="4" t="str">
        <f aca="false">IF(F2636&gt;500,"Yüksek",IF(F2636&gt;100,"Orta","Düşük"))</f>
        <v>Yüksek</v>
      </c>
    </row>
    <row r="2637" customFormat="false" ht="12.8" hidden="false" customHeight="false" outlineLevel="0" collapsed="false">
      <c r="A2637" s="4" t="s">
        <v>18</v>
      </c>
      <c r="B2637" s="4" t="s">
        <v>19</v>
      </c>
      <c r="C2637" s="4" t="n">
        <v>39</v>
      </c>
      <c r="D2637" s="5" t="n">
        <v>27</v>
      </c>
      <c r="E2637" s="6" t="n">
        <f aca="false">DATE(2024,7,3)</f>
        <v>45476</v>
      </c>
      <c r="F2637" s="7" t="n">
        <f aca="false">C2637*D2637</f>
        <v>1053</v>
      </c>
      <c r="G2637" s="7" t="n">
        <f aca="false">ROUND(F2637*0.2,2)</f>
        <v>210.6</v>
      </c>
      <c r="H2637" s="4" t="str">
        <f aca="false">IF(F2637&gt;500,"Yüksek",IF(F2637&gt;100,"Orta","Düşük"))</f>
        <v>Yüksek</v>
      </c>
    </row>
    <row r="2638" customFormat="false" ht="12.8" hidden="false" customHeight="false" outlineLevel="0" collapsed="false">
      <c r="A2638" s="4" t="s">
        <v>20</v>
      </c>
      <c r="B2638" s="4" t="s">
        <v>11</v>
      </c>
      <c r="C2638" s="4" t="n">
        <v>46</v>
      </c>
      <c r="D2638" s="5" t="n">
        <v>29.75</v>
      </c>
      <c r="E2638" s="6" t="n">
        <f aca="false">DATE(2024,8,4)</f>
        <v>45508</v>
      </c>
      <c r="F2638" s="7" t="n">
        <f aca="false">C2638*D2638</f>
        <v>1368.5</v>
      </c>
      <c r="G2638" s="7" t="n">
        <f aca="false">ROUND(F2638*0.2,2)</f>
        <v>273.7</v>
      </c>
      <c r="H2638" s="4" t="str">
        <f aca="false">IF(F2638&gt;500,"Yüksek",IF(F2638&gt;100,"Orta","Düşük"))</f>
        <v>Yüksek</v>
      </c>
    </row>
    <row r="2639" customFormat="false" ht="12.8" hidden="false" customHeight="false" outlineLevel="0" collapsed="false">
      <c r="A2639" s="4" t="s">
        <v>21</v>
      </c>
      <c r="B2639" s="4" t="s">
        <v>13</v>
      </c>
      <c r="C2639" s="4" t="n">
        <v>3</v>
      </c>
      <c r="D2639" s="5" t="n">
        <v>32.5</v>
      </c>
      <c r="E2639" s="6" t="n">
        <f aca="false">DATE(2024,9,5)</f>
        <v>45540</v>
      </c>
      <c r="F2639" s="7" t="n">
        <f aca="false">C2639*D2639</f>
        <v>97.5</v>
      </c>
      <c r="G2639" s="7" t="n">
        <f aca="false">ROUND(F2639*0.2,2)</f>
        <v>19.5</v>
      </c>
      <c r="H2639" s="4" t="str">
        <f aca="false">IF(F2639&gt;500,"Yüksek",IF(F2639&gt;100,"Orta","Düşük"))</f>
        <v>Düşük</v>
      </c>
    </row>
    <row r="2640" customFormat="false" ht="12.8" hidden="false" customHeight="false" outlineLevel="0" collapsed="false">
      <c r="A2640" s="4" t="s">
        <v>22</v>
      </c>
      <c r="B2640" s="4" t="s">
        <v>15</v>
      </c>
      <c r="C2640" s="4" t="n">
        <v>10</v>
      </c>
      <c r="D2640" s="5" t="n">
        <v>35.25</v>
      </c>
      <c r="E2640" s="6" t="n">
        <f aca="false">DATE(2024,10,6)</f>
        <v>45571</v>
      </c>
      <c r="F2640" s="7" t="n">
        <f aca="false">C2640*D2640</f>
        <v>352.5</v>
      </c>
      <c r="G2640" s="7" t="n">
        <f aca="false">ROUND(F2640*0.2,2)</f>
        <v>70.5</v>
      </c>
      <c r="H2640" s="4" t="str">
        <f aca="false">IF(F2640&gt;500,"Yüksek",IF(F2640&gt;100,"Orta","Düşük"))</f>
        <v>Orta</v>
      </c>
    </row>
    <row r="2641" customFormat="false" ht="12.8" hidden="false" customHeight="false" outlineLevel="0" collapsed="false">
      <c r="A2641" s="4" t="s">
        <v>23</v>
      </c>
      <c r="B2641" s="4" t="s">
        <v>17</v>
      </c>
      <c r="C2641" s="4" t="n">
        <v>17</v>
      </c>
      <c r="D2641" s="5" t="n">
        <v>38</v>
      </c>
      <c r="E2641" s="6" t="n">
        <f aca="false">DATE(2024,11,7)</f>
        <v>45603</v>
      </c>
      <c r="F2641" s="7" t="n">
        <f aca="false">C2641*D2641</f>
        <v>646</v>
      </c>
      <c r="G2641" s="7" t="n">
        <f aca="false">ROUND(F2641*0.2,2)</f>
        <v>129.2</v>
      </c>
      <c r="H2641" s="4" t="str">
        <f aca="false">IF(F2641&gt;500,"Yüksek",IF(F2641&gt;100,"Orta","Düşük"))</f>
        <v>Yüksek</v>
      </c>
    </row>
    <row r="2642" customFormat="false" ht="12.8" hidden="false" customHeight="false" outlineLevel="0" collapsed="false">
      <c r="A2642" s="4" t="s">
        <v>24</v>
      </c>
      <c r="B2642" s="4" t="s">
        <v>19</v>
      </c>
      <c r="C2642" s="4" t="n">
        <v>24</v>
      </c>
      <c r="D2642" s="5" t="n">
        <v>5</v>
      </c>
      <c r="E2642" s="6" t="n">
        <f aca="false">DATE(2024,12,8)</f>
        <v>45634</v>
      </c>
      <c r="F2642" s="7" t="n">
        <f aca="false">C2642*D2642</f>
        <v>120</v>
      </c>
      <c r="G2642" s="7" t="n">
        <f aca="false">ROUND(F2642*0.2,2)</f>
        <v>24</v>
      </c>
      <c r="H2642" s="4" t="str">
        <f aca="false">IF(F2642&gt;500,"Yüksek",IF(F2642&gt;100,"Orta","Düşük"))</f>
        <v>Orta</v>
      </c>
    </row>
    <row r="2643" customFormat="false" ht="12.8" hidden="false" customHeight="false" outlineLevel="0" collapsed="false">
      <c r="A2643" s="4" t="s">
        <v>10</v>
      </c>
      <c r="B2643" s="4" t="s">
        <v>11</v>
      </c>
      <c r="C2643" s="4" t="n">
        <v>31</v>
      </c>
      <c r="D2643" s="5" t="n">
        <v>7.75</v>
      </c>
      <c r="E2643" s="6" t="n">
        <f aca="false">DATE(2024,1,9)</f>
        <v>45300</v>
      </c>
      <c r="F2643" s="7" t="n">
        <f aca="false">C2643*D2643</f>
        <v>240.25</v>
      </c>
      <c r="G2643" s="7" t="n">
        <f aca="false">ROUND(F2643*0.2,2)</f>
        <v>48.05</v>
      </c>
      <c r="H2643" s="4" t="str">
        <f aca="false">IF(F2643&gt;500,"Yüksek",IF(F2643&gt;100,"Orta","Düşük"))</f>
        <v>Orta</v>
      </c>
    </row>
    <row r="2644" customFormat="false" ht="12.8" hidden="false" customHeight="false" outlineLevel="0" collapsed="false">
      <c r="A2644" s="4" t="s">
        <v>12</v>
      </c>
      <c r="B2644" s="4" t="s">
        <v>13</v>
      </c>
      <c r="C2644" s="4" t="n">
        <v>38</v>
      </c>
      <c r="D2644" s="5" t="n">
        <v>10.5</v>
      </c>
      <c r="E2644" s="6" t="n">
        <f aca="false">DATE(2024,2,10)</f>
        <v>45332</v>
      </c>
      <c r="F2644" s="7" t="n">
        <f aca="false">C2644*D2644</f>
        <v>399</v>
      </c>
      <c r="G2644" s="7" t="n">
        <f aca="false">ROUND(F2644*0.2,2)</f>
        <v>79.8</v>
      </c>
      <c r="H2644" s="4" t="str">
        <f aca="false">IF(F2644&gt;500,"Yüksek",IF(F2644&gt;100,"Orta","Düşük"))</f>
        <v>Orta</v>
      </c>
    </row>
    <row r="2645" customFormat="false" ht="12.8" hidden="false" customHeight="false" outlineLevel="0" collapsed="false">
      <c r="A2645" s="4" t="s">
        <v>14</v>
      </c>
      <c r="B2645" s="4" t="s">
        <v>15</v>
      </c>
      <c r="C2645" s="4" t="n">
        <v>45</v>
      </c>
      <c r="D2645" s="5" t="n">
        <v>13.25</v>
      </c>
      <c r="E2645" s="6" t="n">
        <f aca="false">DATE(2024,3,11)</f>
        <v>45362</v>
      </c>
      <c r="F2645" s="7" t="n">
        <f aca="false">C2645*D2645</f>
        <v>596.25</v>
      </c>
      <c r="G2645" s="7" t="n">
        <f aca="false">ROUND(F2645*0.2,2)</f>
        <v>119.25</v>
      </c>
      <c r="H2645" s="4" t="str">
        <f aca="false">IF(F2645&gt;500,"Yüksek",IF(F2645&gt;100,"Orta","Düşük"))</f>
        <v>Yüksek</v>
      </c>
    </row>
    <row r="2646" customFormat="false" ht="12.8" hidden="false" customHeight="false" outlineLevel="0" collapsed="false">
      <c r="A2646" s="4" t="s">
        <v>16</v>
      </c>
      <c r="B2646" s="4" t="s">
        <v>17</v>
      </c>
      <c r="C2646" s="4" t="n">
        <v>2</v>
      </c>
      <c r="D2646" s="5" t="n">
        <v>16</v>
      </c>
      <c r="E2646" s="6" t="n">
        <f aca="false">DATE(2024,4,12)</f>
        <v>45394</v>
      </c>
      <c r="F2646" s="7" t="n">
        <f aca="false">C2646*D2646</f>
        <v>32</v>
      </c>
      <c r="G2646" s="7" t="n">
        <f aca="false">ROUND(F2646*0.2,2)</f>
        <v>6.4</v>
      </c>
      <c r="H2646" s="4" t="str">
        <f aca="false">IF(F2646&gt;500,"Yüksek",IF(F2646&gt;100,"Orta","Düşük"))</f>
        <v>Düşük</v>
      </c>
    </row>
    <row r="2647" customFormat="false" ht="12.8" hidden="false" customHeight="false" outlineLevel="0" collapsed="false">
      <c r="A2647" s="4" t="s">
        <v>18</v>
      </c>
      <c r="B2647" s="4" t="s">
        <v>19</v>
      </c>
      <c r="C2647" s="4" t="n">
        <v>9</v>
      </c>
      <c r="D2647" s="5" t="n">
        <v>18.75</v>
      </c>
      <c r="E2647" s="6" t="n">
        <f aca="false">DATE(2024,5,13)</f>
        <v>45425</v>
      </c>
      <c r="F2647" s="7" t="n">
        <f aca="false">C2647*D2647</f>
        <v>168.75</v>
      </c>
      <c r="G2647" s="7" t="n">
        <f aca="false">ROUND(F2647*0.2,2)</f>
        <v>33.75</v>
      </c>
      <c r="H2647" s="4" t="str">
        <f aca="false">IF(F2647&gt;500,"Yüksek",IF(F2647&gt;100,"Orta","Düşük"))</f>
        <v>Orta</v>
      </c>
    </row>
    <row r="2648" customFormat="false" ht="12.8" hidden="false" customHeight="false" outlineLevel="0" collapsed="false">
      <c r="A2648" s="4" t="s">
        <v>20</v>
      </c>
      <c r="B2648" s="4" t="s">
        <v>11</v>
      </c>
      <c r="C2648" s="4" t="n">
        <v>16</v>
      </c>
      <c r="D2648" s="5" t="n">
        <v>21.5</v>
      </c>
      <c r="E2648" s="6" t="n">
        <f aca="false">DATE(2024,6,14)</f>
        <v>45457</v>
      </c>
      <c r="F2648" s="7" t="n">
        <f aca="false">C2648*D2648</f>
        <v>344</v>
      </c>
      <c r="G2648" s="7" t="n">
        <f aca="false">ROUND(F2648*0.2,2)</f>
        <v>68.8</v>
      </c>
      <c r="H2648" s="4" t="str">
        <f aca="false">IF(F2648&gt;500,"Yüksek",IF(F2648&gt;100,"Orta","Düşük"))</f>
        <v>Orta</v>
      </c>
    </row>
    <row r="2649" customFormat="false" ht="12.8" hidden="false" customHeight="false" outlineLevel="0" collapsed="false">
      <c r="A2649" s="4" t="s">
        <v>21</v>
      </c>
      <c r="B2649" s="4" t="s">
        <v>13</v>
      </c>
      <c r="C2649" s="4" t="n">
        <v>23</v>
      </c>
      <c r="D2649" s="5" t="n">
        <v>24.25</v>
      </c>
      <c r="E2649" s="6" t="n">
        <f aca="false">DATE(2024,7,15)</f>
        <v>45488</v>
      </c>
      <c r="F2649" s="7" t="n">
        <f aca="false">C2649*D2649</f>
        <v>557.75</v>
      </c>
      <c r="G2649" s="7" t="n">
        <f aca="false">ROUND(F2649*0.2,2)</f>
        <v>111.55</v>
      </c>
      <c r="H2649" s="4" t="str">
        <f aca="false">IF(F2649&gt;500,"Yüksek",IF(F2649&gt;100,"Orta","Düşük"))</f>
        <v>Yüksek</v>
      </c>
    </row>
    <row r="2650" customFormat="false" ht="12.8" hidden="false" customHeight="false" outlineLevel="0" collapsed="false">
      <c r="A2650" s="4" t="s">
        <v>22</v>
      </c>
      <c r="B2650" s="4" t="s">
        <v>15</v>
      </c>
      <c r="C2650" s="4" t="n">
        <v>30</v>
      </c>
      <c r="D2650" s="5" t="n">
        <v>27</v>
      </c>
      <c r="E2650" s="6" t="n">
        <f aca="false">DATE(2024,8,16)</f>
        <v>45520</v>
      </c>
      <c r="F2650" s="7" t="n">
        <f aca="false">C2650*D2650</f>
        <v>810</v>
      </c>
      <c r="G2650" s="7" t="n">
        <f aca="false">ROUND(F2650*0.2,2)</f>
        <v>162</v>
      </c>
      <c r="H2650" s="4" t="str">
        <f aca="false">IF(F2650&gt;500,"Yüksek",IF(F2650&gt;100,"Orta","Düşük"))</f>
        <v>Yüksek</v>
      </c>
    </row>
    <row r="2651" customFormat="false" ht="12.8" hidden="false" customHeight="false" outlineLevel="0" collapsed="false">
      <c r="A2651" s="4" t="s">
        <v>23</v>
      </c>
      <c r="B2651" s="4" t="s">
        <v>17</v>
      </c>
      <c r="C2651" s="4" t="n">
        <v>37</v>
      </c>
      <c r="D2651" s="5" t="n">
        <v>29.75</v>
      </c>
      <c r="E2651" s="6" t="n">
        <f aca="false">DATE(2024,9,17)</f>
        <v>45552</v>
      </c>
      <c r="F2651" s="7" t="n">
        <f aca="false">C2651*D2651</f>
        <v>1100.75</v>
      </c>
      <c r="G2651" s="7" t="n">
        <f aca="false">ROUND(F2651*0.2,2)</f>
        <v>220.15</v>
      </c>
      <c r="H2651" s="4" t="str">
        <f aca="false">IF(F2651&gt;500,"Yüksek",IF(F2651&gt;100,"Orta","Düşük"))</f>
        <v>Yüksek</v>
      </c>
    </row>
    <row r="2652" customFormat="false" ht="12.8" hidden="false" customHeight="false" outlineLevel="0" collapsed="false">
      <c r="A2652" s="4" t="s">
        <v>24</v>
      </c>
      <c r="B2652" s="4" t="s">
        <v>19</v>
      </c>
      <c r="C2652" s="4" t="n">
        <v>44</v>
      </c>
      <c r="D2652" s="5" t="n">
        <v>32.5</v>
      </c>
      <c r="E2652" s="6" t="n">
        <f aca="false">DATE(2024,10,18)</f>
        <v>45583</v>
      </c>
      <c r="F2652" s="7" t="n">
        <f aca="false">C2652*D2652</f>
        <v>1430</v>
      </c>
      <c r="G2652" s="7" t="n">
        <f aca="false">ROUND(F2652*0.2,2)</f>
        <v>286</v>
      </c>
      <c r="H2652" s="4" t="str">
        <f aca="false">IF(F2652&gt;500,"Yüksek",IF(F2652&gt;100,"Orta","Düşük"))</f>
        <v>Yüksek</v>
      </c>
    </row>
    <row r="2653" customFormat="false" ht="12.8" hidden="false" customHeight="false" outlineLevel="0" collapsed="false">
      <c r="A2653" s="4" t="s">
        <v>10</v>
      </c>
      <c r="B2653" s="4" t="s">
        <v>11</v>
      </c>
      <c r="C2653" s="4" t="n">
        <v>1</v>
      </c>
      <c r="D2653" s="5" t="n">
        <v>35.25</v>
      </c>
      <c r="E2653" s="6" t="n">
        <f aca="false">DATE(2024,11,19)</f>
        <v>45615</v>
      </c>
      <c r="F2653" s="7" t="n">
        <f aca="false">C2653*D2653</f>
        <v>35.25</v>
      </c>
      <c r="G2653" s="7" t="n">
        <f aca="false">ROUND(F2653*0.2,2)</f>
        <v>7.05</v>
      </c>
      <c r="H2653" s="4" t="str">
        <f aca="false">IF(F2653&gt;500,"Yüksek",IF(F2653&gt;100,"Orta","Düşük"))</f>
        <v>Düşük</v>
      </c>
    </row>
    <row r="2654" customFormat="false" ht="12.8" hidden="false" customHeight="false" outlineLevel="0" collapsed="false">
      <c r="A2654" s="4" t="s">
        <v>12</v>
      </c>
      <c r="B2654" s="4" t="s">
        <v>13</v>
      </c>
      <c r="C2654" s="4" t="n">
        <v>8</v>
      </c>
      <c r="D2654" s="5" t="n">
        <v>38</v>
      </c>
      <c r="E2654" s="6" t="n">
        <f aca="false">DATE(2024,12,20)</f>
        <v>45646</v>
      </c>
      <c r="F2654" s="7" t="n">
        <f aca="false">C2654*D2654</f>
        <v>304</v>
      </c>
      <c r="G2654" s="7" t="n">
        <f aca="false">ROUND(F2654*0.2,2)</f>
        <v>60.8</v>
      </c>
      <c r="H2654" s="4" t="str">
        <f aca="false">IF(F2654&gt;500,"Yüksek",IF(F2654&gt;100,"Orta","Düşük"))</f>
        <v>Orta</v>
      </c>
    </row>
    <row r="2655" customFormat="false" ht="12.8" hidden="false" customHeight="false" outlineLevel="0" collapsed="false">
      <c r="A2655" s="4" t="s">
        <v>14</v>
      </c>
      <c r="B2655" s="4" t="s">
        <v>15</v>
      </c>
      <c r="C2655" s="4" t="n">
        <v>15</v>
      </c>
      <c r="D2655" s="5" t="n">
        <v>5</v>
      </c>
      <c r="E2655" s="6" t="n">
        <f aca="false">DATE(2024,1,21)</f>
        <v>45312</v>
      </c>
      <c r="F2655" s="7" t="n">
        <f aca="false">C2655*D2655</f>
        <v>75</v>
      </c>
      <c r="G2655" s="7" t="n">
        <f aca="false">ROUND(F2655*0.2,2)</f>
        <v>15</v>
      </c>
      <c r="H2655" s="4" t="str">
        <f aca="false">IF(F2655&gt;500,"Yüksek",IF(F2655&gt;100,"Orta","Düşük"))</f>
        <v>Düşük</v>
      </c>
    </row>
    <row r="2656" customFormat="false" ht="12.8" hidden="false" customHeight="false" outlineLevel="0" collapsed="false">
      <c r="A2656" s="4" t="s">
        <v>16</v>
      </c>
      <c r="B2656" s="4" t="s">
        <v>17</v>
      </c>
      <c r="C2656" s="4" t="n">
        <v>22</v>
      </c>
      <c r="D2656" s="5" t="n">
        <v>7.75</v>
      </c>
      <c r="E2656" s="6" t="n">
        <f aca="false">DATE(2024,2,22)</f>
        <v>45344</v>
      </c>
      <c r="F2656" s="7" t="n">
        <f aca="false">C2656*D2656</f>
        <v>170.5</v>
      </c>
      <c r="G2656" s="7" t="n">
        <f aca="false">ROUND(F2656*0.2,2)</f>
        <v>34.1</v>
      </c>
      <c r="H2656" s="4" t="str">
        <f aca="false">IF(F2656&gt;500,"Yüksek",IF(F2656&gt;100,"Orta","Düşük"))</f>
        <v>Orta</v>
      </c>
    </row>
    <row r="2657" customFormat="false" ht="12.8" hidden="false" customHeight="false" outlineLevel="0" collapsed="false">
      <c r="A2657" s="4" t="s">
        <v>18</v>
      </c>
      <c r="B2657" s="4" t="s">
        <v>19</v>
      </c>
      <c r="C2657" s="4" t="n">
        <v>29</v>
      </c>
      <c r="D2657" s="5" t="n">
        <v>10.5</v>
      </c>
      <c r="E2657" s="6" t="n">
        <f aca="false">DATE(2024,3,23)</f>
        <v>45374</v>
      </c>
      <c r="F2657" s="7" t="n">
        <f aca="false">C2657*D2657</f>
        <v>304.5</v>
      </c>
      <c r="G2657" s="7" t="n">
        <f aca="false">ROUND(F2657*0.2,2)</f>
        <v>60.9</v>
      </c>
      <c r="H2657" s="4" t="str">
        <f aca="false">IF(F2657&gt;500,"Yüksek",IF(F2657&gt;100,"Orta","Düşük"))</f>
        <v>Orta</v>
      </c>
    </row>
    <row r="2658" customFormat="false" ht="12.8" hidden="false" customHeight="false" outlineLevel="0" collapsed="false">
      <c r="A2658" s="4" t="s">
        <v>20</v>
      </c>
      <c r="B2658" s="4" t="s">
        <v>11</v>
      </c>
      <c r="C2658" s="4" t="n">
        <v>36</v>
      </c>
      <c r="D2658" s="5" t="n">
        <v>13.25</v>
      </c>
      <c r="E2658" s="6" t="n">
        <f aca="false">DATE(2024,4,24)</f>
        <v>45406</v>
      </c>
      <c r="F2658" s="7" t="n">
        <f aca="false">C2658*D2658</f>
        <v>477</v>
      </c>
      <c r="G2658" s="7" t="n">
        <f aca="false">ROUND(F2658*0.2,2)</f>
        <v>95.4</v>
      </c>
      <c r="H2658" s="4" t="str">
        <f aca="false">IF(F2658&gt;500,"Yüksek",IF(F2658&gt;100,"Orta","Düşük"))</f>
        <v>Orta</v>
      </c>
    </row>
    <row r="2659" customFormat="false" ht="12.8" hidden="false" customHeight="false" outlineLevel="0" collapsed="false">
      <c r="A2659" s="4" t="s">
        <v>21</v>
      </c>
      <c r="B2659" s="4" t="s">
        <v>13</v>
      </c>
      <c r="C2659" s="4" t="n">
        <v>43</v>
      </c>
      <c r="D2659" s="5" t="n">
        <v>16</v>
      </c>
      <c r="E2659" s="6" t="n">
        <f aca="false">DATE(2024,5,25)</f>
        <v>45437</v>
      </c>
      <c r="F2659" s="7" t="n">
        <f aca="false">C2659*D2659</f>
        <v>688</v>
      </c>
      <c r="G2659" s="7" t="n">
        <f aca="false">ROUND(F2659*0.2,2)</f>
        <v>137.6</v>
      </c>
      <c r="H2659" s="4" t="str">
        <f aca="false">IF(F2659&gt;500,"Yüksek",IF(F2659&gt;100,"Orta","Düşük"))</f>
        <v>Yüksek</v>
      </c>
    </row>
    <row r="2660" customFormat="false" ht="12.8" hidden="false" customHeight="false" outlineLevel="0" collapsed="false">
      <c r="A2660" s="4" t="s">
        <v>22</v>
      </c>
      <c r="B2660" s="4" t="s">
        <v>15</v>
      </c>
      <c r="C2660" s="4" t="n">
        <v>50</v>
      </c>
      <c r="D2660" s="5" t="n">
        <v>18.75</v>
      </c>
      <c r="E2660" s="6" t="n">
        <f aca="false">DATE(2024,6,26)</f>
        <v>45469</v>
      </c>
      <c r="F2660" s="7" t="n">
        <f aca="false">C2660*D2660</f>
        <v>937.5</v>
      </c>
      <c r="G2660" s="7" t="n">
        <f aca="false">ROUND(F2660*0.2,2)</f>
        <v>187.5</v>
      </c>
      <c r="H2660" s="4" t="str">
        <f aca="false">IF(F2660&gt;500,"Yüksek",IF(F2660&gt;100,"Orta","Düşük"))</f>
        <v>Yüksek</v>
      </c>
    </row>
    <row r="2661" customFormat="false" ht="12.8" hidden="false" customHeight="false" outlineLevel="0" collapsed="false">
      <c r="A2661" s="4" t="s">
        <v>23</v>
      </c>
      <c r="B2661" s="4" t="s">
        <v>17</v>
      </c>
      <c r="C2661" s="4" t="n">
        <v>7</v>
      </c>
      <c r="D2661" s="5" t="n">
        <v>21.5</v>
      </c>
      <c r="E2661" s="6" t="n">
        <f aca="false">DATE(2024,7,27)</f>
        <v>45500</v>
      </c>
      <c r="F2661" s="7" t="n">
        <f aca="false">C2661*D2661</f>
        <v>150.5</v>
      </c>
      <c r="G2661" s="7" t="n">
        <f aca="false">ROUND(F2661*0.2,2)</f>
        <v>30.1</v>
      </c>
      <c r="H2661" s="4" t="str">
        <f aca="false">IF(F2661&gt;500,"Yüksek",IF(F2661&gt;100,"Orta","Düşük"))</f>
        <v>Orta</v>
      </c>
    </row>
    <row r="2662" customFormat="false" ht="12.8" hidden="false" customHeight="false" outlineLevel="0" collapsed="false">
      <c r="A2662" s="4" t="s">
        <v>24</v>
      </c>
      <c r="B2662" s="4" t="s">
        <v>19</v>
      </c>
      <c r="C2662" s="4" t="n">
        <v>14</v>
      </c>
      <c r="D2662" s="5" t="n">
        <v>24.25</v>
      </c>
      <c r="E2662" s="6" t="n">
        <f aca="false">DATE(2024,8,28)</f>
        <v>45532</v>
      </c>
      <c r="F2662" s="7" t="n">
        <f aca="false">C2662*D2662</f>
        <v>339.5</v>
      </c>
      <c r="G2662" s="7" t="n">
        <f aca="false">ROUND(F2662*0.2,2)</f>
        <v>67.9</v>
      </c>
      <c r="H2662" s="4" t="str">
        <f aca="false">IF(F2662&gt;500,"Yüksek",IF(F2662&gt;100,"Orta","Düşük"))</f>
        <v>Orta</v>
      </c>
    </row>
    <row r="2663" customFormat="false" ht="12.8" hidden="false" customHeight="false" outlineLevel="0" collapsed="false">
      <c r="A2663" s="4" t="s">
        <v>10</v>
      </c>
      <c r="B2663" s="4" t="s">
        <v>11</v>
      </c>
      <c r="C2663" s="4" t="n">
        <v>21</v>
      </c>
      <c r="D2663" s="5" t="n">
        <v>27</v>
      </c>
      <c r="E2663" s="6" t="n">
        <f aca="false">DATE(2024,9,1)</f>
        <v>45536</v>
      </c>
      <c r="F2663" s="7" t="n">
        <f aca="false">C2663*D2663</f>
        <v>567</v>
      </c>
      <c r="G2663" s="7" t="n">
        <f aca="false">ROUND(F2663*0.2,2)</f>
        <v>113.4</v>
      </c>
      <c r="H2663" s="4" t="str">
        <f aca="false">IF(F2663&gt;500,"Yüksek",IF(F2663&gt;100,"Orta","Düşük"))</f>
        <v>Yüksek</v>
      </c>
    </row>
    <row r="2664" customFormat="false" ht="12.8" hidden="false" customHeight="false" outlineLevel="0" collapsed="false">
      <c r="A2664" s="4" t="s">
        <v>12</v>
      </c>
      <c r="B2664" s="4" t="s">
        <v>13</v>
      </c>
      <c r="C2664" s="4" t="n">
        <v>28</v>
      </c>
      <c r="D2664" s="5" t="n">
        <v>29.75</v>
      </c>
      <c r="E2664" s="6" t="n">
        <f aca="false">DATE(2024,10,2)</f>
        <v>45567</v>
      </c>
      <c r="F2664" s="7" t="n">
        <f aca="false">C2664*D2664</f>
        <v>833</v>
      </c>
      <c r="G2664" s="7" t="n">
        <f aca="false">ROUND(F2664*0.2,2)</f>
        <v>166.6</v>
      </c>
      <c r="H2664" s="4" t="str">
        <f aca="false">IF(F2664&gt;500,"Yüksek",IF(F2664&gt;100,"Orta","Düşük"))</f>
        <v>Yüksek</v>
      </c>
    </row>
    <row r="2665" customFormat="false" ht="12.8" hidden="false" customHeight="false" outlineLevel="0" collapsed="false">
      <c r="A2665" s="4" t="s">
        <v>14</v>
      </c>
      <c r="B2665" s="4" t="s">
        <v>15</v>
      </c>
      <c r="C2665" s="4" t="n">
        <v>35</v>
      </c>
      <c r="D2665" s="5" t="n">
        <v>32.5</v>
      </c>
      <c r="E2665" s="6" t="n">
        <f aca="false">DATE(2024,11,3)</f>
        <v>45599</v>
      </c>
      <c r="F2665" s="7" t="n">
        <f aca="false">C2665*D2665</f>
        <v>1137.5</v>
      </c>
      <c r="G2665" s="7" t="n">
        <f aca="false">ROUND(F2665*0.2,2)</f>
        <v>227.5</v>
      </c>
      <c r="H2665" s="4" t="str">
        <f aca="false">IF(F2665&gt;500,"Yüksek",IF(F2665&gt;100,"Orta","Düşük"))</f>
        <v>Yüksek</v>
      </c>
    </row>
    <row r="2666" customFormat="false" ht="12.8" hidden="false" customHeight="false" outlineLevel="0" collapsed="false">
      <c r="A2666" s="4" t="s">
        <v>16</v>
      </c>
      <c r="B2666" s="4" t="s">
        <v>17</v>
      </c>
      <c r="C2666" s="4" t="n">
        <v>42</v>
      </c>
      <c r="D2666" s="5" t="n">
        <v>35.25</v>
      </c>
      <c r="E2666" s="6" t="n">
        <f aca="false">DATE(2024,12,4)</f>
        <v>45630</v>
      </c>
      <c r="F2666" s="7" t="n">
        <f aca="false">C2666*D2666</f>
        <v>1480.5</v>
      </c>
      <c r="G2666" s="7" t="n">
        <f aca="false">ROUND(F2666*0.2,2)</f>
        <v>296.1</v>
      </c>
      <c r="H2666" s="4" t="str">
        <f aca="false">IF(F2666&gt;500,"Yüksek",IF(F2666&gt;100,"Orta","Düşük"))</f>
        <v>Yüksek</v>
      </c>
    </row>
    <row r="2667" customFormat="false" ht="12.8" hidden="false" customHeight="false" outlineLevel="0" collapsed="false">
      <c r="A2667" s="4" t="s">
        <v>18</v>
      </c>
      <c r="B2667" s="4" t="s">
        <v>19</v>
      </c>
      <c r="C2667" s="4" t="n">
        <v>49</v>
      </c>
      <c r="D2667" s="5" t="n">
        <v>38</v>
      </c>
      <c r="E2667" s="6" t="n">
        <f aca="false">DATE(2024,1,5)</f>
        <v>45296</v>
      </c>
      <c r="F2667" s="7" t="n">
        <f aca="false">C2667*D2667</f>
        <v>1862</v>
      </c>
      <c r="G2667" s="7" t="n">
        <f aca="false">ROUND(F2667*0.2,2)</f>
        <v>372.4</v>
      </c>
      <c r="H2667" s="4" t="str">
        <f aca="false">IF(F2667&gt;500,"Yüksek",IF(F2667&gt;100,"Orta","Düşük"))</f>
        <v>Yüksek</v>
      </c>
    </row>
    <row r="2668" customFormat="false" ht="12.8" hidden="false" customHeight="false" outlineLevel="0" collapsed="false">
      <c r="A2668" s="4" t="s">
        <v>20</v>
      </c>
      <c r="B2668" s="4" t="s">
        <v>11</v>
      </c>
      <c r="C2668" s="4" t="n">
        <v>6</v>
      </c>
      <c r="D2668" s="5" t="n">
        <v>5</v>
      </c>
      <c r="E2668" s="6" t="n">
        <f aca="false">DATE(2024,2,6)</f>
        <v>45328</v>
      </c>
      <c r="F2668" s="7" t="n">
        <f aca="false">C2668*D2668</f>
        <v>30</v>
      </c>
      <c r="G2668" s="7" t="n">
        <f aca="false">ROUND(F2668*0.2,2)</f>
        <v>6</v>
      </c>
      <c r="H2668" s="4" t="str">
        <f aca="false">IF(F2668&gt;500,"Yüksek",IF(F2668&gt;100,"Orta","Düşük"))</f>
        <v>Düşük</v>
      </c>
    </row>
    <row r="2669" customFormat="false" ht="12.8" hidden="false" customHeight="false" outlineLevel="0" collapsed="false">
      <c r="A2669" s="4" t="s">
        <v>21</v>
      </c>
      <c r="B2669" s="4" t="s">
        <v>13</v>
      </c>
      <c r="C2669" s="4" t="n">
        <v>13</v>
      </c>
      <c r="D2669" s="5" t="n">
        <v>7.75</v>
      </c>
      <c r="E2669" s="6" t="n">
        <f aca="false">DATE(2024,3,7)</f>
        <v>45358</v>
      </c>
      <c r="F2669" s="7" t="n">
        <f aca="false">C2669*D2669</f>
        <v>100.75</v>
      </c>
      <c r="G2669" s="7" t="n">
        <f aca="false">ROUND(F2669*0.2,2)</f>
        <v>20.15</v>
      </c>
      <c r="H2669" s="4" t="str">
        <f aca="false">IF(F2669&gt;500,"Yüksek",IF(F2669&gt;100,"Orta","Düşük"))</f>
        <v>Orta</v>
      </c>
    </row>
    <row r="2670" customFormat="false" ht="12.8" hidden="false" customHeight="false" outlineLevel="0" collapsed="false">
      <c r="A2670" s="4" t="s">
        <v>22</v>
      </c>
      <c r="B2670" s="4" t="s">
        <v>15</v>
      </c>
      <c r="C2670" s="4" t="n">
        <v>20</v>
      </c>
      <c r="D2670" s="5" t="n">
        <v>10.5</v>
      </c>
      <c r="E2670" s="6" t="n">
        <f aca="false">DATE(2024,4,8)</f>
        <v>45390</v>
      </c>
      <c r="F2670" s="7" t="n">
        <f aca="false">C2670*D2670</f>
        <v>210</v>
      </c>
      <c r="G2670" s="7" t="n">
        <f aca="false">ROUND(F2670*0.2,2)</f>
        <v>42</v>
      </c>
      <c r="H2670" s="4" t="str">
        <f aca="false">IF(F2670&gt;500,"Yüksek",IF(F2670&gt;100,"Orta","Düşük"))</f>
        <v>Orta</v>
      </c>
    </row>
    <row r="2671" customFormat="false" ht="12.8" hidden="false" customHeight="false" outlineLevel="0" collapsed="false">
      <c r="A2671" s="4" t="s">
        <v>23</v>
      </c>
      <c r="B2671" s="4" t="s">
        <v>17</v>
      </c>
      <c r="C2671" s="4" t="n">
        <v>27</v>
      </c>
      <c r="D2671" s="5" t="n">
        <v>13.25</v>
      </c>
      <c r="E2671" s="6" t="n">
        <f aca="false">DATE(2024,5,9)</f>
        <v>45421</v>
      </c>
      <c r="F2671" s="7" t="n">
        <f aca="false">C2671*D2671</f>
        <v>357.75</v>
      </c>
      <c r="G2671" s="7" t="n">
        <f aca="false">ROUND(F2671*0.2,2)</f>
        <v>71.55</v>
      </c>
      <c r="H2671" s="4" t="str">
        <f aca="false">IF(F2671&gt;500,"Yüksek",IF(F2671&gt;100,"Orta","Düşük"))</f>
        <v>Orta</v>
      </c>
    </row>
    <row r="2672" customFormat="false" ht="12.8" hidden="false" customHeight="false" outlineLevel="0" collapsed="false">
      <c r="A2672" s="4" t="s">
        <v>24</v>
      </c>
      <c r="B2672" s="4" t="s">
        <v>19</v>
      </c>
      <c r="C2672" s="4" t="n">
        <v>34</v>
      </c>
      <c r="D2672" s="5" t="n">
        <v>16</v>
      </c>
      <c r="E2672" s="6" t="n">
        <f aca="false">DATE(2024,6,10)</f>
        <v>45453</v>
      </c>
      <c r="F2672" s="7" t="n">
        <f aca="false">C2672*D2672</f>
        <v>544</v>
      </c>
      <c r="G2672" s="7" t="n">
        <f aca="false">ROUND(F2672*0.2,2)</f>
        <v>108.8</v>
      </c>
      <c r="H2672" s="4" t="str">
        <f aca="false">IF(F2672&gt;500,"Yüksek",IF(F2672&gt;100,"Orta","Düşük"))</f>
        <v>Yüksek</v>
      </c>
    </row>
    <row r="2673" customFormat="false" ht="12.8" hidden="false" customHeight="false" outlineLevel="0" collapsed="false">
      <c r="A2673" s="4" t="s">
        <v>10</v>
      </c>
      <c r="B2673" s="4" t="s">
        <v>11</v>
      </c>
      <c r="C2673" s="4" t="n">
        <v>41</v>
      </c>
      <c r="D2673" s="5" t="n">
        <v>18.75</v>
      </c>
      <c r="E2673" s="6" t="n">
        <f aca="false">DATE(2024,7,11)</f>
        <v>45484</v>
      </c>
      <c r="F2673" s="7" t="n">
        <f aca="false">C2673*D2673</f>
        <v>768.75</v>
      </c>
      <c r="G2673" s="7" t="n">
        <f aca="false">ROUND(F2673*0.2,2)</f>
        <v>153.75</v>
      </c>
      <c r="H2673" s="4" t="str">
        <f aca="false">IF(F2673&gt;500,"Yüksek",IF(F2673&gt;100,"Orta","Düşük"))</f>
        <v>Yüksek</v>
      </c>
    </row>
    <row r="2674" customFormat="false" ht="12.8" hidden="false" customHeight="false" outlineLevel="0" collapsed="false">
      <c r="A2674" s="4" t="s">
        <v>12</v>
      </c>
      <c r="B2674" s="4" t="s">
        <v>13</v>
      </c>
      <c r="C2674" s="4" t="n">
        <v>48</v>
      </c>
      <c r="D2674" s="5" t="n">
        <v>21.5</v>
      </c>
      <c r="E2674" s="6" t="n">
        <f aca="false">DATE(2024,8,12)</f>
        <v>45516</v>
      </c>
      <c r="F2674" s="7" t="n">
        <f aca="false">C2674*D2674</f>
        <v>1032</v>
      </c>
      <c r="G2674" s="7" t="n">
        <f aca="false">ROUND(F2674*0.2,2)</f>
        <v>206.4</v>
      </c>
      <c r="H2674" s="4" t="str">
        <f aca="false">IF(F2674&gt;500,"Yüksek",IF(F2674&gt;100,"Orta","Düşük"))</f>
        <v>Yüksek</v>
      </c>
    </row>
    <row r="2675" customFormat="false" ht="12.8" hidden="false" customHeight="false" outlineLevel="0" collapsed="false">
      <c r="A2675" s="4" t="s">
        <v>14</v>
      </c>
      <c r="B2675" s="4" t="s">
        <v>15</v>
      </c>
      <c r="C2675" s="4" t="n">
        <v>5</v>
      </c>
      <c r="D2675" s="5" t="n">
        <v>24.25</v>
      </c>
      <c r="E2675" s="6" t="n">
        <f aca="false">DATE(2024,9,13)</f>
        <v>45548</v>
      </c>
      <c r="F2675" s="7" t="n">
        <f aca="false">C2675*D2675</f>
        <v>121.25</v>
      </c>
      <c r="G2675" s="7" t="n">
        <f aca="false">ROUND(F2675*0.2,2)</f>
        <v>24.25</v>
      </c>
      <c r="H2675" s="4" t="str">
        <f aca="false">IF(F2675&gt;500,"Yüksek",IF(F2675&gt;100,"Orta","Düşük"))</f>
        <v>Orta</v>
      </c>
    </row>
    <row r="2676" customFormat="false" ht="12.8" hidden="false" customHeight="false" outlineLevel="0" collapsed="false">
      <c r="A2676" s="4" t="s">
        <v>16</v>
      </c>
      <c r="B2676" s="4" t="s">
        <v>17</v>
      </c>
      <c r="C2676" s="4" t="n">
        <v>12</v>
      </c>
      <c r="D2676" s="5" t="n">
        <v>27</v>
      </c>
      <c r="E2676" s="6" t="n">
        <f aca="false">DATE(2024,10,14)</f>
        <v>45579</v>
      </c>
      <c r="F2676" s="7" t="n">
        <f aca="false">C2676*D2676</f>
        <v>324</v>
      </c>
      <c r="G2676" s="7" t="n">
        <f aca="false">ROUND(F2676*0.2,2)</f>
        <v>64.8</v>
      </c>
      <c r="H2676" s="4" t="str">
        <f aca="false">IF(F2676&gt;500,"Yüksek",IF(F2676&gt;100,"Orta","Düşük"))</f>
        <v>Orta</v>
      </c>
    </row>
    <row r="2677" customFormat="false" ht="12.8" hidden="false" customHeight="false" outlineLevel="0" collapsed="false">
      <c r="A2677" s="4" t="s">
        <v>18</v>
      </c>
      <c r="B2677" s="4" t="s">
        <v>19</v>
      </c>
      <c r="C2677" s="4" t="n">
        <v>19</v>
      </c>
      <c r="D2677" s="5" t="n">
        <v>29.75</v>
      </c>
      <c r="E2677" s="6" t="n">
        <f aca="false">DATE(2024,11,15)</f>
        <v>45611</v>
      </c>
      <c r="F2677" s="7" t="n">
        <f aca="false">C2677*D2677</f>
        <v>565.25</v>
      </c>
      <c r="G2677" s="7" t="n">
        <f aca="false">ROUND(F2677*0.2,2)</f>
        <v>113.05</v>
      </c>
      <c r="H2677" s="4" t="str">
        <f aca="false">IF(F2677&gt;500,"Yüksek",IF(F2677&gt;100,"Orta","Düşük"))</f>
        <v>Yüksek</v>
      </c>
    </row>
    <row r="2678" customFormat="false" ht="12.8" hidden="false" customHeight="false" outlineLevel="0" collapsed="false">
      <c r="A2678" s="4" t="s">
        <v>20</v>
      </c>
      <c r="B2678" s="4" t="s">
        <v>11</v>
      </c>
      <c r="C2678" s="4" t="n">
        <v>26</v>
      </c>
      <c r="D2678" s="5" t="n">
        <v>32.5</v>
      </c>
      <c r="E2678" s="6" t="n">
        <f aca="false">DATE(2024,12,16)</f>
        <v>45642</v>
      </c>
      <c r="F2678" s="7" t="n">
        <f aca="false">C2678*D2678</f>
        <v>845</v>
      </c>
      <c r="G2678" s="7" t="n">
        <f aca="false">ROUND(F2678*0.2,2)</f>
        <v>169</v>
      </c>
      <c r="H2678" s="4" t="str">
        <f aca="false">IF(F2678&gt;500,"Yüksek",IF(F2678&gt;100,"Orta","Düşük"))</f>
        <v>Yüksek</v>
      </c>
    </row>
    <row r="2679" customFormat="false" ht="12.8" hidden="false" customHeight="false" outlineLevel="0" collapsed="false">
      <c r="A2679" s="4" t="s">
        <v>21</v>
      </c>
      <c r="B2679" s="4" t="s">
        <v>13</v>
      </c>
      <c r="C2679" s="4" t="n">
        <v>33</v>
      </c>
      <c r="D2679" s="5" t="n">
        <v>35.25</v>
      </c>
      <c r="E2679" s="6" t="n">
        <f aca="false">DATE(2024,1,17)</f>
        <v>45308</v>
      </c>
      <c r="F2679" s="7" t="n">
        <f aca="false">C2679*D2679</f>
        <v>1163.25</v>
      </c>
      <c r="G2679" s="7" t="n">
        <f aca="false">ROUND(F2679*0.2,2)</f>
        <v>232.65</v>
      </c>
      <c r="H2679" s="4" t="str">
        <f aca="false">IF(F2679&gt;500,"Yüksek",IF(F2679&gt;100,"Orta","Düşük"))</f>
        <v>Yüksek</v>
      </c>
    </row>
    <row r="2680" customFormat="false" ht="12.8" hidden="false" customHeight="false" outlineLevel="0" collapsed="false">
      <c r="A2680" s="4" t="s">
        <v>22</v>
      </c>
      <c r="B2680" s="4" t="s">
        <v>15</v>
      </c>
      <c r="C2680" s="4" t="n">
        <v>40</v>
      </c>
      <c r="D2680" s="5" t="n">
        <v>38</v>
      </c>
      <c r="E2680" s="6" t="n">
        <f aca="false">DATE(2024,2,18)</f>
        <v>45340</v>
      </c>
      <c r="F2680" s="7" t="n">
        <f aca="false">C2680*D2680</f>
        <v>1520</v>
      </c>
      <c r="G2680" s="7" t="n">
        <f aca="false">ROUND(F2680*0.2,2)</f>
        <v>304</v>
      </c>
      <c r="H2680" s="4" t="str">
        <f aca="false">IF(F2680&gt;500,"Yüksek",IF(F2680&gt;100,"Orta","Düşük"))</f>
        <v>Yüksek</v>
      </c>
    </row>
    <row r="2681" customFormat="false" ht="12.8" hidden="false" customHeight="false" outlineLevel="0" collapsed="false">
      <c r="A2681" s="4" t="s">
        <v>23</v>
      </c>
      <c r="B2681" s="4" t="s">
        <v>17</v>
      </c>
      <c r="C2681" s="4" t="n">
        <v>47</v>
      </c>
      <c r="D2681" s="5" t="n">
        <v>5</v>
      </c>
      <c r="E2681" s="6" t="n">
        <f aca="false">DATE(2024,3,19)</f>
        <v>45370</v>
      </c>
      <c r="F2681" s="7" t="n">
        <f aca="false">C2681*D2681</f>
        <v>235</v>
      </c>
      <c r="G2681" s="7" t="n">
        <f aca="false">ROUND(F2681*0.2,2)</f>
        <v>47</v>
      </c>
      <c r="H2681" s="4" t="str">
        <f aca="false">IF(F2681&gt;500,"Yüksek",IF(F2681&gt;100,"Orta","Düşük"))</f>
        <v>Orta</v>
      </c>
    </row>
    <row r="2682" customFormat="false" ht="12.8" hidden="false" customHeight="false" outlineLevel="0" collapsed="false">
      <c r="A2682" s="4" t="s">
        <v>24</v>
      </c>
      <c r="B2682" s="4" t="s">
        <v>19</v>
      </c>
      <c r="C2682" s="4" t="n">
        <v>4</v>
      </c>
      <c r="D2682" s="5" t="n">
        <v>7.75</v>
      </c>
      <c r="E2682" s="6" t="n">
        <f aca="false">DATE(2024,4,20)</f>
        <v>45402</v>
      </c>
      <c r="F2682" s="7" t="n">
        <f aca="false">C2682*D2682</f>
        <v>31</v>
      </c>
      <c r="G2682" s="7" t="n">
        <f aca="false">ROUND(F2682*0.2,2)</f>
        <v>6.2</v>
      </c>
      <c r="H2682" s="4" t="str">
        <f aca="false">IF(F2682&gt;500,"Yüksek",IF(F2682&gt;100,"Orta","Düşük"))</f>
        <v>Düşük</v>
      </c>
    </row>
    <row r="2683" customFormat="false" ht="12.8" hidden="false" customHeight="false" outlineLevel="0" collapsed="false">
      <c r="A2683" s="4" t="s">
        <v>10</v>
      </c>
      <c r="B2683" s="4" t="s">
        <v>11</v>
      </c>
      <c r="C2683" s="4" t="n">
        <v>11</v>
      </c>
      <c r="D2683" s="5" t="n">
        <v>10.5</v>
      </c>
      <c r="E2683" s="6" t="n">
        <f aca="false">DATE(2024,5,21)</f>
        <v>45433</v>
      </c>
      <c r="F2683" s="7" t="n">
        <f aca="false">C2683*D2683</f>
        <v>115.5</v>
      </c>
      <c r="G2683" s="7" t="n">
        <f aca="false">ROUND(F2683*0.2,2)</f>
        <v>23.1</v>
      </c>
      <c r="H2683" s="4" t="str">
        <f aca="false">IF(F2683&gt;500,"Yüksek",IF(F2683&gt;100,"Orta","Düşük"))</f>
        <v>Orta</v>
      </c>
    </row>
    <row r="2684" customFormat="false" ht="12.8" hidden="false" customHeight="false" outlineLevel="0" collapsed="false">
      <c r="A2684" s="4" t="s">
        <v>12</v>
      </c>
      <c r="B2684" s="4" t="s">
        <v>13</v>
      </c>
      <c r="C2684" s="4" t="n">
        <v>18</v>
      </c>
      <c r="D2684" s="5" t="n">
        <v>13.25</v>
      </c>
      <c r="E2684" s="6" t="n">
        <f aca="false">DATE(2024,6,22)</f>
        <v>45465</v>
      </c>
      <c r="F2684" s="7" t="n">
        <f aca="false">C2684*D2684</f>
        <v>238.5</v>
      </c>
      <c r="G2684" s="7" t="n">
        <f aca="false">ROUND(F2684*0.2,2)</f>
        <v>47.7</v>
      </c>
      <c r="H2684" s="4" t="str">
        <f aca="false">IF(F2684&gt;500,"Yüksek",IF(F2684&gt;100,"Orta","Düşük"))</f>
        <v>Orta</v>
      </c>
    </row>
    <row r="2685" customFormat="false" ht="12.8" hidden="false" customHeight="false" outlineLevel="0" collapsed="false">
      <c r="A2685" s="4" t="s">
        <v>14</v>
      </c>
      <c r="B2685" s="4" t="s">
        <v>15</v>
      </c>
      <c r="C2685" s="4" t="n">
        <v>25</v>
      </c>
      <c r="D2685" s="5" t="n">
        <v>16</v>
      </c>
      <c r="E2685" s="6" t="n">
        <f aca="false">DATE(2024,7,23)</f>
        <v>45496</v>
      </c>
      <c r="F2685" s="7" t="n">
        <f aca="false">C2685*D2685</f>
        <v>400</v>
      </c>
      <c r="G2685" s="7" t="n">
        <f aca="false">ROUND(F2685*0.2,2)</f>
        <v>80</v>
      </c>
      <c r="H2685" s="4" t="str">
        <f aca="false">IF(F2685&gt;500,"Yüksek",IF(F2685&gt;100,"Orta","Düşük"))</f>
        <v>Orta</v>
      </c>
    </row>
    <row r="2686" customFormat="false" ht="12.8" hidden="false" customHeight="false" outlineLevel="0" collapsed="false">
      <c r="A2686" s="4" t="s">
        <v>16</v>
      </c>
      <c r="B2686" s="4" t="s">
        <v>17</v>
      </c>
      <c r="C2686" s="4" t="n">
        <v>32</v>
      </c>
      <c r="D2686" s="5" t="n">
        <v>18.75</v>
      </c>
      <c r="E2686" s="6" t="n">
        <f aca="false">DATE(2024,8,24)</f>
        <v>45528</v>
      </c>
      <c r="F2686" s="7" t="n">
        <f aca="false">C2686*D2686</f>
        <v>600</v>
      </c>
      <c r="G2686" s="7" t="n">
        <f aca="false">ROUND(F2686*0.2,2)</f>
        <v>120</v>
      </c>
      <c r="H2686" s="4" t="str">
        <f aca="false">IF(F2686&gt;500,"Yüksek",IF(F2686&gt;100,"Orta","Düşük"))</f>
        <v>Yüksek</v>
      </c>
    </row>
    <row r="2687" customFormat="false" ht="12.8" hidden="false" customHeight="false" outlineLevel="0" collapsed="false">
      <c r="A2687" s="4" t="s">
        <v>18</v>
      </c>
      <c r="B2687" s="4" t="s">
        <v>19</v>
      </c>
      <c r="C2687" s="4" t="n">
        <v>39</v>
      </c>
      <c r="D2687" s="5" t="n">
        <v>21.5</v>
      </c>
      <c r="E2687" s="6" t="n">
        <f aca="false">DATE(2024,9,25)</f>
        <v>45560</v>
      </c>
      <c r="F2687" s="7" t="n">
        <f aca="false">C2687*D2687</f>
        <v>838.5</v>
      </c>
      <c r="G2687" s="7" t="n">
        <f aca="false">ROUND(F2687*0.2,2)</f>
        <v>167.7</v>
      </c>
      <c r="H2687" s="4" t="str">
        <f aca="false">IF(F2687&gt;500,"Yüksek",IF(F2687&gt;100,"Orta","Düşük"))</f>
        <v>Yüksek</v>
      </c>
    </row>
    <row r="2688" customFormat="false" ht="12.8" hidden="false" customHeight="false" outlineLevel="0" collapsed="false">
      <c r="A2688" s="4" t="s">
        <v>20</v>
      </c>
      <c r="B2688" s="4" t="s">
        <v>11</v>
      </c>
      <c r="C2688" s="4" t="n">
        <v>46</v>
      </c>
      <c r="D2688" s="5" t="n">
        <v>24.25</v>
      </c>
      <c r="E2688" s="6" t="n">
        <f aca="false">DATE(2024,10,26)</f>
        <v>45591</v>
      </c>
      <c r="F2688" s="7" t="n">
        <f aca="false">C2688*D2688</f>
        <v>1115.5</v>
      </c>
      <c r="G2688" s="7" t="n">
        <f aca="false">ROUND(F2688*0.2,2)</f>
        <v>223.1</v>
      </c>
      <c r="H2688" s="4" t="str">
        <f aca="false">IF(F2688&gt;500,"Yüksek",IF(F2688&gt;100,"Orta","Düşük"))</f>
        <v>Yüksek</v>
      </c>
    </row>
    <row r="2689" customFormat="false" ht="12.8" hidden="false" customHeight="false" outlineLevel="0" collapsed="false">
      <c r="A2689" s="4" t="s">
        <v>21</v>
      </c>
      <c r="B2689" s="4" t="s">
        <v>13</v>
      </c>
      <c r="C2689" s="4" t="n">
        <v>3</v>
      </c>
      <c r="D2689" s="5" t="n">
        <v>27</v>
      </c>
      <c r="E2689" s="6" t="n">
        <f aca="false">DATE(2024,11,27)</f>
        <v>45623</v>
      </c>
      <c r="F2689" s="7" t="n">
        <f aca="false">C2689*D2689</f>
        <v>81</v>
      </c>
      <c r="G2689" s="7" t="n">
        <f aca="false">ROUND(F2689*0.2,2)</f>
        <v>16.2</v>
      </c>
      <c r="H2689" s="4" t="str">
        <f aca="false">IF(F2689&gt;500,"Yüksek",IF(F2689&gt;100,"Orta","Düşük"))</f>
        <v>Düşük</v>
      </c>
    </row>
    <row r="2690" customFormat="false" ht="12.8" hidden="false" customHeight="false" outlineLevel="0" collapsed="false">
      <c r="A2690" s="4" t="s">
        <v>22</v>
      </c>
      <c r="B2690" s="4" t="s">
        <v>15</v>
      </c>
      <c r="C2690" s="4" t="n">
        <v>10</v>
      </c>
      <c r="D2690" s="5" t="n">
        <v>29.75</v>
      </c>
      <c r="E2690" s="6" t="n">
        <f aca="false">DATE(2024,12,28)</f>
        <v>45654</v>
      </c>
      <c r="F2690" s="7" t="n">
        <f aca="false">C2690*D2690</f>
        <v>297.5</v>
      </c>
      <c r="G2690" s="7" t="n">
        <f aca="false">ROUND(F2690*0.2,2)</f>
        <v>59.5</v>
      </c>
      <c r="H2690" s="4" t="str">
        <f aca="false">IF(F2690&gt;500,"Yüksek",IF(F2690&gt;100,"Orta","Düşük"))</f>
        <v>Orta</v>
      </c>
    </row>
    <row r="2691" customFormat="false" ht="12.8" hidden="false" customHeight="false" outlineLevel="0" collapsed="false">
      <c r="A2691" s="4" t="s">
        <v>23</v>
      </c>
      <c r="B2691" s="4" t="s">
        <v>17</v>
      </c>
      <c r="C2691" s="4" t="n">
        <v>17</v>
      </c>
      <c r="D2691" s="5" t="n">
        <v>32.5</v>
      </c>
      <c r="E2691" s="6" t="n">
        <f aca="false">DATE(2024,1,1)</f>
        <v>45292</v>
      </c>
      <c r="F2691" s="7" t="n">
        <f aca="false">C2691*D2691</f>
        <v>552.5</v>
      </c>
      <c r="G2691" s="7" t="n">
        <f aca="false">ROUND(F2691*0.2,2)</f>
        <v>110.5</v>
      </c>
      <c r="H2691" s="4" t="str">
        <f aca="false">IF(F2691&gt;500,"Yüksek",IF(F2691&gt;100,"Orta","Düşük"))</f>
        <v>Yüksek</v>
      </c>
    </row>
    <row r="2692" customFormat="false" ht="12.8" hidden="false" customHeight="false" outlineLevel="0" collapsed="false">
      <c r="A2692" s="4" t="s">
        <v>24</v>
      </c>
      <c r="B2692" s="4" t="s">
        <v>19</v>
      </c>
      <c r="C2692" s="4" t="n">
        <v>24</v>
      </c>
      <c r="D2692" s="5" t="n">
        <v>35.25</v>
      </c>
      <c r="E2692" s="6" t="n">
        <f aca="false">DATE(2024,2,2)</f>
        <v>45324</v>
      </c>
      <c r="F2692" s="7" t="n">
        <f aca="false">C2692*D2692</f>
        <v>846</v>
      </c>
      <c r="G2692" s="7" t="n">
        <f aca="false">ROUND(F2692*0.2,2)</f>
        <v>169.2</v>
      </c>
      <c r="H2692" s="4" t="str">
        <f aca="false">IF(F2692&gt;500,"Yüksek",IF(F2692&gt;100,"Orta","Düşük"))</f>
        <v>Yüksek</v>
      </c>
    </row>
    <row r="2693" customFormat="false" ht="12.8" hidden="false" customHeight="false" outlineLevel="0" collapsed="false">
      <c r="A2693" s="4" t="s">
        <v>10</v>
      </c>
      <c r="B2693" s="4" t="s">
        <v>11</v>
      </c>
      <c r="C2693" s="4" t="n">
        <v>31</v>
      </c>
      <c r="D2693" s="5" t="n">
        <v>38</v>
      </c>
      <c r="E2693" s="6" t="n">
        <f aca="false">DATE(2024,3,3)</f>
        <v>45354</v>
      </c>
      <c r="F2693" s="7" t="n">
        <f aca="false">C2693*D2693</f>
        <v>1178</v>
      </c>
      <c r="G2693" s="7" t="n">
        <f aca="false">ROUND(F2693*0.2,2)</f>
        <v>235.6</v>
      </c>
      <c r="H2693" s="4" t="str">
        <f aca="false">IF(F2693&gt;500,"Yüksek",IF(F2693&gt;100,"Orta","Düşük"))</f>
        <v>Yüksek</v>
      </c>
    </row>
    <row r="2694" customFormat="false" ht="12.8" hidden="false" customHeight="false" outlineLevel="0" collapsed="false">
      <c r="A2694" s="4" t="s">
        <v>12</v>
      </c>
      <c r="B2694" s="4" t="s">
        <v>13</v>
      </c>
      <c r="C2694" s="4" t="n">
        <v>38</v>
      </c>
      <c r="D2694" s="5" t="n">
        <v>5</v>
      </c>
      <c r="E2694" s="6" t="n">
        <f aca="false">DATE(2024,4,4)</f>
        <v>45386</v>
      </c>
      <c r="F2694" s="7" t="n">
        <f aca="false">C2694*D2694</f>
        <v>190</v>
      </c>
      <c r="G2694" s="7" t="n">
        <f aca="false">ROUND(F2694*0.2,2)</f>
        <v>38</v>
      </c>
      <c r="H2694" s="4" t="str">
        <f aca="false">IF(F2694&gt;500,"Yüksek",IF(F2694&gt;100,"Orta","Düşük"))</f>
        <v>Orta</v>
      </c>
    </row>
    <row r="2695" customFormat="false" ht="12.8" hidden="false" customHeight="false" outlineLevel="0" collapsed="false">
      <c r="A2695" s="4" t="s">
        <v>14</v>
      </c>
      <c r="B2695" s="4" t="s">
        <v>15</v>
      </c>
      <c r="C2695" s="4" t="n">
        <v>45</v>
      </c>
      <c r="D2695" s="5" t="n">
        <v>7.75</v>
      </c>
      <c r="E2695" s="6" t="n">
        <f aca="false">DATE(2024,5,5)</f>
        <v>45417</v>
      </c>
      <c r="F2695" s="7" t="n">
        <f aca="false">C2695*D2695</f>
        <v>348.75</v>
      </c>
      <c r="G2695" s="7" t="n">
        <f aca="false">ROUND(F2695*0.2,2)</f>
        <v>69.75</v>
      </c>
      <c r="H2695" s="4" t="str">
        <f aca="false">IF(F2695&gt;500,"Yüksek",IF(F2695&gt;100,"Orta","Düşük"))</f>
        <v>Orta</v>
      </c>
    </row>
    <row r="2696" customFormat="false" ht="12.8" hidden="false" customHeight="false" outlineLevel="0" collapsed="false">
      <c r="A2696" s="4" t="s">
        <v>16</v>
      </c>
      <c r="B2696" s="4" t="s">
        <v>17</v>
      </c>
      <c r="C2696" s="4" t="n">
        <v>2</v>
      </c>
      <c r="D2696" s="5" t="n">
        <v>10.5</v>
      </c>
      <c r="E2696" s="6" t="n">
        <f aca="false">DATE(2024,6,6)</f>
        <v>45449</v>
      </c>
      <c r="F2696" s="7" t="n">
        <f aca="false">C2696*D2696</f>
        <v>21</v>
      </c>
      <c r="G2696" s="7" t="n">
        <f aca="false">ROUND(F2696*0.2,2)</f>
        <v>4.2</v>
      </c>
      <c r="H2696" s="4" t="str">
        <f aca="false">IF(F2696&gt;500,"Yüksek",IF(F2696&gt;100,"Orta","Düşük"))</f>
        <v>Düşük</v>
      </c>
    </row>
    <row r="2697" customFormat="false" ht="12.8" hidden="false" customHeight="false" outlineLevel="0" collapsed="false">
      <c r="A2697" s="4" t="s">
        <v>18</v>
      </c>
      <c r="B2697" s="4" t="s">
        <v>19</v>
      </c>
      <c r="C2697" s="4" t="n">
        <v>9</v>
      </c>
      <c r="D2697" s="5" t="n">
        <v>13.25</v>
      </c>
      <c r="E2697" s="6" t="n">
        <f aca="false">DATE(2024,7,7)</f>
        <v>45480</v>
      </c>
      <c r="F2697" s="7" t="n">
        <f aca="false">C2697*D2697</f>
        <v>119.25</v>
      </c>
      <c r="G2697" s="7" t="n">
        <f aca="false">ROUND(F2697*0.2,2)</f>
        <v>23.85</v>
      </c>
      <c r="H2697" s="4" t="str">
        <f aca="false">IF(F2697&gt;500,"Yüksek",IF(F2697&gt;100,"Orta","Düşük"))</f>
        <v>Orta</v>
      </c>
    </row>
    <row r="2698" customFormat="false" ht="12.8" hidden="false" customHeight="false" outlineLevel="0" collapsed="false">
      <c r="A2698" s="4" t="s">
        <v>20</v>
      </c>
      <c r="B2698" s="4" t="s">
        <v>11</v>
      </c>
      <c r="C2698" s="4" t="n">
        <v>16</v>
      </c>
      <c r="D2698" s="5" t="n">
        <v>16</v>
      </c>
      <c r="E2698" s="6" t="n">
        <f aca="false">DATE(2024,8,8)</f>
        <v>45512</v>
      </c>
      <c r="F2698" s="7" t="n">
        <f aca="false">C2698*D2698</f>
        <v>256</v>
      </c>
      <c r="G2698" s="7" t="n">
        <f aca="false">ROUND(F2698*0.2,2)</f>
        <v>51.2</v>
      </c>
      <c r="H2698" s="4" t="str">
        <f aca="false">IF(F2698&gt;500,"Yüksek",IF(F2698&gt;100,"Orta","Düşük"))</f>
        <v>Orta</v>
      </c>
    </row>
    <row r="2699" customFormat="false" ht="12.8" hidden="false" customHeight="false" outlineLevel="0" collapsed="false">
      <c r="A2699" s="4" t="s">
        <v>21</v>
      </c>
      <c r="B2699" s="4" t="s">
        <v>13</v>
      </c>
      <c r="C2699" s="4" t="n">
        <v>23</v>
      </c>
      <c r="D2699" s="5" t="n">
        <v>18.75</v>
      </c>
      <c r="E2699" s="6" t="n">
        <f aca="false">DATE(2024,9,9)</f>
        <v>45544</v>
      </c>
      <c r="F2699" s="7" t="n">
        <f aca="false">C2699*D2699</f>
        <v>431.25</v>
      </c>
      <c r="G2699" s="7" t="n">
        <f aca="false">ROUND(F2699*0.2,2)</f>
        <v>86.25</v>
      </c>
      <c r="H2699" s="4" t="str">
        <f aca="false">IF(F2699&gt;500,"Yüksek",IF(F2699&gt;100,"Orta","Düşük"))</f>
        <v>Orta</v>
      </c>
    </row>
    <row r="2700" customFormat="false" ht="12.8" hidden="false" customHeight="false" outlineLevel="0" collapsed="false">
      <c r="A2700" s="4" t="s">
        <v>22</v>
      </c>
      <c r="B2700" s="4" t="s">
        <v>15</v>
      </c>
      <c r="C2700" s="4" t="n">
        <v>30</v>
      </c>
      <c r="D2700" s="5" t="n">
        <v>21.5</v>
      </c>
      <c r="E2700" s="6" t="n">
        <f aca="false">DATE(2024,10,10)</f>
        <v>45575</v>
      </c>
      <c r="F2700" s="7" t="n">
        <f aca="false">C2700*D2700</f>
        <v>645</v>
      </c>
      <c r="G2700" s="7" t="n">
        <f aca="false">ROUND(F2700*0.2,2)</f>
        <v>129</v>
      </c>
      <c r="H2700" s="4" t="str">
        <f aca="false">IF(F2700&gt;500,"Yüksek",IF(F2700&gt;100,"Orta","Düşük"))</f>
        <v>Yüksek</v>
      </c>
    </row>
    <row r="2701" customFormat="false" ht="12.8" hidden="false" customHeight="false" outlineLevel="0" collapsed="false">
      <c r="A2701" s="4" t="s">
        <v>23</v>
      </c>
      <c r="B2701" s="4" t="s">
        <v>17</v>
      </c>
      <c r="C2701" s="4" t="n">
        <v>37</v>
      </c>
      <c r="D2701" s="5" t="n">
        <v>24.25</v>
      </c>
      <c r="E2701" s="6" t="n">
        <f aca="false">DATE(2024,11,11)</f>
        <v>45607</v>
      </c>
      <c r="F2701" s="7" t="n">
        <f aca="false">C2701*D2701</f>
        <v>897.25</v>
      </c>
      <c r="G2701" s="7" t="n">
        <f aca="false">ROUND(F2701*0.2,2)</f>
        <v>179.45</v>
      </c>
      <c r="H2701" s="4" t="str">
        <f aca="false">IF(F2701&gt;500,"Yüksek",IF(F2701&gt;100,"Orta","Düşük"))</f>
        <v>Yüksek</v>
      </c>
    </row>
    <row r="2702" customFormat="false" ht="12.8" hidden="false" customHeight="false" outlineLevel="0" collapsed="false">
      <c r="A2702" s="4" t="s">
        <v>24</v>
      </c>
      <c r="B2702" s="4" t="s">
        <v>19</v>
      </c>
      <c r="C2702" s="4" t="n">
        <v>44</v>
      </c>
      <c r="D2702" s="5" t="n">
        <v>27</v>
      </c>
      <c r="E2702" s="6" t="n">
        <f aca="false">DATE(2024,12,12)</f>
        <v>45638</v>
      </c>
      <c r="F2702" s="7" t="n">
        <f aca="false">C2702*D2702</f>
        <v>1188</v>
      </c>
      <c r="G2702" s="7" t="n">
        <f aca="false">ROUND(F2702*0.2,2)</f>
        <v>237.6</v>
      </c>
      <c r="H2702" s="4" t="str">
        <f aca="false">IF(F2702&gt;500,"Yüksek",IF(F2702&gt;100,"Orta","Düşük"))</f>
        <v>Yüksek</v>
      </c>
    </row>
    <row r="2703" customFormat="false" ht="12.8" hidden="false" customHeight="false" outlineLevel="0" collapsed="false">
      <c r="A2703" s="4" t="s">
        <v>10</v>
      </c>
      <c r="B2703" s="4" t="s">
        <v>11</v>
      </c>
      <c r="C2703" s="4" t="n">
        <v>1</v>
      </c>
      <c r="D2703" s="5" t="n">
        <v>29.75</v>
      </c>
      <c r="E2703" s="6" t="n">
        <f aca="false">DATE(2024,1,13)</f>
        <v>45304</v>
      </c>
      <c r="F2703" s="7" t="n">
        <f aca="false">C2703*D2703</f>
        <v>29.75</v>
      </c>
      <c r="G2703" s="7" t="n">
        <f aca="false">ROUND(F2703*0.2,2)</f>
        <v>5.95</v>
      </c>
      <c r="H2703" s="4" t="str">
        <f aca="false">IF(F2703&gt;500,"Yüksek",IF(F2703&gt;100,"Orta","Düşük"))</f>
        <v>Düşük</v>
      </c>
    </row>
    <row r="2704" customFormat="false" ht="12.8" hidden="false" customHeight="false" outlineLevel="0" collapsed="false">
      <c r="A2704" s="4" t="s">
        <v>12</v>
      </c>
      <c r="B2704" s="4" t="s">
        <v>13</v>
      </c>
      <c r="C2704" s="4" t="n">
        <v>8</v>
      </c>
      <c r="D2704" s="5" t="n">
        <v>32.5</v>
      </c>
      <c r="E2704" s="6" t="n">
        <f aca="false">DATE(2024,2,14)</f>
        <v>45336</v>
      </c>
      <c r="F2704" s="7" t="n">
        <f aca="false">C2704*D2704</f>
        <v>260</v>
      </c>
      <c r="G2704" s="7" t="n">
        <f aca="false">ROUND(F2704*0.2,2)</f>
        <v>52</v>
      </c>
      <c r="H2704" s="4" t="str">
        <f aca="false">IF(F2704&gt;500,"Yüksek",IF(F2704&gt;100,"Orta","Düşük"))</f>
        <v>Orta</v>
      </c>
    </row>
    <row r="2705" customFormat="false" ht="12.8" hidden="false" customHeight="false" outlineLevel="0" collapsed="false">
      <c r="A2705" s="4" t="s">
        <v>14</v>
      </c>
      <c r="B2705" s="4" t="s">
        <v>15</v>
      </c>
      <c r="C2705" s="4" t="n">
        <v>15</v>
      </c>
      <c r="D2705" s="5" t="n">
        <v>35.25</v>
      </c>
      <c r="E2705" s="6" t="n">
        <f aca="false">DATE(2024,3,15)</f>
        <v>45366</v>
      </c>
      <c r="F2705" s="7" t="n">
        <f aca="false">C2705*D2705</f>
        <v>528.75</v>
      </c>
      <c r="G2705" s="7" t="n">
        <f aca="false">ROUND(F2705*0.2,2)</f>
        <v>105.75</v>
      </c>
      <c r="H2705" s="4" t="str">
        <f aca="false">IF(F2705&gt;500,"Yüksek",IF(F2705&gt;100,"Orta","Düşük"))</f>
        <v>Yüksek</v>
      </c>
    </row>
    <row r="2706" customFormat="false" ht="12.8" hidden="false" customHeight="false" outlineLevel="0" collapsed="false">
      <c r="A2706" s="4" t="s">
        <v>16</v>
      </c>
      <c r="B2706" s="4" t="s">
        <v>17</v>
      </c>
      <c r="C2706" s="4" t="n">
        <v>22</v>
      </c>
      <c r="D2706" s="5" t="n">
        <v>38</v>
      </c>
      <c r="E2706" s="6" t="n">
        <f aca="false">DATE(2024,4,16)</f>
        <v>45398</v>
      </c>
      <c r="F2706" s="7" t="n">
        <f aca="false">C2706*D2706</f>
        <v>836</v>
      </c>
      <c r="G2706" s="7" t="n">
        <f aca="false">ROUND(F2706*0.2,2)</f>
        <v>167.2</v>
      </c>
      <c r="H2706" s="4" t="str">
        <f aca="false">IF(F2706&gt;500,"Yüksek",IF(F2706&gt;100,"Orta","Düşük"))</f>
        <v>Yüksek</v>
      </c>
    </row>
    <row r="2707" customFormat="false" ht="12.8" hidden="false" customHeight="false" outlineLevel="0" collapsed="false">
      <c r="A2707" s="4" t="s">
        <v>18</v>
      </c>
      <c r="B2707" s="4" t="s">
        <v>19</v>
      </c>
      <c r="C2707" s="4" t="n">
        <v>29</v>
      </c>
      <c r="D2707" s="5" t="n">
        <v>5</v>
      </c>
      <c r="E2707" s="6" t="n">
        <f aca="false">DATE(2024,5,17)</f>
        <v>45429</v>
      </c>
      <c r="F2707" s="7" t="n">
        <f aca="false">C2707*D2707</f>
        <v>145</v>
      </c>
      <c r="G2707" s="7" t="n">
        <f aca="false">ROUND(F2707*0.2,2)</f>
        <v>29</v>
      </c>
      <c r="H2707" s="4" t="str">
        <f aca="false">IF(F2707&gt;500,"Yüksek",IF(F2707&gt;100,"Orta","Düşük"))</f>
        <v>Orta</v>
      </c>
    </row>
    <row r="2708" customFormat="false" ht="12.8" hidden="false" customHeight="false" outlineLevel="0" collapsed="false">
      <c r="A2708" s="4" t="s">
        <v>20</v>
      </c>
      <c r="B2708" s="4" t="s">
        <v>11</v>
      </c>
      <c r="C2708" s="4" t="n">
        <v>36</v>
      </c>
      <c r="D2708" s="5" t="n">
        <v>7.75</v>
      </c>
      <c r="E2708" s="6" t="n">
        <f aca="false">DATE(2024,6,18)</f>
        <v>45461</v>
      </c>
      <c r="F2708" s="7" t="n">
        <f aca="false">C2708*D2708</f>
        <v>279</v>
      </c>
      <c r="G2708" s="7" t="n">
        <f aca="false">ROUND(F2708*0.2,2)</f>
        <v>55.8</v>
      </c>
      <c r="H2708" s="4" t="str">
        <f aca="false">IF(F2708&gt;500,"Yüksek",IF(F2708&gt;100,"Orta","Düşük"))</f>
        <v>Orta</v>
      </c>
    </row>
    <row r="2709" customFormat="false" ht="12.8" hidden="false" customHeight="false" outlineLevel="0" collapsed="false">
      <c r="A2709" s="4" t="s">
        <v>21</v>
      </c>
      <c r="B2709" s="4" t="s">
        <v>13</v>
      </c>
      <c r="C2709" s="4" t="n">
        <v>43</v>
      </c>
      <c r="D2709" s="5" t="n">
        <v>10.5</v>
      </c>
      <c r="E2709" s="6" t="n">
        <f aca="false">DATE(2024,7,19)</f>
        <v>45492</v>
      </c>
      <c r="F2709" s="7" t="n">
        <f aca="false">C2709*D2709</f>
        <v>451.5</v>
      </c>
      <c r="G2709" s="7" t="n">
        <f aca="false">ROUND(F2709*0.2,2)</f>
        <v>90.3</v>
      </c>
      <c r="H2709" s="4" t="str">
        <f aca="false">IF(F2709&gt;500,"Yüksek",IF(F2709&gt;100,"Orta","Düşük"))</f>
        <v>Orta</v>
      </c>
    </row>
    <row r="2710" customFormat="false" ht="12.8" hidden="false" customHeight="false" outlineLevel="0" collapsed="false">
      <c r="A2710" s="4" t="s">
        <v>22</v>
      </c>
      <c r="B2710" s="4" t="s">
        <v>15</v>
      </c>
      <c r="C2710" s="4" t="n">
        <v>50</v>
      </c>
      <c r="D2710" s="5" t="n">
        <v>13.25</v>
      </c>
      <c r="E2710" s="6" t="n">
        <f aca="false">DATE(2024,8,20)</f>
        <v>45524</v>
      </c>
      <c r="F2710" s="7" t="n">
        <f aca="false">C2710*D2710</f>
        <v>662.5</v>
      </c>
      <c r="G2710" s="7" t="n">
        <f aca="false">ROUND(F2710*0.2,2)</f>
        <v>132.5</v>
      </c>
      <c r="H2710" s="4" t="str">
        <f aca="false">IF(F2710&gt;500,"Yüksek",IF(F2710&gt;100,"Orta","Düşük"))</f>
        <v>Yüksek</v>
      </c>
    </row>
    <row r="2711" customFormat="false" ht="12.8" hidden="false" customHeight="false" outlineLevel="0" collapsed="false">
      <c r="A2711" s="4" t="s">
        <v>23</v>
      </c>
      <c r="B2711" s="4" t="s">
        <v>17</v>
      </c>
      <c r="C2711" s="4" t="n">
        <v>7</v>
      </c>
      <c r="D2711" s="5" t="n">
        <v>16</v>
      </c>
      <c r="E2711" s="6" t="n">
        <f aca="false">DATE(2024,9,21)</f>
        <v>45556</v>
      </c>
      <c r="F2711" s="7" t="n">
        <f aca="false">C2711*D2711</f>
        <v>112</v>
      </c>
      <c r="G2711" s="7" t="n">
        <f aca="false">ROUND(F2711*0.2,2)</f>
        <v>22.4</v>
      </c>
      <c r="H2711" s="4" t="str">
        <f aca="false">IF(F2711&gt;500,"Yüksek",IF(F2711&gt;100,"Orta","Düşük"))</f>
        <v>Orta</v>
      </c>
    </row>
    <row r="2712" customFormat="false" ht="12.8" hidden="false" customHeight="false" outlineLevel="0" collapsed="false">
      <c r="A2712" s="4" t="s">
        <v>24</v>
      </c>
      <c r="B2712" s="4" t="s">
        <v>19</v>
      </c>
      <c r="C2712" s="4" t="n">
        <v>14</v>
      </c>
      <c r="D2712" s="5" t="n">
        <v>18.75</v>
      </c>
      <c r="E2712" s="6" t="n">
        <f aca="false">DATE(2024,10,22)</f>
        <v>45587</v>
      </c>
      <c r="F2712" s="7" t="n">
        <f aca="false">C2712*D2712</f>
        <v>262.5</v>
      </c>
      <c r="G2712" s="7" t="n">
        <f aca="false">ROUND(F2712*0.2,2)</f>
        <v>52.5</v>
      </c>
      <c r="H2712" s="4" t="str">
        <f aca="false">IF(F2712&gt;500,"Yüksek",IF(F2712&gt;100,"Orta","Düşük"))</f>
        <v>Orta</v>
      </c>
    </row>
    <row r="2713" customFormat="false" ht="12.8" hidden="false" customHeight="false" outlineLevel="0" collapsed="false">
      <c r="A2713" s="4" t="s">
        <v>10</v>
      </c>
      <c r="B2713" s="4" t="s">
        <v>11</v>
      </c>
      <c r="C2713" s="4" t="n">
        <v>21</v>
      </c>
      <c r="D2713" s="5" t="n">
        <v>21.5</v>
      </c>
      <c r="E2713" s="6" t="n">
        <f aca="false">DATE(2024,11,23)</f>
        <v>45619</v>
      </c>
      <c r="F2713" s="7" t="n">
        <f aca="false">C2713*D2713</f>
        <v>451.5</v>
      </c>
      <c r="G2713" s="7" t="n">
        <f aca="false">ROUND(F2713*0.2,2)</f>
        <v>90.3</v>
      </c>
      <c r="H2713" s="4" t="str">
        <f aca="false">IF(F2713&gt;500,"Yüksek",IF(F2713&gt;100,"Orta","Düşük"))</f>
        <v>Orta</v>
      </c>
    </row>
    <row r="2714" customFormat="false" ht="12.8" hidden="false" customHeight="false" outlineLevel="0" collapsed="false">
      <c r="A2714" s="4" t="s">
        <v>12</v>
      </c>
      <c r="B2714" s="4" t="s">
        <v>13</v>
      </c>
      <c r="C2714" s="4" t="n">
        <v>28</v>
      </c>
      <c r="D2714" s="5" t="n">
        <v>24.25</v>
      </c>
      <c r="E2714" s="6" t="n">
        <f aca="false">DATE(2024,12,24)</f>
        <v>45650</v>
      </c>
      <c r="F2714" s="7" t="n">
        <f aca="false">C2714*D2714</f>
        <v>679</v>
      </c>
      <c r="G2714" s="7" t="n">
        <f aca="false">ROUND(F2714*0.2,2)</f>
        <v>135.8</v>
      </c>
      <c r="H2714" s="4" t="str">
        <f aca="false">IF(F2714&gt;500,"Yüksek",IF(F2714&gt;100,"Orta","Düşük"))</f>
        <v>Yüksek</v>
      </c>
    </row>
    <row r="2715" customFormat="false" ht="12.8" hidden="false" customHeight="false" outlineLevel="0" collapsed="false">
      <c r="A2715" s="4" t="s">
        <v>14</v>
      </c>
      <c r="B2715" s="4" t="s">
        <v>15</v>
      </c>
      <c r="C2715" s="4" t="n">
        <v>35</v>
      </c>
      <c r="D2715" s="5" t="n">
        <v>27</v>
      </c>
      <c r="E2715" s="6" t="n">
        <f aca="false">DATE(2024,1,25)</f>
        <v>45316</v>
      </c>
      <c r="F2715" s="7" t="n">
        <f aca="false">C2715*D2715</f>
        <v>945</v>
      </c>
      <c r="G2715" s="7" t="n">
        <f aca="false">ROUND(F2715*0.2,2)</f>
        <v>189</v>
      </c>
      <c r="H2715" s="4" t="str">
        <f aca="false">IF(F2715&gt;500,"Yüksek",IF(F2715&gt;100,"Orta","Düşük"))</f>
        <v>Yüksek</v>
      </c>
    </row>
    <row r="2716" customFormat="false" ht="12.8" hidden="false" customHeight="false" outlineLevel="0" collapsed="false">
      <c r="A2716" s="4" t="s">
        <v>16</v>
      </c>
      <c r="B2716" s="4" t="s">
        <v>17</v>
      </c>
      <c r="C2716" s="4" t="n">
        <v>42</v>
      </c>
      <c r="D2716" s="5" t="n">
        <v>29.75</v>
      </c>
      <c r="E2716" s="6" t="n">
        <f aca="false">DATE(2024,2,26)</f>
        <v>45348</v>
      </c>
      <c r="F2716" s="7" t="n">
        <f aca="false">C2716*D2716</f>
        <v>1249.5</v>
      </c>
      <c r="G2716" s="7" t="n">
        <f aca="false">ROUND(F2716*0.2,2)</f>
        <v>249.9</v>
      </c>
      <c r="H2716" s="4" t="str">
        <f aca="false">IF(F2716&gt;500,"Yüksek",IF(F2716&gt;100,"Orta","Düşük"))</f>
        <v>Yüksek</v>
      </c>
    </row>
    <row r="2717" customFormat="false" ht="12.8" hidden="false" customHeight="false" outlineLevel="0" collapsed="false">
      <c r="A2717" s="4" t="s">
        <v>18</v>
      </c>
      <c r="B2717" s="4" t="s">
        <v>19</v>
      </c>
      <c r="C2717" s="4" t="n">
        <v>49</v>
      </c>
      <c r="D2717" s="5" t="n">
        <v>32.5</v>
      </c>
      <c r="E2717" s="6" t="n">
        <f aca="false">DATE(2024,3,27)</f>
        <v>45378</v>
      </c>
      <c r="F2717" s="7" t="n">
        <f aca="false">C2717*D2717</f>
        <v>1592.5</v>
      </c>
      <c r="G2717" s="7" t="n">
        <f aca="false">ROUND(F2717*0.2,2)</f>
        <v>318.5</v>
      </c>
      <c r="H2717" s="4" t="str">
        <f aca="false">IF(F2717&gt;500,"Yüksek",IF(F2717&gt;100,"Orta","Düşük"))</f>
        <v>Yüksek</v>
      </c>
    </row>
    <row r="2718" customFormat="false" ht="12.8" hidden="false" customHeight="false" outlineLevel="0" collapsed="false">
      <c r="A2718" s="4" t="s">
        <v>20</v>
      </c>
      <c r="B2718" s="4" t="s">
        <v>11</v>
      </c>
      <c r="C2718" s="4" t="n">
        <v>6</v>
      </c>
      <c r="D2718" s="5" t="n">
        <v>35.25</v>
      </c>
      <c r="E2718" s="6" t="n">
        <f aca="false">DATE(2024,4,28)</f>
        <v>45410</v>
      </c>
      <c r="F2718" s="7" t="n">
        <f aca="false">C2718*D2718</f>
        <v>211.5</v>
      </c>
      <c r="G2718" s="7" t="n">
        <f aca="false">ROUND(F2718*0.2,2)</f>
        <v>42.3</v>
      </c>
      <c r="H2718" s="4" t="str">
        <f aca="false">IF(F2718&gt;500,"Yüksek",IF(F2718&gt;100,"Orta","Düşük"))</f>
        <v>Orta</v>
      </c>
    </row>
    <row r="2719" customFormat="false" ht="12.8" hidden="false" customHeight="false" outlineLevel="0" collapsed="false">
      <c r="A2719" s="4" t="s">
        <v>21</v>
      </c>
      <c r="B2719" s="4" t="s">
        <v>13</v>
      </c>
      <c r="C2719" s="4" t="n">
        <v>13</v>
      </c>
      <c r="D2719" s="5" t="n">
        <v>38</v>
      </c>
      <c r="E2719" s="6" t="n">
        <f aca="false">DATE(2024,5,1)</f>
        <v>45413</v>
      </c>
      <c r="F2719" s="7" t="n">
        <f aca="false">C2719*D2719</f>
        <v>494</v>
      </c>
      <c r="G2719" s="7" t="n">
        <f aca="false">ROUND(F2719*0.2,2)</f>
        <v>98.8</v>
      </c>
      <c r="H2719" s="4" t="str">
        <f aca="false">IF(F2719&gt;500,"Yüksek",IF(F2719&gt;100,"Orta","Düşük"))</f>
        <v>Orta</v>
      </c>
    </row>
    <row r="2720" customFormat="false" ht="12.8" hidden="false" customHeight="false" outlineLevel="0" collapsed="false">
      <c r="A2720" s="4" t="s">
        <v>22</v>
      </c>
      <c r="B2720" s="4" t="s">
        <v>15</v>
      </c>
      <c r="C2720" s="4" t="n">
        <v>20</v>
      </c>
      <c r="D2720" s="5" t="n">
        <v>5</v>
      </c>
      <c r="E2720" s="6" t="n">
        <f aca="false">DATE(2024,6,2)</f>
        <v>45445</v>
      </c>
      <c r="F2720" s="7" t="n">
        <f aca="false">C2720*D2720</f>
        <v>100</v>
      </c>
      <c r="G2720" s="7" t="n">
        <f aca="false">ROUND(F2720*0.2,2)</f>
        <v>20</v>
      </c>
      <c r="H2720" s="4" t="str">
        <f aca="false">IF(F2720&gt;500,"Yüksek",IF(F2720&gt;100,"Orta","Düşük"))</f>
        <v>Düşük</v>
      </c>
    </row>
    <row r="2721" customFormat="false" ht="12.8" hidden="false" customHeight="false" outlineLevel="0" collapsed="false">
      <c r="A2721" s="4" t="s">
        <v>23</v>
      </c>
      <c r="B2721" s="4" t="s">
        <v>17</v>
      </c>
      <c r="C2721" s="4" t="n">
        <v>27</v>
      </c>
      <c r="D2721" s="5" t="n">
        <v>7.75</v>
      </c>
      <c r="E2721" s="6" t="n">
        <f aca="false">DATE(2024,7,3)</f>
        <v>45476</v>
      </c>
      <c r="F2721" s="7" t="n">
        <f aca="false">C2721*D2721</f>
        <v>209.25</v>
      </c>
      <c r="G2721" s="7" t="n">
        <f aca="false">ROUND(F2721*0.2,2)</f>
        <v>41.85</v>
      </c>
      <c r="H2721" s="4" t="str">
        <f aca="false">IF(F2721&gt;500,"Yüksek",IF(F2721&gt;100,"Orta","Düşük"))</f>
        <v>Orta</v>
      </c>
    </row>
    <row r="2722" customFormat="false" ht="12.8" hidden="false" customHeight="false" outlineLevel="0" collapsed="false">
      <c r="A2722" s="4" t="s">
        <v>24</v>
      </c>
      <c r="B2722" s="4" t="s">
        <v>19</v>
      </c>
      <c r="C2722" s="4" t="n">
        <v>34</v>
      </c>
      <c r="D2722" s="5" t="n">
        <v>10.5</v>
      </c>
      <c r="E2722" s="6" t="n">
        <f aca="false">DATE(2024,8,4)</f>
        <v>45508</v>
      </c>
      <c r="F2722" s="7" t="n">
        <f aca="false">C2722*D2722</f>
        <v>357</v>
      </c>
      <c r="G2722" s="7" t="n">
        <f aca="false">ROUND(F2722*0.2,2)</f>
        <v>71.4</v>
      </c>
      <c r="H2722" s="4" t="str">
        <f aca="false">IF(F2722&gt;500,"Yüksek",IF(F2722&gt;100,"Orta","Düşük"))</f>
        <v>Orta</v>
      </c>
    </row>
    <row r="2723" customFormat="false" ht="12.8" hidden="false" customHeight="false" outlineLevel="0" collapsed="false">
      <c r="A2723" s="4" t="s">
        <v>10</v>
      </c>
      <c r="B2723" s="4" t="s">
        <v>11</v>
      </c>
      <c r="C2723" s="4" t="n">
        <v>41</v>
      </c>
      <c r="D2723" s="5" t="n">
        <v>13.25</v>
      </c>
      <c r="E2723" s="6" t="n">
        <f aca="false">DATE(2024,9,5)</f>
        <v>45540</v>
      </c>
      <c r="F2723" s="7" t="n">
        <f aca="false">C2723*D2723</f>
        <v>543.25</v>
      </c>
      <c r="G2723" s="7" t="n">
        <f aca="false">ROUND(F2723*0.2,2)</f>
        <v>108.65</v>
      </c>
      <c r="H2723" s="4" t="str">
        <f aca="false">IF(F2723&gt;500,"Yüksek",IF(F2723&gt;100,"Orta","Düşük"))</f>
        <v>Yüksek</v>
      </c>
    </row>
    <row r="2724" customFormat="false" ht="12.8" hidden="false" customHeight="false" outlineLevel="0" collapsed="false">
      <c r="A2724" s="4" t="s">
        <v>12</v>
      </c>
      <c r="B2724" s="4" t="s">
        <v>13</v>
      </c>
      <c r="C2724" s="4" t="n">
        <v>48</v>
      </c>
      <c r="D2724" s="5" t="n">
        <v>16</v>
      </c>
      <c r="E2724" s="6" t="n">
        <f aca="false">DATE(2024,10,6)</f>
        <v>45571</v>
      </c>
      <c r="F2724" s="7" t="n">
        <f aca="false">C2724*D2724</f>
        <v>768</v>
      </c>
      <c r="G2724" s="7" t="n">
        <f aca="false">ROUND(F2724*0.2,2)</f>
        <v>153.6</v>
      </c>
      <c r="H2724" s="4" t="str">
        <f aca="false">IF(F2724&gt;500,"Yüksek",IF(F2724&gt;100,"Orta","Düşük"))</f>
        <v>Yüksek</v>
      </c>
    </row>
    <row r="2725" customFormat="false" ht="12.8" hidden="false" customHeight="false" outlineLevel="0" collapsed="false">
      <c r="A2725" s="4" t="s">
        <v>14</v>
      </c>
      <c r="B2725" s="4" t="s">
        <v>15</v>
      </c>
      <c r="C2725" s="4" t="n">
        <v>5</v>
      </c>
      <c r="D2725" s="5" t="n">
        <v>18.75</v>
      </c>
      <c r="E2725" s="6" t="n">
        <f aca="false">DATE(2024,11,7)</f>
        <v>45603</v>
      </c>
      <c r="F2725" s="7" t="n">
        <f aca="false">C2725*D2725</f>
        <v>93.75</v>
      </c>
      <c r="G2725" s="7" t="n">
        <f aca="false">ROUND(F2725*0.2,2)</f>
        <v>18.75</v>
      </c>
      <c r="H2725" s="4" t="str">
        <f aca="false">IF(F2725&gt;500,"Yüksek",IF(F2725&gt;100,"Orta","Düşük"))</f>
        <v>Düşük</v>
      </c>
    </row>
    <row r="2726" customFormat="false" ht="12.8" hidden="false" customHeight="false" outlineLevel="0" collapsed="false">
      <c r="A2726" s="4" t="s">
        <v>16</v>
      </c>
      <c r="B2726" s="4" t="s">
        <v>17</v>
      </c>
      <c r="C2726" s="4" t="n">
        <v>12</v>
      </c>
      <c r="D2726" s="5" t="n">
        <v>21.5</v>
      </c>
      <c r="E2726" s="6" t="n">
        <f aca="false">DATE(2024,12,8)</f>
        <v>45634</v>
      </c>
      <c r="F2726" s="7" t="n">
        <f aca="false">C2726*D2726</f>
        <v>258</v>
      </c>
      <c r="G2726" s="7" t="n">
        <f aca="false">ROUND(F2726*0.2,2)</f>
        <v>51.6</v>
      </c>
      <c r="H2726" s="4" t="str">
        <f aca="false">IF(F2726&gt;500,"Yüksek",IF(F2726&gt;100,"Orta","Düşük"))</f>
        <v>Orta</v>
      </c>
    </row>
    <row r="2727" customFormat="false" ht="12.8" hidden="false" customHeight="false" outlineLevel="0" collapsed="false">
      <c r="A2727" s="4" t="s">
        <v>18</v>
      </c>
      <c r="B2727" s="4" t="s">
        <v>19</v>
      </c>
      <c r="C2727" s="4" t="n">
        <v>19</v>
      </c>
      <c r="D2727" s="5" t="n">
        <v>24.25</v>
      </c>
      <c r="E2727" s="6" t="n">
        <f aca="false">DATE(2024,1,9)</f>
        <v>45300</v>
      </c>
      <c r="F2727" s="7" t="n">
        <f aca="false">C2727*D2727</f>
        <v>460.75</v>
      </c>
      <c r="G2727" s="7" t="n">
        <f aca="false">ROUND(F2727*0.2,2)</f>
        <v>92.15</v>
      </c>
      <c r="H2727" s="4" t="str">
        <f aca="false">IF(F2727&gt;500,"Yüksek",IF(F2727&gt;100,"Orta","Düşük"))</f>
        <v>Orta</v>
      </c>
    </row>
    <row r="2728" customFormat="false" ht="12.8" hidden="false" customHeight="false" outlineLevel="0" collapsed="false">
      <c r="A2728" s="4" t="s">
        <v>20</v>
      </c>
      <c r="B2728" s="4" t="s">
        <v>11</v>
      </c>
      <c r="C2728" s="4" t="n">
        <v>26</v>
      </c>
      <c r="D2728" s="5" t="n">
        <v>27</v>
      </c>
      <c r="E2728" s="6" t="n">
        <f aca="false">DATE(2024,2,10)</f>
        <v>45332</v>
      </c>
      <c r="F2728" s="7" t="n">
        <f aca="false">C2728*D2728</f>
        <v>702</v>
      </c>
      <c r="G2728" s="7" t="n">
        <f aca="false">ROUND(F2728*0.2,2)</f>
        <v>140.4</v>
      </c>
      <c r="H2728" s="4" t="str">
        <f aca="false">IF(F2728&gt;500,"Yüksek",IF(F2728&gt;100,"Orta","Düşük"))</f>
        <v>Yüksek</v>
      </c>
    </row>
    <row r="2729" customFormat="false" ht="12.8" hidden="false" customHeight="false" outlineLevel="0" collapsed="false">
      <c r="A2729" s="4" t="s">
        <v>21</v>
      </c>
      <c r="B2729" s="4" t="s">
        <v>13</v>
      </c>
      <c r="C2729" s="4" t="n">
        <v>33</v>
      </c>
      <c r="D2729" s="5" t="n">
        <v>29.75</v>
      </c>
      <c r="E2729" s="6" t="n">
        <f aca="false">DATE(2024,3,11)</f>
        <v>45362</v>
      </c>
      <c r="F2729" s="7" t="n">
        <f aca="false">C2729*D2729</f>
        <v>981.75</v>
      </c>
      <c r="G2729" s="7" t="n">
        <f aca="false">ROUND(F2729*0.2,2)</f>
        <v>196.35</v>
      </c>
      <c r="H2729" s="4" t="str">
        <f aca="false">IF(F2729&gt;500,"Yüksek",IF(F2729&gt;100,"Orta","Düşük"))</f>
        <v>Yüksek</v>
      </c>
    </row>
    <row r="2730" customFormat="false" ht="12.8" hidden="false" customHeight="false" outlineLevel="0" collapsed="false">
      <c r="A2730" s="4" t="s">
        <v>22</v>
      </c>
      <c r="B2730" s="4" t="s">
        <v>15</v>
      </c>
      <c r="C2730" s="4" t="n">
        <v>40</v>
      </c>
      <c r="D2730" s="5" t="n">
        <v>32.5</v>
      </c>
      <c r="E2730" s="6" t="n">
        <f aca="false">DATE(2024,4,12)</f>
        <v>45394</v>
      </c>
      <c r="F2730" s="7" t="n">
        <f aca="false">C2730*D2730</f>
        <v>1300</v>
      </c>
      <c r="G2730" s="7" t="n">
        <f aca="false">ROUND(F2730*0.2,2)</f>
        <v>260</v>
      </c>
      <c r="H2730" s="4" t="str">
        <f aca="false">IF(F2730&gt;500,"Yüksek",IF(F2730&gt;100,"Orta","Düşük"))</f>
        <v>Yüksek</v>
      </c>
    </row>
    <row r="2731" customFormat="false" ht="12.8" hidden="false" customHeight="false" outlineLevel="0" collapsed="false">
      <c r="A2731" s="4" t="s">
        <v>23</v>
      </c>
      <c r="B2731" s="4" t="s">
        <v>17</v>
      </c>
      <c r="C2731" s="4" t="n">
        <v>47</v>
      </c>
      <c r="D2731" s="5" t="n">
        <v>35.25</v>
      </c>
      <c r="E2731" s="6" t="n">
        <f aca="false">DATE(2024,5,13)</f>
        <v>45425</v>
      </c>
      <c r="F2731" s="7" t="n">
        <f aca="false">C2731*D2731</f>
        <v>1656.75</v>
      </c>
      <c r="G2731" s="7" t="n">
        <f aca="false">ROUND(F2731*0.2,2)</f>
        <v>331.35</v>
      </c>
      <c r="H2731" s="4" t="str">
        <f aca="false">IF(F2731&gt;500,"Yüksek",IF(F2731&gt;100,"Orta","Düşük"))</f>
        <v>Yüksek</v>
      </c>
    </row>
    <row r="2732" customFormat="false" ht="12.8" hidden="false" customHeight="false" outlineLevel="0" collapsed="false">
      <c r="A2732" s="4" t="s">
        <v>24</v>
      </c>
      <c r="B2732" s="4" t="s">
        <v>19</v>
      </c>
      <c r="C2732" s="4" t="n">
        <v>4</v>
      </c>
      <c r="D2732" s="5" t="n">
        <v>38</v>
      </c>
      <c r="E2732" s="6" t="n">
        <f aca="false">DATE(2024,6,14)</f>
        <v>45457</v>
      </c>
      <c r="F2732" s="7" t="n">
        <f aca="false">C2732*D2732</f>
        <v>152</v>
      </c>
      <c r="G2732" s="7" t="n">
        <f aca="false">ROUND(F2732*0.2,2)</f>
        <v>30.4</v>
      </c>
      <c r="H2732" s="4" t="str">
        <f aca="false">IF(F2732&gt;500,"Yüksek",IF(F2732&gt;100,"Orta","Düşük"))</f>
        <v>Orta</v>
      </c>
    </row>
    <row r="2733" customFormat="false" ht="12.8" hidden="false" customHeight="false" outlineLevel="0" collapsed="false">
      <c r="A2733" s="4" t="s">
        <v>10</v>
      </c>
      <c r="B2733" s="4" t="s">
        <v>11</v>
      </c>
      <c r="C2733" s="4" t="n">
        <v>11</v>
      </c>
      <c r="D2733" s="5" t="n">
        <v>5</v>
      </c>
      <c r="E2733" s="6" t="n">
        <f aca="false">DATE(2024,7,15)</f>
        <v>45488</v>
      </c>
      <c r="F2733" s="7" t="n">
        <f aca="false">C2733*D2733</f>
        <v>55</v>
      </c>
      <c r="G2733" s="7" t="n">
        <f aca="false">ROUND(F2733*0.2,2)</f>
        <v>11</v>
      </c>
      <c r="H2733" s="4" t="str">
        <f aca="false">IF(F2733&gt;500,"Yüksek",IF(F2733&gt;100,"Orta","Düşük"))</f>
        <v>Düşük</v>
      </c>
    </row>
    <row r="2734" customFormat="false" ht="12.8" hidden="false" customHeight="false" outlineLevel="0" collapsed="false">
      <c r="A2734" s="4" t="s">
        <v>12</v>
      </c>
      <c r="B2734" s="4" t="s">
        <v>13</v>
      </c>
      <c r="C2734" s="4" t="n">
        <v>18</v>
      </c>
      <c r="D2734" s="5" t="n">
        <v>7.75</v>
      </c>
      <c r="E2734" s="6" t="n">
        <f aca="false">DATE(2024,8,16)</f>
        <v>45520</v>
      </c>
      <c r="F2734" s="7" t="n">
        <f aca="false">C2734*D2734</f>
        <v>139.5</v>
      </c>
      <c r="G2734" s="7" t="n">
        <f aca="false">ROUND(F2734*0.2,2)</f>
        <v>27.9</v>
      </c>
      <c r="H2734" s="4" t="str">
        <f aca="false">IF(F2734&gt;500,"Yüksek",IF(F2734&gt;100,"Orta","Düşük"))</f>
        <v>Orta</v>
      </c>
    </row>
    <row r="2735" customFormat="false" ht="12.8" hidden="false" customHeight="false" outlineLevel="0" collapsed="false">
      <c r="A2735" s="4" t="s">
        <v>14</v>
      </c>
      <c r="B2735" s="4" t="s">
        <v>15</v>
      </c>
      <c r="C2735" s="4" t="n">
        <v>25</v>
      </c>
      <c r="D2735" s="5" t="n">
        <v>10.5</v>
      </c>
      <c r="E2735" s="6" t="n">
        <f aca="false">DATE(2024,9,17)</f>
        <v>45552</v>
      </c>
      <c r="F2735" s="7" t="n">
        <f aca="false">C2735*D2735</f>
        <v>262.5</v>
      </c>
      <c r="G2735" s="7" t="n">
        <f aca="false">ROUND(F2735*0.2,2)</f>
        <v>52.5</v>
      </c>
      <c r="H2735" s="4" t="str">
        <f aca="false">IF(F2735&gt;500,"Yüksek",IF(F2735&gt;100,"Orta","Düşük"))</f>
        <v>Orta</v>
      </c>
    </row>
    <row r="2736" customFormat="false" ht="12.8" hidden="false" customHeight="false" outlineLevel="0" collapsed="false">
      <c r="A2736" s="4" t="s">
        <v>16</v>
      </c>
      <c r="B2736" s="4" t="s">
        <v>17</v>
      </c>
      <c r="C2736" s="4" t="n">
        <v>32</v>
      </c>
      <c r="D2736" s="5" t="n">
        <v>13.25</v>
      </c>
      <c r="E2736" s="6" t="n">
        <f aca="false">DATE(2024,10,18)</f>
        <v>45583</v>
      </c>
      <c r="F2736" s="7" t="n">
        <f aca="false">C2736*D2736</f>
        <v>424</v>
      </c>
      <c r="G2736" s="7" t="n">
        <f aca="false">ROUND(F2736*0.2,2)</f>
        <v>84.8</v>
      </c>
      <c r="H2736" s="4" t="str">
        <f aca="false">IF(F2736&gt;500,"Yüksek",IF(F2736&gt;100,"Orta","Düşük"))</f>
        <v>Orta</v>
      </c>
    </row>
    <row r="2737" customFormat="false" ht="12.8" hidden="false" customHeight="false" outlineLevel="0" collapsed="false">
      <c r="A2737" s="4" t="s">
        <v>18</v>
      </c>
      <c r="B2737" s="4" t="s">
        <v>19</v>
      </c>
      <c r="C2737" s="4" t="n">
        <v>39</v>
      </c>
      <c r="D2737" s="5" t="n">
        <v>16</v>
      </c>
      <c r="E2737" s="6" t="n">
        <f aca="false">DATE(2024,11,19)</f>
        <v>45615</v>
      </c>
      <c r="F2737" s="7" t="n">
        <f aca="false">C2737*D2737</f>
        <v>624</v>
      </c>
      <c r="G2737" s="7" t="n">
        <f aca="false">ROUND(F2737*0.2,2)</f>
        <v>124.8</v>
      </c>
      <c r="H2737" s="4" t="str">
        <f aca="false">IF(F2737&gt;500,"Yüksek",IF(F2737&gt;100,"Orta","Düşük"))</f>
        <v>Yüksek</v>
      </c>
    </row>
    <row r="2738" customFormat="false" ht="12.8" hidden="false" customHeight="false" outlineLevel="0" collapsed="false">
      <c r="A2738" s="4" t="s">
        <v>20</v>
      </c>
      <c r="B2738" s="4" t="s">
        <v>11</v>
      </c>
      <c r="C2738" s="4" t="n">
        <v>46</v>
      </c>
      <c r="D2738" s="5" t="n">
        <v>18.75</v>
      </c>
      <c r="E2738" s="6" t="n">
        <f aca="false">DATE(2024,12,20)</f>
        <v>45646</v>
      </c>
      <c r="F2738" s="7" t="n">
        <f aca="false">C2738*D2738</f>
        <v>862.5</v>
      </c>
      <c r="G2738" s="7" t="n">
        <f aca="false">ROUND(F2738*0.2,2)</f>
        <v>172.5</v>
      </c>
      <c r="H2738" s="4" t="str">
        <f aca="false">IF(F2738&gt;500,"Yüksek",IF(F2738&gt;100,"Orta","Düşük"))</f>
        <v>Yüksek</v>
      </c>
    </row>
    <row r="2739" customFormat="false" ht="12.8" hidden="false" customHeight="false" outlineLevel="0" collapsed="false">
      <c r="A2739" s="4" t="s">
        <v>21</v>
      </c>
      <c r="B2739" s="4" t="s">
        <v>13</v>
      </c>
      <c r="C2739" s="4" t="n">
        <v>3</v>
      </c>
      <c r="D2739" s="5" t="n">
        <v>21.5</v>
      </c>
      <c r="E2739" s="6" t="n">
        <f aca="false">DATE(2024,1,21)</f>
        <v>45312</v>
      </c>
      <c r="F2739" s="7" t="n">
        <f aca="false">C2739*D2739</f>
        <v>64.5</v>
      </c>
      <c r="G2739" s="7" t="n">
        <f aca="false">ROUND(F2739*0.2,2)</f>
        <v>12.9</v>
      </c>
      <c r="H2739" s="4" t="str">
        <f aca="false">IF(F2739&gt;500,"Yüksek",IF(F2739&gt;100,"Orta","Düşük"))</f>
        <v>Düşük</v>
      </c>
    </row>
    <row r="2740" customFormat="false" ht="12.8" hidden="false" customHeight="false" outlineLevel="0" collapsed="false">
      <c r="A2740" s="4" t="s">
        <v>22</v>
      </c>
      <c r="B2740" s="4" t="s">
        <v>15</v>
      </c>
      <c r="C2740" s="4" t="n">
        <v>10</v>
      </c>
      <c r="D2740" s="5" t="n">
        <v>24.25</v>
      </c>
      <c r="E2740" s="6" t="n">
        <f aca="false">DATE(2024,2,22)</f>
        <v>45344</v>
      </c>
      <c r="F2740" s="7" t="n">
        <f aca="false">C2740*D2740</f>
        <v>242.5</v>
      </c>
      <c r="G2740" s="7" t="n">
        <f aca="false">ROUND(F2740*0.2,2)</f>
        <v>48.5</v>
      </c>
      <c r="H2740" s="4" t="str">
        <f aca="false">IF(F2740&gt;500,"Yüksek",IF(F2740&gt;100,"Orta","Düşük"))</f>
        <v>Orta</v>
      </c>
    </row>
    <row r="2741" customFormat="false" ht="12.8" hidden="false" customHeight="false" outlineLevel="0" collapsed="false">
      <c r="A2741" s="4" t="s">
        <v>23</v>
      </c>
      <c r="B2741" s="4" t="s">
        <v>17</v>
      </c>
      <c r="C2741" s="4" t="n">
        <v>17</v>
      </c>
      <c r="D2741" s="5" t="n">
        <v>27</v>
      </c>
      <c r="E2741" s="6" t="n">
        <f aca="false">DATE(2024,3,23)</f>
        <v>45374</v>
      </c>
      <c r="F2741" s="7" t="n">
        <f aca="false">C2741*D2741</f>
        <v>459</v>
      </c>
      <c r="G2741" s="7" t="n">
        <f aca="false">ROUND(F2741*0.2,2)</f>
        <v>91.8</v>
      </c>
      <c r="H2741" s="4" t="str">
        <f aca="false">IF(F2741&gt;500,"Yüksek",IF(F2741&gt;100,"Orta","Düşük"))</f>
        <v>Orta</v>
      </c>
    </row>
    <row r="2742" customFormat="false" ht="12.8" hidden="false" customHeight="false" outlineLevel="0" collapsed="false">
      <c r="A2742" s="4" t="s">
        <v>24</v>
      </c>
      <c r="B2742" s="4" t="s">
        <v>19</v>
      </c>
      <c r="C2742" s="4" t="n">
        <v>24</v>
      </c>
      <c r="D2742" s="5" t="n">
        <v>29.75</v>
      </c>
      <c r="E2742" s="6" t="n">
        <f aca="false">DATE(2024,4,24)</f>
        <v>45406</v>
      </c>
      <c r="F2742" s="7" t="n">
        <f aca="false">C2742*D2742</f>
        <v>714</v>
      </c>
      <c r="G2742" s="7" t="n">
        <f aca="false">ROUND(F2742*0.2,2)</f>
        <v>142.8</v>
      </c>
      <c r="H2742" s="4" t="str">
        <f aca="false">IF(F2742&gt;500,"Yüksek",IF(F2742&gt;100,"Orta","Düşük"))</f>
        <v>Yüksek</v>
      </c>
    </row>
    <row r="2743" customFormat="false" ht="12.8" hidden="false" customHeight="false" outlineLevel="0" collapsed="false">
      <c r="A2743" s="4" t="s">
        <v>10</v>
      </c>
      <c r="B2743" s="4" t="s">
        <v>11</v>
      </c>
      <c r="C2743" s="4" t="n">
        <v>31</v>
      </c>
      <c r="D2743" s="5" t="n">
        <v>32.5</v>
      </c>
      <c r="E2743" s="6" t="n">
        <f aca="false">DATE(2024,5,25)</f>
        <v>45437</v>
      </c>
      <c r="F2743" s="7" t="n">
        <f aca="false">C2743*D2743</f>
        <v>1007.5</v>
      </c>
      <c r="G2743" s="7" t="n">
        <f aca="false">ROUND(F2743*0.2,2)</f>
        <v>201.5</v>
      </c>
      <c r="H2743" s="4" t="str">
        <f aca="false">IF(F2743&gt;500,"Yüksek",IF(F2743&gt;100,"Orta","Düşük"))</f>
        <v>Yüksek</v>
      </c>
    </row>
    <row r="2744" customFormat="false" ht="12.8" hidden="false" customHeight="false" outlineLevel="0" collapsed="false">
      <c r="A2744" s="4" t="s">
        <v>12</v>
      </c>
      <c r="B2744" s="4" t="s">
        <v>13</v>
      </c>
      <c r="C2744" s="4" t="n">
        <v>38</v>
      </c>
      <c r="D2744" s="5" t="n">
        <v>35.25</v>
      </c>
      <c r="E2744" s="6" t="n">
        <f aca="false">DATE(2024,6,26)</f>
        <v>45469</v>
      </c>
      <c r="F2744" s="7" t="n">
        <f aca="false">C2744*D2744</f>
        <v>1339.5</v>
      </c>
      <c r="G2744" s="7" t="n">
        <f aca="false">ROUND(F2744*0.2,2)</f>
        <v>267.9</v>
      </c>
      <c r="H2744" s="4" t="str">
        <f aca="false">IF(F2744&gt;500,"Yüksek",IF(F2744&gt;100,"Orta","Düşük"))</f>
        <v>Yüksek</v>
      </c>
    </row>
    <row r="2745" customFormat="false" ht="12.8" hidden="false" customHeight="false" outlineLevel="0" collapsed="false">
      <c r="A2745" s="4" t="s">
        <v>14</v>
      </c>
      <c r="B2745" s="4" t="s">
        <v>15</v>
      </c>
      <c r="C2745" s="4" t="n">
        <v>45</v>
      </c>
      <c r="D2745" s="5" t="n">
        <v>38</v>
      </c>
      <c r="E2745" s="6" t="n">
        <f aca="false">DATE(2024,7,27)</f>
        <v>45500</v>
      </c>
      <c r="F2745" s="7" t="n">
        <f aca="false">C2745*D2745</f>
        <v>1710</v>
      </c>
      <c r="G2745" s="7" t="n">
        <f aca="false">ROUND(F2745*0.2,2)</f>
        <v>342</v>
      </c>
      <c r="H2745" s="4" t="str">
        <f aca="false">IF(F2745&gt;500,"Yüksek",IF(F2745&gt;100,"Orta","Düşük"))</f>
        <v>Yüksek</v>
      </c>
    </row>
    <row r="2746" customFormat="false" ht="12.8" hidden="false" customHeight="false" outlineLevel="0" collapsed="false">
      <c r="A2746" s="4" t="s">
        <v>16</v>
      </c>
      <c r="B2746" s="4" t="s">
        <v>17</v>
      </c>
      <c r="C2746" s="4" t="n">
        <v>2</v>
      </c>
      <c r="D2746" s="5" t="n">
        <v>5</v>
      </c>
      <c r="E2746" s="6" t="n">
        <f aca="false">DATE(2024,8,28)</f>
        <v>45532</v>
      </c>
      <c r="F2746" s="7" t="n">
        <f aca="false">C2746*D2746</f>
        <v>10</v>
      </c>
      <c r="G2746" s="7" t="n">
        <f aca="false">ROUND(F2746*0.2,2)</f>
        <v>2</v>
      </c>
      <c r="H2746" s="4" t="str">
        <f aca="false">IF(F2746&gt;500,"Yüksek",IF(F2746&gt;100,"Orta","Düşük"))</f>
        <v>Düşük</v>
      </c>
    </row>
    <row r="2747" customFormat="false" ht="12.8" hidden="false" customHeight="false" outlineLevel="0" collapsed="false">
      <c r="A2747" s="4" t="s">
        <v>18</v>
      </c>
      <c r="B2747" s="4" t="s">
        <v>19</v>
      </c>
      <c r="C2747" s="4" t="n">
        <v>9</v>
      </c>
      <c r="D2747" s="5" t="n">
        <v>7.75</v>
      </c>
      <c r="E2747" s="6" t="n">
        <f aca="false">DATE(2024,9,1)</f>
        <v>45536</v>
      </c>
      <c r="F2747" s="7" t="n">
        <f aca="false">C2747*D2747</f>
        <v>69.75</v>
      </c>
      <c r="G2747" s="7" t="n">
        <f aca="false">ROUND(F2747*0.2,2)</f>
        <v>13.95</v>
      </c>
      <c r="H2747" s="4" t="str">
        <f aca="false">IF(F2747&gt;500,"Yüksek",IF(F2747&gt;100,"Orta","Düşük"))</f>
        <v>Düşük</v>
      </c>
    </row>
    <row r="2748" customFormat="false" ht="12.8" hidden="false" customHeight="false" outlineLevel="0" collapsed="false">
      <c r="A2748" s="4" t="s">
        <v>20</v>
      </c>
      <c r="B2748" s="4" t="s">
        <v>11</v>
      </c>
      <c r="C2748" s="4" t="n">
        <v>16</v>
      </c>
      <c r="D2748" s="5" t="n">
        <v>10.5</v>
      </c>
      <c r="E2748" s="6" t="n">
        <f aca="false">DATE(2024,10,2)</f>
        <v>45567</v>
      </c>
      <c r="F2748" s="7" t="n">
        <f aca="false">C2748*D2748</f>
        <v>168</v>
      </c>
      <c r="G2748" s="7" t="n">
        <f aca="false">ROUND(F2748*0.2,2)</f>
        <v>33.6</v>
      </c>
      <c r="H2748" s="4" t="str">
        <f aca="false">IF(F2748&gt;500,"Yüksek",IF(F2748&gt;100,"Orta","Düşük"))</f>
        <v>Orta</v>
      </c>
    </row>
    <row r="2749" customFormat="false" ht="12.8" hidden="false" customHeight="false" outlineLevel="0" collapsed="false">
      <c r="A2749" s="4" t="s">
        <v>21</v>
      </c>
      <c r="B2749" s="4" t="s">
        <v>13</v>
      </c>
      <c r="C2749" s="4" t="n">
        <v>23</v>
      </c>
      <c r="D2749" s="5" t="n">
        <v>13.25</v>
      </c>
      <c r="E2749" s="6" t="n">
        <f aca="false">DATE(2024,11,3)</f>
        <v>45599</v>
      </c>
      <c r="F2749" s="7" t="n">
        <f aca="false">C2749*D2749</f>
        <v>304.75</v>
      </c>
      <c r="G2749" s="7" t="n">
        <f aca="false">ROUND(F2749*0.2,2)</f>
        <v>60.95</v>
      </c>
      <c r="H2749" s="4" t="str">
        <f aca="false">IF(F2749&gt;500,"Yüksek",IF(F2749&gt;100,"Orta","Düşük"))</f>
        <v>Orta</v>
      </c>
    </row>
    <row r="2750" customFormat="false" ht="12.8" hidden="false" customHeight="false" outlineLevel="0" collapsed="false">
      <c r="A2750" s="4" t="s">
        <v>22</v>
      </c>
      <c r="B2750" s="4" t="s">
        <v>15</v>
      </c>
      <c r="C2750" s="4" t="n">
        <v>30</v>
      </c>
      <c r="D2750" s="5" t="n">
        <v>16</v>
      </c>
      <c r="E2750" s="6" t="n">
        <f aca="false">DATE(2024,12,4)</f>
        <v>45630</v>
      </c>
      <c r="F2750" s="7" t="n">
        <f aca="false">C2750*D2750</f>
        <v>480</v>
      </c>
      <c r="G2750" s="7" t="n">
        <f aca="false">ROUND(F2750*0.2,2)</f>
        <v>96</v>
      </c>
      <c r="H2750" s="4" t="str">
        <f aca="false">IF(F2750&gt;500,"Yüksek",IF(F2750&gt;100,"Orta","Düşük"))</f>
        <v>Orta</v>
      </c>
    </row>
    <row r="2751" customFormat="false" ht="12.8" hidden="false" customHeight="false" outlineLevel="0" collapsed="false">
      <c r="A2751" s="4" t="s">
        <v>23</v>
      </c>
      <c r="B2751" s="4" t="s">
        <v>17</v>
      </c>
      <c r="C2751" s="4" t="n">
        <v>37</v>
      </c>
      <c r="D2751" s="5" t="n">
        <v>18.75</v>
      </c>
      <c r="E2751" s="6" t="n">
        <f aca="false">DATE(2024,1,5)</f>
        <v>45296</v>
      </c>
      <c r="F2751" s="7" t="n">
        <f aca="false">C2751*D2751</f>
        <v>693.75</v>
      </c>
      <c r="G2751" s="7" t="n">
        <f aca="false">ROUND(F2751*0.2,2)</f>
        <v>138.75</v>
      </c>
      <c r="H2751" s="4" t="str">
        <f aca="false">IF(F2751&gt;500,"Yüksek",IF(F2751&gt;100,"Orta","Düşük"))</f>
        <v>Yüksek</v>
      </c>
    </row>
    <row r="2752" customFormat="false" ht="12.8" hidden="false" customHeight="false" outlineLevel="0" collapsed="false">
      <c r="A2752" s="4" t="s">
        <v>24</v>
      </c>
      <c r="B2752" s="4" t="s">
        <v>19</v>
      </c>
      <c r="C2752" s="4" t="n">
        <v>44</v>
      </c>
      <c r="D2752" s="5" t="n">
        <v>21.5</v>
      </c>
      <c r="E2752" s="6" t="n">
        <f aca="false">DATE(2024,2,6)</f>
        <v>45328</v>
      </c>
      <c r="F2752" s="7" t="n">
        <f aca="false">C2752*D2752</f>
        <v>946</v>
      </c>
      <c r="G2752" s="7" t="n">
        <f aca="false">ROUND(F2752*0.2,2)</f>
        <v>189.2</v>
      </c>
      <c r="H2752" s="4" t="str">
        <f aca="false">IF(F2752&gt;500,"Yüksek",IF(F2752&gt;100,"Orta","Düşük"))</f>
        <v>Yüksek</v>
      </c>
    </row>
    <row r="2753" customFormat="false" ht="12.8" hidden="false" customHeight="false" outlineLevel="0" collapsed="false">
      <c r="A2753" s="4" t="s">
        <v>10</v>
      </c>
      <c r="B2753" s="4" t="s">
        <v>11</v>
      </c>
      <c r="C2753" s="4" t="n">
        <v>1</v>
      </c>
      <c r="D2753" s="5" t="n">
        <v>24.25</v>
      </c>
      <c r="E2753" s="6" t="n">
        <f aca="false">DATE(2024,3,7)</f>
        <v>45358</v>
      </c>
      <c r="F2753" s="7" t="n">
        <f aca="false">C2753*D2753</f>
        <v>24.25</v>
      </c>
      <c r="G2753" s="7" t="n">
        <f aca="false">ROUND(F2753*0.2,2)</f>
        <v>4.85</v>
      </c>
      <c r="H2753" s="4" t="str">
        <f aca="false">IF(F2753&gt;500,"Yüksek",IF(F2753&gt;100,"Orta","Düşük"))</f>
        <v>Düşük</v>
      </c>
    </row>
    <row r="2754" customFormat="false" ht="12.8" hidden="false" customHeight="false" outlineLevel="0" collapsed="false">
      <c r="A2754" s="4" t="s">
        <v>12</v>
      </c>
      <c r="B2754" s="4" t="s">
        <v>13</v>
      </c>
      <c r="C2754" s="4" t="n">
        <v>8</v>
      </c>
      <c r="D2754" s="5" t="n">
        <v>27</v>
      </c>
      <c r="E2754" s="6" t="n">
        <f aca="false">DATE(2024,4,8)</f>
        <v>45390</v>
      </c>
      <c r="F2754" s="7" t="n">
        <f aca="false">C2754*D2754</f>
        <v>216</v>
      </c>
      <c r="G2754" s="7" t="n">
        <f aca="false">ROUND(F2754*0.2,2)</f>
        <v>43.2</v>
      </c>
      <c r="H2754" s="4" t="str">
        <f aca="false">IF(F2754&gt;500,"Yüksek",IF(F2754&gt;100,"Orta","Düşük"))</f>
        <v>Orta</v>
      </c>
    </row>
    <row r="2755" customFormat="false" ht="12.8" hidden="false" customHeight="false" outlineLevel="0" collapsed="false">
      <c r="A2755" s="4" t="s">
        <v>14</v>
      </c>
      <c r="B2755" s="4" t="s">
        <v>15</v>
      </c>
      <c r="C2755" s="4" t="n">
        <v>15</v>
      </c>
      <c r="D2755" s="5" t="n">
        <v>29.75</v>
      </c>
      <c r="E2755" s="6" t="n">
        <f aca="false">DATE(2024,5,9)</f>
        <v>45421</v>
      </c>
      <c r="F2755" s="7" t="n">
        <f aca="false">C2755*D2755</f>
        <v>446.25</v>
      </c>
      <c r="G2755" s="7" t="n">
        <f aca="false">ROUND(F2755*0.2,2)</f>
        <v>89.25</v>
      </c>
      <c r="H2755" s="4" t="str">
        <f aca="false">IF(F2755&gt;500,"Yüksek",IF(F2755&gt;100,"Orta","Düşük"))</f>
        <v>Orta</v>
      </c>
    </row>
    <row r="2756" customFormat="false" ht="12.8" hidden="false" customHeight="false" outlineLevel="0" collapsed="false">
      <c r="A2756" s="4" t="s">
        <v>16</v>
      </c>
      <c r="B2756" s="4" t="s">
        <v>17</v>
      </c>
      <c r="C2756" s="4" t="n">
        <v>22</v>
      </c>
      <c r="D2756" s="5" t="n">
        <v>32.5</v>
      </c>
      <c r="E2756" s="6" t="n">
        <f aca="false">DATE(2024,6,10)</f>
        <v>45453</v>
      </c>
      <c r="F2756" s="7" t="n">
        <f aca="false">C2756*D2756</f>
        <v>715</v>
      </c>
      <c r="G2756" s="7" t="n">
        <f aca="false">ROUND(F2756*0.2,2)</f>
        <v>143</v>
      </c>
      <c r="H2756" s="4" t="str">
        <f aca="false">IF(F2756&gt;500,"Yüksek",IF(F2756&gt;100,"Orta","Düşük"))</f>
        <v>Yüksek</v>
      </c>
    </row>
    <row r="2757" customFormat="false" ht="12.8" hidden="false" customHeight="false" outlineLevel="0" collapsed="false">
      <c r="A2757" s="4" t="s">
        <v>18</v>
      </c>
      <c r="B2757" s="4" t="s">
        <v>19</v>
      </c>
      <c r="C2757" s="4" t="n">
        <v>29</v>
      </c>
      <c r="D2757" s="5" t="n">
        <v>35.25</v>
      </c>
      <c r="E2757" s="6" t="n">
        <f aca="false">DATE(2024,7,11)</f>
        <v>45484</v>
      </c>
      <c r="F2757" s="7" t="n">
        <f aca="false">C2757*D2757</f>
        <v>1022.25</v>
      </c>
      <c r="G2757" s="7" t="n">
        <f aca="false">ROUND(F2757*0.2,2)</f>
        <v>204.45</v>
      </c>
      <c r="H2757" s="4" t="str">
        <f aca="false">IF(F2757&gt;500,"Yüksek",IF(F2757&gt;100,"Orta","Düşük"))</f>
        <v>Yüksek</v>
      </c>
    </row>
    <row r="2758" customFormat="false" ht="12.8" hidden="false" customHeight="false" outlineLevel="0" collapsed="false">
      <c r="A2758" s="4" t="s">
        <v>20</v>
      </c>
      <c r="B2758" s="4" t="s">
        <v>11</v>
      </c>
      <c r="C2758" s="4" t="n">
        <v>36</v>
      </c>
      <c r="D2758" s="5" t="n">
        <v>38</v>
      </c>
      <c r="E2758" s="6" t="n">
        <f aca="false">DATE(2024,8,12)</f>
        <v>45516</v>
      </c>
      <c r="F2758" s="7" t="n">
        <f aca="false">C2758*D2758</f>
        <v>1368</v>
      </c>
      <c r="G2758" s="7" t="n">
        <f aca="false">ROUND(F2758*0.2,2)</f>
        <v>273.6</v>
      </c>
      <c r="H2758" s="4" t="str">
        <f aca="false">IF(F2758&gt;500,"Yüksek",IF(F2758&gt;100,"Orta","Düşük"))</f>
        <v>Yüksek</v>
      </c>
    </row>
    <row r="2759" customFormat="false" ht="12.8" hidden="false" customHeight="false" outlineLevel="0" collapsed="false">
      <c r="A2759" s="4" t="s">
        <v>21</v>
      </c>
      <c r="B2759" s="4" t="s">
        <v>13</v>
      </c>
      <c r="C2759" s="4" t="n">
        <v>43</v>
      </c>
      <c r="D2759" s="5" t="n">
        <v>5</v>
      </c>
      <c r="E2759" s="6" t="n">
        <f aca="false">DATE(2024,9,13)</f>
        <v>45548</v>
      </c>
      <c r="F2759" s="7" t="n">
        <f aca="false">C2759*D2759</f>
        <v>215</v>
      </c>
      <c r="G2759" s="7" t="n">
        <f aca="false">ROUND(F2759*0.2,2)</f>
        <v>43</v>
      </c>
      <c r="H2759" s="4" t="str">
        <f aca="false">IF(F2759&gt;500,"Yüksek",IF(F2759&gt;100,"Orta","Düşük"))</f>
        <v>Orta</v>
      </c>
    </row>
    <row r="2760" customFormat="false" ht="12.8" hidden="false" customHeight="false" outlineLevel="0" collapsed="false">
      <c r="A2760" s="4" t="s">
        <v>22</v>
      </c>
      <c r="B2760" s="4" t="s">
        <v>15</v>
      </c>
      <c r="C2760" s="4" t="n">
        <v>50</v>
      </c>
      <c r="D2760" s="5" t="n">
        <v>7.75</v>
      </c>
      <c r="E2760" s="6" t="n">
        <f aca="false">DATE(2024,10,14)</f>
        <v>45579</v>
      </c>
      <c r="F2760" s="7" t="n">
        <f aca="false">C2760*D2760</f>
        <v>387.5</v>
      </c>
      <c r="G2760" s="7" t="n">
        <f aca="false">ROUND(F2760*0.2,2)</f>
        <v>77.5</v>
      </c>
      <c r="H2760" s="4" t="str">
        <f aca="false">IF(F2760&gt;500,"Yüksek",IF(F2760&gt;100,"Orta","Düşük"))</f>
        <v>Orta</v>
      </c>
    </row>
    <row r="2761" customFormat="false" ht="12.8" hidden="false" customHeight="false" outlineLevel="0" collapsed="false">
      <c r="A2761" s="4" t="s">
        <v>23</v>
      </c>
      <c r="B2761" s="4" t="s">
        <v>17</v>
      </c>
      <c r="C2761" s="4" t="n">
        <v>7</v>
      </c>
      <c r="D2761" s="5" t="n">
        <v>10.5</v>
      </c>
      <c r="E2761" s="6" t="n">
        <f aca="false">DATE(2024,11,15)</f>
        <v>45611</v>
      </c>
      <c r="F2761" s="7" t="n">
        <f aca="false">C2761*D2761</f>
        <v>73.5</v>
      </c>
      <c r="G2761" s="7" t="n">
        <f aca="false">ROUND(F2761*0.2,2)</f>
        <v>14.7</v>
      </c>
      <c r="H2761" s="4" t="str">
        <f aca="false">IF(F2761&gt;500,"Yüksek",IF(F2761&gt;100,"Orta","Düşük"))</f>
        <v>Düşük</v>
      </c>
    </row>
    <row r="2762" customFormat="false" ht="12.8" hidden="false" customHeight="false" outlineLevel="0" collapsed="false">
      <c r="A2762" s="4" t="s">
        <v>24</v>
      </c>
      <c r="B2762" s="4" t="s">
        <v>19</v>
      </c>
      <c r="C2762" s="4" t="n">
        <v>14</v>
      </c>
      <c r="D2762" s="5" t="n">
        <v>13.25</v>
      </c>
      <c r="E2762" s="6" t="n">
        <f aca="false">DATE(2024,12,16)</f>
        <v>45642</v>
      </c>
      <c r="F2762" s="7" t="n">
        <f aca="false">C2762*D2762</f>
        <v>185.5</v>
      </c>
      <c r="G2762" s="7" t="n">
        <f aca="false">ROUND(F2762*0.2,2)</f>
        <v>37.1</v>
      </c>
      <c r="H2762" s="4" t="str">
        <f aca="false">IF(F2762&gt;500,"Yüksek",IF(F2762&gt;100,"Orta","Düşük"))</f>
        <v>Orta</v>
      </c>
    </row>
    <row r="2763" customFormat="false" ht="12.8" hidden="false" customHeight="false" outlineLevel="0" collapsed="false">
      <c r="A2763" s="4" t="s">
        <v>10</v>
      </c>
      <c r="B2763" s="4" t="s">
        <v>11</v>
      </c>
      <c r="C2763" s="4" t="n">
        <v>21</v>
      </c>
      <c r="D2763" s="5" t="n">
        <v>16</v>
      </c>
      <c r="E2763" s="6" t="n">
        <f aca="false">DATE(2024,1,17)</f>
        <v>45308</v>
      </c>
      <c r="F2763" s="7" t="n">
        <f aca="false">C2763*D2763</f>
        <v>336</v>
      </c>
      <c r="G2763" s="7" t="n">
        <f aca="false">ROUND(F2763*0.2,2)</f>
        <v>67.2</v>
      </c>
      <c r="H2763" s="4" t="str">
        <f aca="false">IF(F2763&gt;500,"Yüksek",IF(F2763&gt;100,"Orta","Düşük"))</f>
        <v>Orta</v>
      </c>
    </row>
    <row r="2764" customFormat="false" ht="12.8" hidden="false" customHeight="false" outlineLevel="0" collapsed="false">
      <c r="A2764" s="4" t="s">
        <v>12</v>
      </c>
      <c r="B2764" s="4" t="s">
        <v>13</v>
      </c>
      <c r="C2764" s="4" t="n">
        <v>28</v>
      </c>
      <c r="D2764" s="5" t="n">
        <v>18.75</v>
      </c>
      <c r="E2764" s="6" t="n">
        <f aca="false">DATE(2024,2,18)</f>
        <v>45340</v>
      </c>
      <c r="F2764" s="7" t="n">
        <f aca="false">C2764*D2764</f>
        <v>525</v>
      </c>
      <c r="G2764" s="7" t="n">
        <f aca="false">ROUND(F2764*0.2,2)</f>
        <v>105</v>
      </c>
      <c r="H2764" s="4" t="str">
        <f aca="false">IF(F2764&gt;500,"Yüksek",IF(F2764&gt;100,"Orta","Düşük"))</f>
        <v>Yüksek</v>
      </c>
    </row>
    <row r="2765" customFormat="false" ht="12.8" hidden="false" customHeight="false" outlineLevel="0" collapsed="false">
      <c r="A2765" s="4" t="s">
        <v>14</v>
      </c>
      <c r="B2765" s="4" t="s">
        <v>15</v>
      </c>
      <c r="C2765" s="4" t="n">
        <v>35</v>
      </c>
      <c r="D2765" s="5" t="n">
        <v>21.5</v>
      </c>
      <c r="E2765" s="6" t="n">
        <f aca="false">DATE(2024,3,19)</f>
        <v>45370</v>
      </c>
      <c r="F2765" s="7" t="n">
        <f aca="false">C2765*D2765</f>
        <v>752.5</v>
      </c>
      <c r="G2765" s="7" t="n">
        <f aca="false">ROUND(F2765*0.2,2)</f>
        <v>150.5</v>
      </c>
      <c r="H2765" s="4" t="str">
        <f aca="false">IF(F2765&gt;500,"Yüksek",IF(F2765&gt;100,"Orta","Düşük"))</f>
        <v>Yüksek</v>
      </c>
    </row>
    <row r="2766" customFormat="false" ht="12.8" hidden="false" customHeight="false" outlineLevel="0" collapsed="false">
      <c r="A2766" s="4" t="s">
        <v>16</v>
      </c>
      <c r="B2766" s="4" t="s">
        <v>17</v>
      </c>
      <c r="C2766" s="4" t="n">
        <v>42</v>
      </c>
      <c r="D2766" s="5" t="n">
        <v>24.25</v>
      </c>
      <c r="E2766" s="6" t="n">
        <f aca="false">DATE(2024,4,20)</f>
        <v>45402</v>
      </c>
      <c r="F2766" s="7" t="n">
        <f aca="false">C2766*D2766</f>
        <v>1018.5</v>
      </c>
      <c r="G2766" s="7" t="n">
        <f aca="false">ROUND(F2766*0.2,2)</f>
        <v>203.7</v>
      </c>
      <c r="H2766" s="4" t="str">
        <f aca="false">IF(F2766&gt;500,"Yüksek",IF(F2766&gt;100,"Orta","Düşük"))</f>
        <v>Yüksek</v>
      </c>
    </row>
    <row r="2767" customFormat="false" ht="12.8" hidden="false" customHeight="false" outlineLevel="0" collapsed="false">
      <c r="A2767" s="4" t="s">
        <v>18</v>
      </c>
      <c r="B2767" s="4" t="s">
        <v>19</v>
      </c>
      <c r="C2767" s="4" t="n">
        <v>49</v>
      </c>
      <c r="D2767" s="5" t="n">
        <v>27</v>
      </c>
      <c r="E2767" s="6" t="n">
        <f aca="false">DATE(2024,5,21)</f>
        <v>45433</v>
      </c>
      <c r="F2767" s="7" t="n">
        <f aca="false">C2767*D2767</f>
        <v>1323</v>
      </c>
      <c r="G2767" s="7" t="n">
        <f aca="false">ROUND(F2767*0.2,2)</f>
        <v>264.6</v>
      </c>
      <c r="H2767" s="4" t="str">
        <f aca="false">IF(F2767&gt;500,"Yüksek",IF(F2767&gt;100,"Orta","Düşük"))</f>
        <v>Yüksek</v>
      </c>
    </row>
    <row r="2768" customFormat="false" ht="12.8" hidden="false" customHeight="false" outlineLevel="0" collapsed="false">
      <c r="A2768" s="4" t="s">
        <v>20</v>
      </c>
      <c r="B2768" s="4" t="s">
        <v>11</v>
      </c>
      <c r="C2768" s="4" t="n">
        <v>6</v>
      </c>
      <c r="D2768" s="5" t="n">
        <v>29.75</v>
      </c>
      <c r="E2768" s="6" t="n">
        <f aca="false">DATE(2024,6,22)</f>
        <v>45465</v>
      </c>
      <c r="F2768" s="7" t="n">
        <f aca="false">C2768*D2768</f>
        <v>178.5</v>
      </c>
      <c r="G2768" s="7" t="n">
        <f aca="false">ROUND(F2768*0.2,2)</f>
        <v>35.7</v>
      </c>
      <c r="H2768" s="4" t="str">
        <f aca="false">IF(F2768&gt;500,"Yüksek",IF(F2768&gt;100,"Orta","Düşük"))</f>
        <v>Orta</v>
      </c>
    </row>
    <row r="2769" customFormat="false" ht="12.8" hidden="false" customHeight="false" outlineLevel="0" collapsed="false">
      <c r="A2769" s="4" t="s">
        <v>21</v>
      </c>
      <c r="B2769" s="4" t="s">
        <v>13</v>
      </c>
      <c r="C2769" s="4" t="n">
        <v>13</v>
      </c>
      <c r="D2769" s="5" t="n">
        <v>32.5</v>
      </c>
      <c r="E2769" s="6" t="n">
        <f aca="false">DATE(2024,7,23)</f>
        <v>45496</v>
      </c>
      <c r="F2769" s="7" t="n">
        <f aca="false">C2769*D2769</f>
        <v>422.5</v>
      </c>
      <c r="G2769" s="7" t="n">
        <f aca="false">ROUND(F2769*0.2,2)</f>
        <v>84.5</v>
      </c>
      <c r="H2769" s="4" t="str">
        <f aca="false">IF(F2769&gt;500,"Yüksek",IF(F2769&gt;100,"Orta","Düşük"))</f>
        <v>Orta</v>
      </c>
    </row>
    <row r="2770" customFormat="false" ht="12.8" hidden="false" customHeight="false" outlineLevel="0" collapsed="false">
      <c r="A2770" s="4" t="s">
        <v>22</v>
      </c>
      <c r="B2770" s="4" t="s">
        <v>15</v>
      </c>
      <c r="C2770" s="4" t="n">
        <v>20</v>
      </c>
      <c r="D2770" s="5" t="n">
        <v>35.25</v>
      </c>
      <c r="E2770" s="6" t="n">
        <f aca="false">DATE(2024,8,24)</f>
        <v>45528</v>
      </c>
      <c r="F2770" s="7" t="n">
        <f aca="false">C2770*D2770</f>
        <v>705</v>
      </c>
      <c r="G2770" s="7" t="n">
        <f aca="false">ROUND(F2770*0.2,2)</f>
        <v>141</v>
      </c>
      <c r="H2770" s="4" t="str">
        <f aca="false">IF(F2770&gt;500,"Yüksek",IF(F2770&gt;100,"Orta","Düşük"))</f>
        <v>Yüksek</v>
      </c>
    </row>
    <row r="2771" customFormat="false" ht="12.8" hidden="false" customHeight="false" outlineLevel="0" collapsed="false">
      <c r="A2771" s="4" t="s">
        <v>23</v>
      </c>
      <c r="B2771" s="4" t="s">
        <v>17</v>
      </c>
      <c r="C2771" s="4" t="n">
        <v>27</v>
      </c>
      <c r="D2771" s="5" t="n">
        <v>38</v>
      </c>
      <c r="E2771" s="6" t="n">
        <f aca="false">DATE(2024,9,25)</f>
        <v>45560</v>
      </c>
      <c r="F2771" s="7" t="n">
        <f aca="false">C2771*D2771</f>
        <v>1026</v>
      </c>
      <c r="G2771" s="7" t="n">
        <f aca="false">ROUND(F2771*0.2,2)</f>
        <v>205.2</v>
      </c>
      <c r="H2771" s="4" t="str">
        <f aca="false">IF(F2771&gt;500,"Yüksek",IF(F2771&gt;100,"Orta","Düşük"))</f>
        <v>Yüksek</v>
      </c>
    </row>
    <row r="2772" customFormat="false" ht="12.8" hidden="false" customHeight="false" outlineLevel="0" collapsed="false">
      <c r="A2772" s="4" t="s">
        <v>24</v>
      </c>
      <c r="B2772" s="4" t="s">
        <v>19</v>
      </c>
      <c r="C2772" s="4" t="n">
        <v>34</v>
      </c>
      <c r="D2772" s="5" t="n">
        <v>5</v>
      </c>
      <c r="E2772" s="6" t="n">
        <f aca="false">DATE(2024,10,26)</f>
        <v>45591</v>
      </c>
      <c r="F2772" s="7" t="n">
        <f aca="false">C2772*D2772</f>
        <v>170</v>
      </c>
      <c r="G2772" s="7" t="n">
        <f aca="false">ROUND(F2772*0.2,2)</f>
        <v>34</v>
      </c>
      <c r="H2772" s="4" t="str">
        <f aca="false">IF(F2772&gt;500,"Yüksek",IF(F2772&gt;100,"Orta","Düşük"))</f>
        <v>Orta</v>
      </c>
    </row>
    <row r="2773" customFormat="false" ht="12.8" hidden="false" customHeight="false" outlineLevel="0" collapsed="false">
      <c r="A2773" s="4" t="s">
        <v>10</v>
      </c>
      <c r="B2773" s="4" t="s">
        <v>11</v>
      </c>
      <c r="C2773" s="4" t="n">
        <v>41</v>
      </c>
      <c r="D2773" s="5" t="n">
        <v>7.75</v>
      </c>
      <c r="E2773" s="6" t="n">
        <f aca="false">DATE(2024,11,27)</f>
        <v>45623</v>
      </c>
      <c r="F2773" s="7" t="n">
        <f aca="false">C2773*D2773</f>
        <v>317.75</v>
      </c>
      <c r="G2773" s="7" t="n">
        <f aca="false">ROUND(F2773*0.2,2)</f>
        <v>63.55</v>
      </c>
      <c r="H2773" s="4" t="str">
        <f aca="false">IF(F2773&gt;500,"Yüksek",IF(F2773&gt;100,"Orta","Düşük"))</f>
        <v>Orta</v>
      </c>
    </row>
    <row r="2774" customFormat="false" ht="12.8" hidden="false" customHeight="false" outlineLevel="0" collapsed="false">
      <c r="A2774" s="4" t="s">
        <v>12</v>
      </c>
      <c r="B2774" s="4" t="s">
        <v>13</v>
      </c>
      <c r="C2774" s="4" t="n">
        <v>48</v>
      </c>
      <c r="D2774" s="5" t="n">
        <v>10.5</v>
      </c>
      <c r="E2774" s="6" t="n">
        <f aca="false">DATE(2024,12,28)</f>
        <v>45654</v>
      </c>
      <c r="F2774" s="7" t="n">
        <f aca="false">C2774*D2774</f>
        <v>504</v>
      </c>
      <c r="G2774" s="7" t="n">
        <f aca="false">ROUND(F2774*0.2,2)</f>
        <v>100.8</v>
      </c>
      <c r="H2774" s="4" t="str">
        <f aca="false">IF(F2774&gt;500,"Yüksek",IF(F2774&gt;100,"Orta","Düşük"))</f>
        <v>Yüksek</v>
      </c>
    </row>
    <row r="2775" customFormat="false" ht="12.8" hidden="false" customHeight="false" outlineLevel="0" collapsed="false">
      <c r="A2775" s="4" t="s">
        <v>14</v>
      </c>
      <c r="B2775" s="4" t="s">
        <v>15</v>
      </c>
      <c r="C2775" s="4" t="n">
        <v>5</v>
      </c>
      <c r="D2775" s="5" t="n">
        <v>13.25</v>
      </c>
      <c r="E2775" s="6" t="n">
        <f aca="false">DATE(2024,1,1)</f>
        <v>45292</v>
      </c>
      <c r="F2775" s="7" t="n">
        <f aca="false">C2775*D2775</f>
        <v>66.25</v>
      </c>
      <c r="G2775" s="7" t="n">
        <f aca="false">ROUND(F2775*0.2,2)</f>
        <v>13.25</v>
      </c>
      <c r="H2775" s="4" t="str">
        <f aca="false">IF(F2775&gt;500,"Yüksek",IF(F2775&gt;100,"Orta","Düşük"))</f>
        <v>Düşük</v>
      </c>
    </row>
    <row r="2776" customFormat="false" ht="12.8" hidden="false" customHeight="false" outlineLevel="0" collapsed="false">
      <c r="A2776" s="4" t="s">
        <v>16</v>
      </c>
      <c r="B2776" s="4" t="s">
        <v>17</v>
      </c>
      <c r="C2776" s="4" t="n">
        <v>12</v>
      </c>
      <c r="D2776" s="5" t="n">
        <v>16</v>
      </c>
      <c r="E2776" s="6" t="n">
        <f aca="false">DATE(2024,2,2)</f>
        <v>45324</v>
      </c>
      <c r="F2776" s="7" t="n">
        <f aca="false">C2776*D2776</f>
        <v>192</v>
      </c>
      <c r="G2776" s="7" t="n">
        <f aca="false">ROUND(F2776*0.2,2)</f>
        <v>38.4</v>
      </c>
      <c r="H2776" s="4" t="str">
        <f aca="false">IF(F2776&gt;500,"Yüksek",IF(F2776&gt;100,"Orta","Düşük"))</f>
        <v>Orta</v>
      </c>
    </row>
    <row r="2777" customFormat="false" ht="12.8" hidden="false" customHeight="false" outlineLevel="0" collapsed="false">
      <c r="A2777" s="4" t="s">
        <v>18</v>
      </c>
      <c r="B2777" s="4" t="s">
        <v>19</v>
      </c>
      <c r="C2777" s="4" t="n">
        <v>19</v>
      </c>
      <c r="D2777" s="5" t="n">
        <v>18.75</v>
      </c>
      <c r="E2777" s="6" t="n">
        <f aca="false">DATE(2024,3,3)</f>
        <v>45354</v>
      </c>
      <c r="F2777" s="7" t="n">
        <f aca="false">C2777*D2777</f>
        <v>356.25</v>
      </c>
      <c r="G2777" s="7" t="n">
        <f aca="false">ROUND(F2777*0.2,2)</f>
        <v>71.25</v>
      </c>
      <c r="H2777" s="4" t="str">
        <f aca="false">IF(F2777&gt;500,"Yüksek",IF(F2777&gt;100,"Orta","Düşük"))</f>
        <v>Orta</v>
      </c>
    </row>
    <row r="2778" customFormat="false" ht="12.8" hidden="false" customHeight="false" outlineLevel="0" collapsed="false">
      <c r="A2778" s="4" t="s">
        <v>20</v>
      </c>
      <c r="B2778" s="4" t="s">
        <v>11</v>
      </c>
      <c r="C2778" s="4" t="n">
        <v>26</v>
      </c>
      <c r="D2778" s="5" t="n">
        <v>21.5</v>
      </c>
      <c r="E2778" s="6" t="n">
        <f aca="false">DATE(2024,4,4)</f>
        <v>45386</v>
      </c>
      <c r="F2778" s="7" t="n">
        <f aca="false">C2778*D2778</f>
        <v>559</v>
      </c>
      <c r="G2778" s="7" t="n">
        <f aca="false">ROUND(F2778*0.2,2)</f>
        <v>111.8</v>
      </c>
      <c r="H2778" s="4" t="str">
        <f aca="false">IF(F2778&gt;500,"Yüksek",IF(F2778&gt;100,"Orta","Düşük"))</f>
        <v>Yüksek</v>
      </c>
    </row>
    <row r="2779" customFormat="false" ht="12.8" hidden="false" customHeight="false" outlineLevel="0" collapsed="false">
      <c r="A2779" s="4" t="s">
        <v>21</v>
      </c>
      <c r="B2779" s="4" t="s">
        <v>13</v>
      </c>
      <c r="C2779" s="4" t="n">
        <v>33</v>
      </c>
      <c r="D2779" s="5" t="n">
        <v>24.25</v>
      </c>
      <c r="E2779" s="6" t="n">
        <f aca="false">DATE(2024,5,5)</f>
        <v>45417</v>
      </c>
      <c r="F2779" s="7" t="n">
        <f aca="false">C2779*D2779</f>
        <v>800.25</v>
      </c>
      <c r="G2779" s="7" t="n">
        <f aca="false">ROUND(F2779*0.2,2)</f>
        <v>160.05</v>
      </c>
      <c r="H2779" s="4" t="str">
        <f aca="false">IF(F2779&gt;500,"Yüksek",IF(F2779&gt;100,"Orta","Düşük"))</f>
        <v>Yüksek</v>
      </c>
    </row>
    <row r="2780" customFormat="false" ht="12.8" hidden="false" customHeight="false" outlineLevel="0" collapsed="false">
      <c r="A2780" s="4" t="s">
        <v>22</v>
      </c>
      <c r="B2780" s="4" t="s">
        <v>15</v>
      </c>
      <c r="C2780" s="4" t="n">
        <v>40</v>
      </c>
      <c r="D2780" s="5" t="n">
        <v>27</v>
      </c>
      <c r="E2780" s="6" t="n">
        <f aca="false">DATE(2024,6,6)</f>
        <v>45449</v>
      </c>
      <c r="F2780" s="7" t="n">
        <f aca="false">C2780*D2780</f>
        <v>1080</v>
      </c>
      <c r="G2780" s="7" t="n">
        <f aca="false">ROUND(F2780*0.2,2)</f>
        <v>216</v>
      </c>
      <c r="H2780" s="4" t="str">
        <f aca="false">IF(F2780&gt;500,"Yüksek",IF(F2780&gt;100,"Orta","Düşük"))</f>
        <v>Yüksek</v>
      </c>
    </row>
    <row r="2781" customFormat="false" ht="12.8" hidden="false" customHeight="false" outlineLevel="0" collapsed="false">
      <c r="A2781" s="4" t="s">
        <v>23</v>
      </c>
      <c r="B2781" s="4" t="s">
        <v>17</v>
      </c>
      <c r="C2781" s="4" t="n">
        <v>47</v>
      </c>
      <c r="D2781" s="5" t="n">
        <v>29.75</v>
      </c>
      <c r="E2781" s="6" t="n">
        <f aca="false">DATE(2024,7,7)</f>
        <v>45480</v>
      </c>
      <c r="F2781" s="7" t="n">
        <f aca="false">C2781*D2781</f>
        <v>1398.25</v>
      </c>
      <c r="G2781" s="7" t="n">
        <f aca="false">ROUND(F2781*0.2,2)</f>
        <v>279.65</v>
      </c>
      <c r="H2781" s="4" t="str">
        <f aca="false">IF(F2781&gt;500,"Yüksek",IF(F2781&gt;100,"Orta","Düşük"))</f>
        <v>Yüksek</v>
      </c>
    </row>
    <row r="2782" customFormat="false" ht="12.8" hidden="false" customHeight="false" outlineLevel="0" collapsed="false">
      <c r="A2782" s="4" t="s">
        <v>24</v>
      </c>
      <c r="B2782" s="4" t="s">
        <v>19</v>
      </c>
      <c r="C2782" s="4" t="n">
        <v>4</v>
      </c>
      <c r="D2782" s="5" t="n">
        <v>32.5</v>
      </c>
      <c r="E2782" s="6" t="n">
        <f aca="false">DATE(2024,8,8)</f>
        <v>45512</v>
      </c>
      <c r="F2782" s="7" t="n">
        <f aca="false">C2782*D2782</f>
        <v>130</v>
      </c>
      <c r="G2782" s="7" t="n">
        <f aca="false">ROUND(F2782*0.2,2)</f>
        <v>26</v>
      </c>
      <c r="H2782" s="4" t="str">
        <f aca="false">IF(F2782&gt;500,"Yüksek",IF(F2782&gt;100,"Orta","Düşük"))</f>
        <v>Orta</v>
      </c>
    </row>
    <row r="2783" customFormat="false" ht="12.8" hidden="false" customHeight="false" outlineLevel="0" collapsed="false">
      <c r="A2783" s="4" t="s">
        <v>10</v>
      </c>
      <c r="B2783" s="4" t="s">
        <v>11</v>
      </c>
      <c r="C2783" s="4" t="n">
        <v>11</v>
      </c>
      <c r="D2783" s="5" t="n">
        <v>35.25</v>
      </c>
      <c r="E2783" s="6" t="n">
        <f aca="false">DATE(2024,9,9)</f>
        <v>45544</v>
      </c>
      <c r="F2783" s="7" t="n">
        <f aca="false">C2783*D2783</f>
        <v>387.75</v>
      </c>
      <c r="G2783" s="7" t="n">
        <f aca="false">ROUND(F2783*0.2,2)</f>
        <v>77.55</v>
      </c>
      <c r="H2783" s="4" t="str">
        <f aca="false">IF(F2783&gt;500,"Yüksek",IF(F2783&gt;100,"Orta","Düşük"))</f>
        <v>Orta</v>
      </c>
    </row>
    <row r="2784" customFormat="false" ht="12.8" hidden="false" customHeight="false" outlineLevel="0" collapsed="false">
      <c r="A2784" s="4" t="s">
        <v>12</v>
      </c>
      <c r="B2784" s="4" t="s">
        <v>13</v>
      </c>
      <c r="C2784" s="4" t="n">
        <v>18</v>
      </c>
      <c r="D2784" s="5" t="n">
        <v>38</v>
      </c>
      <c r="E2784" s="6" t="n">
        <f aca="false">DATE(2024,10,10)</f>
        <v>45575</v>
      </c>
      <c r="F2784" s="7" t="n">
        <f aca="false">C2784*D2784</f>
        <v>684</v>
      </c>
      <c r="G2784" s="7" t="n">
        <f aca="false">ROUND(F2784*0.2,2)</f>
        <v>136.8</v>
      </c>
      <c r="H2784" s="4" t="str">
        <f aca="false">IF(F2784&gt;500,"Yüksek",IF(F2784&gt;100,"Orta","Düşük"))</f>
        <v>Yüksek</v>
      </c>
    </row>
    <row r="2785" customFormat="false" ht="12.8" hidden="false" customHeight="false" outlineLevel="0" collapsed="false">
      <c r="A2785" s="4" t="s">
        <v>14</v>
      </c>
      <c r="B2785" s="4" t="s">
        <v>15</v>
      </c>
      <c r="C2785" s="4" t="n">
        <v>25</v>
      </c>
      <c r="D2785" s="5" t="n">
        <v>5</v>
      </c>
      <c r="E2785" s="6" t="n">
        <f aca="false">DATE(2024,11,11)</f>
        <v>45607</v>
      </c>
      <c r="F2785" s="7" t="n">
        <f aca="false">C2785*D2785</f>
        <v>125</v>
      </c>
      <c r="G2785" s="7" t="n">
        <f aca="false">ROUND(F2785*0.2,2)</f>
        <v>25</v>
      </c>
      <c r="H2785" s="4" t="str">
        <f aca="false">IF(F2785&gt;500,"Yüksek",IF(F2785&gt;100,"Orta","Düşük"))</f>
        <v>Orta</v>
      </c>
    </row>
    <row r="2786" customFormat="false" ht="12.8" hidden="false" customHeight="false" outlineLevel="0" collapsed="false">
      <c r="A2786" s="4" t="s">
        <v>16</v>
      </c>
      <c r="B2786" s="4" t="s">
        <v>17</v>
      </c>
      <c r="C2786" s="4" t="n">
        <v>32</v>
      </c>
      <c r="D2786" s="5" t="n">
        <v>7.75</v>
      </c>
      <c r="E2786" s="6" t="n">
        <f aca="false">DATE(2024,12,12)</f>
        <v>45638</v>
      </c>
      <c r="F2786" s="7" t="n">
        <f aca="false">C2786*D2786</f>
        <v>248</v>
      </c>
      <c r="G2786" s="7" t="n">
        <f aca="false">ROUND(F2786*0.2,2)</f>
        <v>49.6</v>
      </c>
      <c r="H2786" s="4" t="str">
        <f aca="false">IF(F2786&gt;500,"Yüksek",IF(F2786&gt;100,"Orta","Düşük"))</f>
        <v>Orta</v>
      </c>
    </row>
    <row r="2787" customFormat="false" ht="12.8" hidden="false" customHeight="false" outlineLevel="0" collapsed="false">
      <c r="A2787" s="4" t="s">
        <v>18</v>
      </c>
      <c r="B2787" s="4" t="s">
        <v>19</v>
      </c>
      <c r="C2787" s="4" t="n">
        <v>39</v>
      </c>
      <c r="D2787" s="5" t="n">
        <v>10.5</v>
      </c>
      <c r="E2787" s="6" t="n">
        <f aca="false">DATE(2024,1,13)</f>
        <v>45304</v>
      </c>
      <c r="F2787" s="7" t="n">
        <f aca="false">C2787*D2787</f>
        <v>409.5</v>
      </c>
      <c r="G2787" s="7" t="n">
        <f aca="false">ROUND(F2787*0.2,2)</f>
        <v>81.9</v>
      </c>
      <c r="H2787" s="4" t="str">
        <f aca="false">IF(F2787&gt;500,"Yüksek",IF(F2787&gt;100,"Orta","Düşük"))</f>
        <v>Orta</v>
      </c>
    </row>
    <row r="2788" customFormat="false" ht="12.8" hidden="false" customHeight="false" outlineLevel="0" collapsed="false">
      <c r="A2788" s="4" t="s">
        <v>20</v>
      </c>
      <c r="B2788" s="4" t="s">
        <v>11</v>
      </c>
      <c r="C2788" s="4" t="n">
        <v>46</v>
      </c>
      <c r="D2788" s="5" t="n">
        <v>13.25</v>
      </c>
      <c r="E2788" s="6" t="n">
        <f aca="false">DATE(2024,2,14)</f>
        <v>45336</v>
      </c>
      <c r="F2788" s="7" t="n">
        <f aca="false">C2788*D2788</f>
        <v>609.5</v>
      </c>
      <c r="G2788" s="7" t="n">
        <f aca="false">ROUND(F2788*0.2,2)</f>
        <v>121.9</v>
      </c>
      <c r="H2788" s="4" t="str">
        <f aca="false">IF(F2788&gt;500,"Yüksek",IF(F2788&gt;100,"Orta","Düşük"))</f>
        <v>Yüksek</v>
      </c>
    </row>
    <row r="2789" customFormat="false" ht="12.8" hidden="false" customHeight="false" outlineLevel="0" collapsed="false">
      <c r="A2789" s="4" t="s">
        <v>21</v>
      </c>
      <c r="B2789" s="4" t="s">
        <v>13</v>
      </c>
      <c r="C2789" s="4" t="n">
        <v>3</v>
      </c>
      <c r="D2789" s="5" t="n">
        <v>16</v>
      </c>
      <c r="E2789" s="6" t="n">
        <f aca="false">DATE(2024,3,15)</f>
        <v>45366</v>
      </c>
      <c r="F2789" s="7" t="n">
        <f aca="false">C2789*D2789</f>
        <v>48</v>
      </c>
      <c r="G2789" s="7" t="n">
        <f aca="false">ROUND(F2789*0.2,2)</f>
        <v>9.6</v>
      </c>
      <c r="H2789" s="4" t="str">
        <f aca="false">IF(F2789&gt;500,"Yüksek",IF(F2789&gt;100,"Orta","Düşük"))</f>
        <v>Düşük</v>
      </c>
    </row>
    <row r="2790" customFormat="false" ht="12.8" hidden="false" customHeight="false" outlineLevel="0" collapsed="false">
      <c r="A2790" s="4" t="s">
        <v>22</v>
      </c>
      <c r="B2790" s="4" t="s">
        <v>15</v>
      </c>
      <c r="C2790" s="4" t="n">
        <v>10</v>
      </c>
      <c r="D2790" s="5" t="n">
        <v>18.75</v>
      </c>
      <c r="E2790" s="6" t="n">
        <f aca="false">DATE(2024,4,16)</f>
        <v>45398</v>
      </c>
      <c r="F2790" s="7" t="n">
        <f aca="false">C2790*D2790</f>
        <v>187.5</v>
      </c>
      <c r="G2790" s="7" t="n">
        <f aca="false">ROUND(F2790*0.2,2)</f>
        <v>37.5</v>
      </c>
      <c r="H2790" s="4" t="str">
        <f aca="false">IF(F2790&gt;500,"Yüksek",IF(F2790&gt;100,"Orta","Düşük"))</f>
        <v>Orta</v>
      </c>
    </row>
    <row r="2791" customFormat="false" ht="12.8" hidden="false" customHeight="false" outlineLevel="0" collapsed="false">
      <c r="A2791" s="4" t="s">
        <v>23</v>
      </c>
      <c r="B2791" s="4" t="s">
        <v>17</v>
      </c>
      <c r="C2791" s="4" t="n">
        <v>17</v>
      </c>
      <c r="D2791" s="5" t="n">
        <v>21.5</v>
      </c>
      <c r="E2791" s="6" t="n">
        <f aca="false">DATE(2024,5,17)</f>
        <v>45429</v>
      </c>
      <c r="F2791" s="7" t="n">
        <f aca="false">C2791*D2791</f>
        <v>365.5</v>
      </c>
      <c r="G2791" s="7" t="n">
        <f aca="false">ROUND(F2791*0.2,2)</f>
        <v>73.1</v>
      </c>
      <c r="H2791" s="4" t="str">
        <f aca="false">IF(F2791&gt;500,"Yüksek",IF(F2791&gt;100,"Orta","Düşük"))</f>
        <v>Orta</v>
      </c>
    </row>
    <row r="2792" customFormat="false" ht="12.8" hidden="false" customHeight="false" outlineLevel="0" collapsed="false">
      <c r="A2792" s="4" t="s">
        <v>24</v>
      </c>
      <c r="B2792" s="4" t="s">
        <v>19</v>
      </c>
      <c r="C2792" s="4" t="n">
        <v>24</v>
      </c>
      <c r="D2792" s="5" t="n">
        <v>24.25</v>
      </c>
      <c r="E2792" s="6" t="n">
        <f aca="false">DATE(2024,6,18)</f>
        <v>45461</v>
      </c>
      <c r="F2792" s="7" t="n">
        <f aca="false">C2792*D2792</f>
        <v>582</v>
      </c>
      <c r="G2792" s="7" t="n">
        <f aca="false">ROUND(F2792*0.2,2)</f>
        <v>116.4</v>
      </c>
      <c r="H2792" s="4" t="str">
        <f aca="false">IF(F2792&gt;500,"Yüksek",IF(F2792&gt;100,"Orta","Düşük"))</f>
        <v>Yüksek</v>
      </c>
    </row>
    <row r="2793" customFormat="false" ht="12.8" hidden="false" customHeight="false" outlineLevel="0" collapsed="false">
      <c r="A2793" s="4" t="s">
        <v>10</v>
      </c>
      <c r="B2793" s="4" t="s">
        <v>11</v>
      </c>
      <c r="C2793" s="4" t="n">
        <v>31</v>
      </c>
      <c r="D2793" s="5" t="n">
        <v>27</v>
      </c>
      <c r="E2793" s="6" t="n">
        <f aca="false">DATE(2024,7,19)</f>
        <v>45492</v>
      </c>
      <c r="F2793" s="7" t="n">
        <f aca="false">C2793*D2793</f>
        <v>837</v>
      </c>
      <c r="G2793" s="7" t="n">
        <f aca="false">ROUND(F2793*0.2,2)</f>
        <v>167.4</v>
      </c>
      <c r="H2793" s="4" t="str">
        <f aca="false">IF(F2793&gt;500,"Yüksek",IF(F2793&gt;100,"Orta","Düşük"))</f>
        <v>Yüksek</v>
      </c>
    </row>
    <row r="2794" customFormat="false" ht="12.8" hidden="false" customHeight="false" outlineLevel="0" collapsed="false">
      <c r="A2794" s="4" t="s">
        <v>12</v>
      </c>
      <c r="B2794" s="4" t="s">
        <v>13</v>
      </c>
      <c r="C2794" s="4" t="n">
        <v>38</v>
      </c>
      <c r="D2794" s="5" t="n">
        <v>29.75</v>
      </c>
      <c r="E2794" s="6" t="n">
        <f aca="false">DATE(2024,8,20)</f>
        <v>45524</v>
      </c>
      <c r="F2794" s="7" t="n">
        <f aca="false">C2794*D2794</f>
        <v>1130.5</v>
      </c>
      <c r="G2794" s="7" t="n">
        <f aca="false">ROUND(F2794*0.2,2)</f>
        <v>226.1</v>
      </c>
      <c r="H2794" s="4" t="str">
        <f aca="false">IF(F2794&gt;500,"Yüksek",IF(F2794&gt;100,"Orta","Düşük"))</f>
        <v>Yüksek</v>
      </c>
    </row>
    <row r="2795" customFormat="false" ht="12.8" hidden="false" customHeight="false" outlineLevel="0" collapsed="false">
      <c r="A2795" s="4" t="s">
        <v>14</v>
      </c>
      <c r="B2795" s="4" t="s">
        <v>15</v>
      </c>
      <c r="C2795" s="4" t="n">
        <v>45</v>
      </c>
      <c r="D2795" s="5" t="n">
        <v>32.5</v>
      </c>
      <c r="E2795" s="6" t="n">
        <f aca="false">DATE(2024,9,21)</f>
        <v>45556</v>
      </c>
      <c r="F2795" s="7" t="n">
        <f aca="false">C2795*D2795</f>
        <v>1462.5</v>
      </c>
      <c r="G2795" s="7" t="n">
        <f aca="false">ROUND(F2795*0.2,2)</f>
        <v>292.5</v>
      </c>
      <c r="H2795" s="4" t="str">
        <f aca="false">IF(F2795&gt;500,"Yüksek",IF(F2795&gt;100,"Orta","Düşük"))</f>
        <v>Yüksek</v>
      </c>
    </row>
    <row r="2796" customFormat="false" ht="12.8" hidden="false" customHeight="false" outlineLevel="0" collapsed="false">
      <c r="A2796" s="4" t="s">
        <v>16</v>
      </c>
      <c r="B2796" s="4" t="s">
        <v>17</v>
      </c>
      <c r="C2796" s="4" t="n">
        <v>2</v>
      </c>
      <c r="D2796" s="5" t="n">
        <v>35.25</v>
      </c>
      <c r="E2796" s="6" t="n">
        <f aca="false">DATE(2024,10,22)</f>
        <v>45587</v>
      </c>
      <c r="F2796" s="7" t="n">
        <f aca="false">C2796*D2796</f>
        <v>70.5</v>
      </c>
      <c r="G2796" s="7" t="n">
        <f aca="false">ROUND(F2796*0.2,2)</f>
        <v>14.1</v>
      </c>
      <c r="H2796" s="4" t="str">
        <f aca="false">IF(F2796&gt;500,"Yüksek",IF(F2796&gt;100,"Orta","Düşük"))</f>
        <v>Düşük</v>
      </c>
    </row>
    <row r="2797" customFormat="false" ht="12.8" hidden="false" customHeight="false" outlineLevel="0" collapsed="false">
      <c r="A2797" s="4" t="s">
        <v>18</v>
      </c>
      <c r="B2797" s="4" t="s">
        <v>19</v>
      </c>
      <c r="C2797" s="4" t="n">
        <v>9</v>
      </c>
      <c r="D2797" s="5" t="n">
        <v>38</v>
      </c>
      <c r="E2797" s="6" t="n">
        <f aca="false">DATE(2024,11,23)</f>
        <v>45619</v>
      </c>
      <c r="F2797" s="7" t="n">
        <f aca="false">C2797*D2797</f>
        <v>342</v>
      </c>
      <c r="G2797" s="7" t="n">
        <f aca="false">ROUND(F2797*0.2,2)</f>
        <v>68.4</v>
      </c>
      <c r="H2797" s="4" t="str">
        <f aca="false">IF(F2797&gt;500,"Yüksek",IF(F2797&gt;100,"Orta","Düşük"))</f>
        <v>Orta</v>
      </c>
    </row>
    <row r="2798" customFormat="false" ht="12.8" hidden="false" customHeight="false" outlineLevel="0" collapsed="false">
      <c r="A2798" s="4" t="s">
        <v>20</v>
      </c>
      <c r="B2798" s="4" t="s">
        <v>11</v>
      </c>
      <c r="C2798" s="4" t="n">
        <v>16</v>
      </c>
      <c r="D2798" s="5" t="n">
        <v>5</v>
      </c>
      <c r="E2798" s="6" t="n">
        <f aca="false">DATE(2024,12,24)</f>
        <v>45650</v>
      </c>
      <c r="F2798" s="7" t="n">
        <f aca="false">C2798*D2798</f>
        <v>80</v>
      </c>
      <c r="G2798" s="7" t="n">
        <f aca="false">ROUND(F2798*0.2,2)</f>
        <v>16</v>
      </c>
      <c r="H2798" s="4" t="str">
        <f aca="false">IF(F2798&gt;500,"Yüksek",IF(F2798&gt;100,"Orta","Düşük"))</f>
        <v>Düşük</v>
      </c>
    </row>
    <row r="2799" customFormat="false" ht="12.8" hidden="false" customHeight="false" outlineLevel="0" collapsed="false">
      <c r="A2799" s="4" t="s">
        <v>21</v>
      </c>
      <c r="B2799" s="4" t="s">
        <v>13</v>
      </c>
      <c r="C2799" s="4" t="n">
        <v>23</v>
      </c>
      <c r="D2799" s="5" t="n">
        <v>7.75</v>
      </c>
      <c r="E2799" s="6" t="n">
        <f aca="false">DATE(2024,1,25)</f>
        <v>45316</v>
      </c>
      <c r="F2799" s="7" t="n">
        <f aca="false">C2799*D2799</f>
        <v>178.25</v>
      </c>
      <c r="G2799" s="7" t="n">
        <f aca="false">ROUND(F2799*0.2,2)</f>
        <v>35.65</v>
      </c>
      <c r="H2799" s="4" t="str">
        <f aca="false">IF(F2799&gt;500,"Yüksek",IF(F2799&gt;100,"Orta","Düşük"))</f>
        <v>Orta</v>
      </c>
    </row>
    <row r="2800" customFormat="false" ht="12.8" hidden="false" customHeight="false" outlineLevel="0" collapsed="false">
      <c r="A2800" s="4" t="s">
        <v>22</v>
      </c>
      <c r="B2800" s="4" t="s">
        <v>15</v>
      </c>
      <c r="C2800" s="4" t="n">
        <v>30</v>
      </c>
      <c r="D2800" s="5" t="n">
        <v>10.5</v>
      </c>
      <c r="E2800" s="6" t="n">
        <f aca="false">DATE(2024,2,26)</f>
        <v>45348</v>
      </c>
      <c r="F2800" s="7" t="n">
        <f aca="false">C2800*D2800</f>
        <v>315</v>
      </c>
      <c r="G2800" s="7" t="n">
        <f aca="false">ROUND(F2800*0.2,2)</f>
        <v>63</v>
      </c>
      <c r="H2800" s="4" t="str">
        <f aca="false">IF(F2800&gt;500,"Yüksek",IF(F2800&gt;100,"Orta","Düşük"))</f>
        <v>Orta</v>
      </c>
    </row>
    <row r="2801" customFormat="false" ht="12.8" hidden="false" customHeight="false" outlineLevel="0" collapsed="false">
      <c r="A2801" s="4" t="s">
        <v>23</v>
      </c>
      <c r="B2801" s="4" t="s">
        <v>17</v>
      </c>
      <c r="C2801" s="4" t="n">
        <v>37</v>
      </c>
      <c r="D2801" s="5" t="n">
        <v>13.25</v>
      </c>
      <c r="E2801" s="6" t="n">
        <f aca="false">DATE(2024,3,27)</f>
        <v>45378</v>
      </c>
      <c r="F2801" s="7" t="n">
        <f aca="false">C2801*D2801</f>
        <v>490.25</v>
      </c>
      <c r="G2801" s="7" t="n">
        <f aca="false">ROUND(F2801*0.2,2)</f>
        <v>98.05</v>
      </c>
      <c r="H2801" s="4" t="str">
        <f aca="false">IF(F2801&gt;500,"Yüksek",IF(F2801&gt;100,"Orta","Düşük"))</f>
        <v>Orta</v>
      </c>
    </row>
    <row r="2802" customFormat="false" ht="12.8" hidden="false" customHeight="false" outlineLevel="0" collapsed="false">
      <c r="A2802" s="4" t="s">
        <v>24</v>
      </c>
      <c r="B2802" s="4" t="s">
        <v>19</v>
      </c>
      <c r="C2802" s="4" t="n">
        <v>44</v>
      </c>
      <c r="D2802" s="5" t="n">
        <v>16</v>
      </c>
      <c r="E2802" s="6" t="n">
        <f aca="false">DATE(2024,4,28)</f>
        <v>45410</v>
      </c>
      <c r="F2802" s="7" t="n">
        <f aca="false">C2802*D2802</f>
        <v>704</v>
      </c>
      <c r="G2802" s="7" t="n">
        <f aca="false">ROUND(F2802*0.2,2)</f>
        <v>140.8</v>
      </c>
      <c r="H2802" s="4" t="str">
        <f aca="false">IF(F2802&gt;500,"Yüksek",IF(F2802&gt;100,"Orta","Düşük"))</f>
        <v>Yüksek</v>
      </c>
    </row>
    <row r="2803" customFormat="false" ht="12.8" hidden="false" customHeight="false" outlineLevel="0" collapsed="false">
      <c r="A2803" s="4" t="s">
        <v>10</v>
      </c>
      <c r="B2803" s="4" t="s">
        <v>11</v>
      </c>
      <c r="C2803" s="4" t="n">
        <v>1</v>
      </c>
      <c r="D2803" s="5" t="n">
        <v>18.75</v>
      </c>
      <c r="E2803" s="6" t="n">
        <f aca="false">DATE(2024,5,1)</f>
        <v>45413</v>
      </c>
      <c r="F2803" s="7" t="n">
        <f aca="false">C2803*D2803</f>
        <v>18.75</v>
      </c>
      <c r="G2803" s="7" t="n">
        <f aca="false">ROUND(F2803*0.2,2)</f>
        <v>3.75</v>
      </c>
      <c r="H2803" s="4" t="str">
        <f aca="false">IF(F2803&gt;500,"Yüksek",IF(F2803&gt;100,"Orta","Düşük"))</f>
        <v>Düşük</v>
      </c>
    </row>
    <row r="2804" customFormat="false" ht="12.8" hidden="false" customHeight="false" outlineLevel="0" collapsed="false">
      <c r="A2804" s="4" t="s">
        <v>12</v>
      </c>
      <c r="B2804" s="4" t="s">
        <v>13</v>
      </c>
      <c r="C2804" s="4" t="n">
        <v>8</v>
      </c>
      <c r="D2804" s="5" t="n">
        <v>21.5</v>
      </c>
      <c r="E2804" s="6" t="n">
        <f aca="false">DATE(2024,6,2)</f>
        <v>45445</v>
      </c>
      <c r="F2804" s="7" t="n">
        <f aca="false">C2804*D2804</f>
        <v>172</v>
      </c>
      <c r="G2804" s="7" t="n">
        <f aca="false">ROUND(F2804*0.2,2)</f>
        <v>34.4</v>
      </c>
      <c r="H2804" s="4" t="str">
        <f aca="false">IF(F2804&gt;500,"Yüksek",IF(F2804&gt;100,"Orta","Düşük"))</f>
        <v>Orta</v>
      </c>
    </row>
    <row r="2805" customFormat="false" ht="12.8" hidden="false" customHeight="false" outlineLevel="0" collapsed="false">
      <c r="A2805" s="4" t="s">
        <v>14</v>
      </c>
      <c r="B2805" s="4" t="s">
        <v>15</v>
      </c>
      <c r="C2805" s="4" t="n">
        <v>15</v>
      </c>
      <c r="D2805" s="5" t="n">
        <v>24.25</v>
      </c>
      <c r="E2805" s="6" t="n">
        <f aca="false">DATE(2024,7,3)</f>
        <v>45476</v>
      </c>
      <c r="F2805" s="7" t="n">
        <f aca="false">C2805*D2805</f>
        <v>363.75</v>
      </c>
      <c r="G2805" s="7" t="n">
        <f aca="false">ROUND(F2805*0.2,2)</f>
        <v>72.75</v>
      </c>
      <c r="H2805" s="4" t="str">
        <f aca="false">IF(F2805&gt;500,"Yüksek",IF(F2805&gt;100,"Orta","Düşük"))</f>
        <v>Orta</v>
      </c>
    </row>
    <row r="2806" customFormat="false" ht="12.8" hidden="false" customHeight="false" outlineLevel="0" collapsed="false">
      <c r="A2806" s="4" t="s">
        <v>16</v>
      </c>
      <c r="B2806" s="4" t="s">
        <v>17</v>
      </c>
      <c r="C2806" s="4" t="n">
        <v>22</v>
      </c>
      <c r="D2806" s="5" t="n">
        <v>27</v>
      </c>
      <c r="E2806" s="6" t="n">
        <f aca="false">DATE(2024,8,4)</f>
        <v>45508</v>
      </c>
      <c r="F2806" s="7" t="n">
        <f aca="false">C2806*D2806</f>
        <v>594</v>
      </c>
      <c r="G2806" s="7" t="n">
        <f aca="false">ROUND(F2806*0.2,2)</f>
        <v>118.8</v>
      </c>
      <c r="H2806" s="4" t="str">
        <f aca="false">IF(F2806&gt;500,"Yüksek",IF(F2806&gt;100,"Orta","Düşük"))</f>
        <v>Yüksek</v>
      </c>
    </row>
    <row r="2807" customFormat="false" ht="12.8" hidden="false" customHeight="false" outlineLevel="0" collapsed="false">
      <c r="A2807" s="4" t="s">
        <v>18</v>
      </c>
      <c r="B2807" s="4" t="s">
        <v>19</v>
      </c>
      <c r="C2807" s="4" t="n">
        <v>29</v>
      </c>
      <c r="D2807" s="5" t="n">
        <v>29.75</v>
      </c>
      <c r="E2807" s="6" t="n">
        <f aca="false">DATE(2024,9,5)</f>
        <v>45540</v>
      </c>
      <c r="F2807" s="7" t="n">
        <f aca="false">C2807*D2807</f>
        <v>862.75</v>
      </c>
      <c r="G2807" s="7" t="n">
        <f aca="false">ROUND(F2807*0.2,2)</f>
        <v>172.55</v>
      </c>
      <c r="H2807" s="4" t="str">
        <f aca="false">IF(F2807&gt;500,"Yüksek",IF(F2807&gt;100,"Orta","Düşük"))</f>
        <v>Yüksek</v>
      </c>
    </row>
    <row r="2808" customFormat="false" ht="12.8" hidden="false" customHeight="false" outlineLevel="0" collapsed="false">
      <c r="A2808" s="4" t="s">
        <v>20</v>
      </c>
      <c r="B2808" s="4" t="s">
        <v>11</v>
      </c>
      <c r="C2808" s="4" t="n">
        <v>36</v>
      </c>
      <c r="D2808" s="5" t="n">
        <v>32.5</v>
      </c>
      <c r="E2808" s="6" t="n">
        <f aca="false">DATE(2024,10,6)</f>
        <v>45571</v>
      </c>
      <c r="F2808" s="7" t="n">
        <f aca="false">C2808*D2808</f>
        <v>1170</v>
      </c>
      <c r="G2808" s="7" t="n">
        <f aca="false">ROUND(F2808*0.2,2)</f>
        <v>234</v>
      </c>
      <c r="H2808" s="4" t="str">
        <f aca="false">IF(F2808&gt;500,"Yüksek",IF(F2808&gt;100,"Orta","Düşük"))</f>
        <v>Yüksek</v>
      </c>
    </row>
    <row r="2809" customFormat="false" ht="12.8" hidden="false" customHeight="false" outlineLevel="0" collapsed="false">
      <c r="A2809" s="4" t="s">
        <v>21</v>
      </c>
      <c r="B2809" s="4" t="s">
        <v>13</v>
      </c>
      <c r="C2809" s="4" t="n">
        <v>43</v>
      </c>
      <c r="D2809" s="5" t="n">
        <v>35.25</v>
      </c>
      <c r="E2809" s="6" t="n">
        <f aca="false">DATE(2024,11,7)</f>
        <v>45603</v>
      </c>
      <c r="F2809" s="7" t="n">
        <f aca="false">C2809*D2809</f>
        <v>1515.75</v>
      </c>
      <c r="G2809" s="7" t="n">
        <f aca="false">ROUND(F2809*0.2,2)</f>
        <v>303.15</v>
      </c>
      <c r="H2809" s="4" t="str">
        <f aca="false">IF(F2809&gt;500,"Yüksek",IF(F2809&gt;100,"Orta","Düşük"))</f>
        <v>Yüksek</v>
      </c>
    </row>
    <row r="2810" customFormat="false" ht="12.8" hidden="false" customHeight="false" outlineLevel="0" collapsed="false">
      <c r="A2810" s="4" t="s">
        <v>22</v>
      </c>
      <c r="B2810" s="4" t="s">
        <v>15</v>
      </c>
      <c r="C2810" s="4" t="n">
        <v>50</v>
      </c>
      <c r="D2810" s="5" t="n">
        <v>38</v>
      </c>
      <c r="E2810" s="6" t="n">
        <f aca="false">DATE(2024,12,8)</f>
        <v>45634</v>
      </c>
      <c r="F2810" s="7" t="n">
        <f aca="false">C2810*D2810</f>
        <v>1900</v>
      </c>
      <c r="G2810" s="7" t="n">
        <f aca="false">ROUND(F2810*0.2,2)</f>
        <v>380</v>
      </c>
      <c r="H2810" s="4" t="str">
        <f aca="false">IF(F2810&gt;500,"Yüksek",IF(F2810&gt;100,"Orta","Düşük"))</f>
        <v>Yüksek</v>
      </c>
    </row>
    <row r="2811" customFormat="false" ht="12.8" hidden="false" customHeight="false" outlineLevel="0" collapsed="false">
      <c r="A2811" s="4" t="s">
        <v>23</v>
      </c>
      <c r="B2811" s="4" t="s">
        <v>17</v>
      </c>
      <c r="C2811" s="4" t="n">
        <v>7</v>
      </c>
      <c r="D2811" s="5" t="n">
        <v>5</v>
      </c>
      <c r="E2811" s="6" t="n">
        <f aca="false">DATE(2024,1,9)</f>
        <v>45300</v>
      </c>
      <c r="F2811" s="7" t="n">
        <f aca="false">C2811*D2811</f>
        <v>35</v>
      </c>
      <c r="G2811" s="7" t="n">
        <f aca="false">ROUND(F2811*0.2,2)</f>
        <v>7</v>
      </c>
      <c r="H2811" s="4" t="str">
        <f aca="false">IF(F2811&gt;500,"Yüksek",IF(F2811&gt;100,"Orta","Düşük"))</f>
        <v>Düşük</v>
      </c>
    </row>
    <row r="2812" customFormat="false" ht="12.8" hidden="false" customHeight="false" outlineLevel="0" collapsed="false">
      <c r="A2812" s="4" t="s">
        <v>24</v>
      </c>
      <c r="B2812" s="4" t="s">
        <v>19</v>
      </c>
      <c r="C2812" s="4" t="n">
        <v>14</v>
      </c>
      <c r="D2812" s="5" t="n">
        <v>7.75</v>
      </c>
      <c r="E2812" s="6" t="n">
        <f aca="false">DATE(2024,2,10)</f>
        <v>45332</v>
      </c>
      <c r="F2812" s="7" t="n">
        <f aca="false">C2812*D2812</f>
        <v>108.5</v>
      </c>
      <c r="G2812" s="7" t="n">
        <f aca="false">ROUND(F2812*0.2,2)</f>
        <v>21.7</v>
      </c>
      <c r="H2812" s="4" t="str">
        <f aca="false">IF(F2812&gt;500,"Yüksek",IF(F2812&gt;100,"Orta","Düşük"))</f>
        <v>Orta</v>
      </c>
    </row>
    <row r="2813" customFormat="false" ht="12.8" hidden="false" customHeight="false" outlineLevel="0" collapsed="false">
      <c r="A2813" s="4" t="s">
        <v>10</v>
      </c>
      <c r="B2813" s="4" t="s">
        <v>11</v>
      </c>
      <c r="C2813" s="4" t="n">
        <v>21</v>
      </c>
      <c r="D2813" s="5" t="n">
        <v>10.5</v>
      </c>
      <c r="E2813" s="6" t="n">
        <f aca="false">DATE(2024,3,11)</f>
        <v>45362</v>
      </c>
      <c r="F2813" s="7" t="n">
        <f aca="false">C2813*D2813</f>
        <v>220.5</v>
      </c>
      <c r="G2813" s="7" t="n">
        <f aca="false">ROUND(F2813*0.2,2)</f>
        <v>44.1</v>
      </c>
      <c r="H2813" s="4" t="str">
        <f aca="false">IF(F2813&gt;500,"Yüksek",IF(F2813&gt;100,"Orta","Düşük"))</f>
        <v>Orta</v>
      </c>
    </row>
    <row r="2814" customFormat="false" ht="12.8" hidden="false" customHeight="false" outlineLevel="0" collapsed="false">
      <c r="A2814" s="4" t="s">
        <v>12</v>
      </c>
      <c r="B2814" s="4" t="s">
        <v>13</v>
      </c>
      <c r="C2814" s="4" t="n">
        <v>28</v>
      </c>
      <c r="D2814" s="5" t="n">
        <v>13.25</v>
      </c>
      <c r="E2814" s="6" t="n">
        <f aca="false">DATE(2024,4,12)</f>
        <v>45394</v>
      </c>
      <c r="F2814" s="7" t="n">
        <f aca="false">C2814*D2814</f>
        <v>371</v>
      </c>
      <c r="G2814" s="7" t="n">
        <f aca="false">ROUND(F2814*0.2,2)</f>
        <v>74.2</v>
      </c>
      <c r="H2814" s="4" t="str">
        <f aca="false">IF(F2814&gt;500,"Yüksek",IF(F2814&gt;100,"Orta","Düşük"))</f>
        <v>Orta</v>
      </c>
    </row>
    <row r="2815" customFormat="false" ht="12.8" hidden="false" customHeight="false" outlineLevel="0" collapsed="false">
      <c r="A2815" s="4" t="s">
        <v>14</v>
      </c>
      <c r="B2815" s="4" t="s">
        <v>15</v>
      </c>
      <c r="C2815" s="4" t="n">
        <v>35</v>
      </c>
      <c r="D2815" s="5" t="n">
        <v>16</v>
      </c>
      <c r="E2815" s="6" t="n">
        <f aca="false">DATE(2024,5,13)</f>
        <v>45425</v>
      </c>
      <c r="F2815" s="7" t="n">
        <f aca="false">C2815*D2815</f>
        <v>560</v>
      </c>
      <c r="G2815" s="7" t="n">
        <f aca="false">ROUND(F2815*0.2,2)</f>
        <v>112</v>
      </c>
      <c r="H2815" s="4" t="str">
        <f aca="false">IF(F2815&gt;500,"Yüksek",IF(F2815&gt;100,"Orta","Düşük"))</f>
        <v>Yüksek</v>
      </c>
    </row>
    <row r="2816" customFormat="false" ht="12.8" hidden="false" customHeight="false" outlineLevel="0" collapsed="false">
      <c r="A2816" s="4" t="s">
        <v>16</v>
      </c>
      <c r="B2816" s="4" t="s">
        <v>17</v>
      </c>
      <c r="C2816" s="4" t="n">
        <v>42</v>
      </c>
      <c r="D2816" s="5" t="n">
        <v>18.75</v>
      </c>
      <c r="E2816" s="6" t="n">
        <f aca="false">DATE(2024,6,14)</f>
        <v>45457</v>
      </c>
      <c r="F2816" s="7" t="n">
        <f aca="false">C2816*D2816</f>
        <v>787.5</v>
      </c>
      <c r="G2816" s="7" t="n">
        <f aca="false">ROUND(F2816*0.2,2)</f>
        <v>157.5</v>
      </c>
      <c r="H2816" s="4" t="str">
        <f aca="false">IF(F2816&gt;500,"Yüksek",IF(F2816&gt;100,"Orta","Düşük"))</f>
        <v>Yüksek</v>
      </c>
    </row>
    <row r="2817" customFormat="false" ht="12.8" hidden="false" customHeight="false" outlineLevel="0" collapsed="false">
      <c r="A2817" s="4" t="s">
        <v>18</v>
      </c>
      <c r="B2817" s="4" t="s">
        <v>19</v>
      </c>
      <c r="C2817" s="4" t="n">
        <v>49</v>
      </c>
      <c r="D2817" s="5" t="n">
        <v>21.5</v>
      </c>
      <c r="E2817" s="6" t="n">
        <f aca="false">DATE(2024,7,15)</f>
        <v>45488</v>
      </c>
      <c r="F2817" s="7" t="n">
        <f aca="false">C2817*D2817</f>
        <v>1053.5</v>
      </c>
      <c r="G2817" s="7" t="n">
        <f aca="false">ROUND(F2817*0.2,2)</f>
        <v>210.7</v>
      </c>
      <c r="H2817" s="4" t="str">
        <f aca="false">IF(F2817&gt;500,"Yüksek",IF(F2817&gt;100,"Orta","Düşük"))</f>
        <v>Yüksek</v>
      </c>
    </row>
    <row r="2818" customFormat="false" ht="12.8" hidden="false" customHeight="false" outlineLevel="0" collapsed="false">
      <c r="A2818" s="4" t="s">
        <v>20</v>
      </c>
      <c r="B2818" s="4" t="s">
        <v>11</v>
      </c>
      <c r="C2818" s="4" t="n">
        <v>6</v>
      </c>
      <c r="D2818" s="5" t="n">
        <v>24.25</v>
      </c>
      <c r="E2818" s="6" t="n">
        <f aca="false">DATE(2024,8,16)</f>
        <v>45520</v>
      </c>
      <c r="F2818" s="7" t="n">
        <f aca="false">C2818*D2818</f>
        <v>145.5</v>
      </c>
      <c r="G2818" s="7" t="n">
        <f aca="false">ROUND(F2818*0.2,2)</f>
        <v>29.1</v>
      </c>
      <c r="H2818" s="4" t="str">
        <f aca="false">IF(F2818&gt;500,"Yüksek",IF(F2818&gt;100,"Orta","Düşük"))</f>
        <v>Orta</v>
      </c>
    </row>
    <row r="2819" customFormat="false" ht="12.8" hidden="false" customHeight="false" outlineLevel="0" collapsed="false">
      <c r="A2819" s="4" t="s">
        <v>21</v>
      </c>
      <c r="B2819" s="4" t="s">
        <v>13</v>
      </c>
      <c r="C2819" s="4" t="n">
        <v>13</v>
      </c>
      <c r="D2819" s="5" t="n">
        <v>27</v>
      </c>
      <c r="E2819" s="6" t="n">
        <f aca="false">DATE(2024,9,17)</f>
        <v>45552</v>
      </c>
      <c r="F2819" s="7" t="n">
        <f aca="false">C2819*D2819</f>
        <v>351</v>
      </c>
      <c r="G2819" s="7" t="n">
        <f aca="false">ROUND(F2819*0.2,2)</f>
        <v>70.2</v>
      </c>
      <c r="H2819" s="4" t="str">
        <f aca="false">IF(F2819&gt;500,"Yüksek",IF(F2819&gt;100,"Orta","Düşük"))</f>
        <v>Orta</v>
      </c>
    </row>
    <row r="2820" customFormat="false" ht="12.8" hidden="false" customHeight="false" outlineLevel="0" collapsed="false">
      <c r="A2820" s="4" t="s">
        <v>22</v>
      </c>
      <c r="B2820" s="4" t="s">
        <v>15</v>
      </c>
      <c r="C2820" s="4" t="n">
        <v>20</v>
      </c>
      <c r="D2820" s="5" t="n">
        <v>29.75</v>
      </c>
      <c r="E2820" s="6" t="n">
        <f aca="false">DATE(2024,10,18)</f>
        <v>45583</v>
      </c>
      <c r="F2820" s="7" t="n">
        <f aca="false">C2820*D2820</f>
        <v>595</v>
      </c>
      <c r="G2820" s="7" t="n">
        <f aca="false">ROUND(F2820*0.2,2)</f>
        <v>119</v>
      </c>
      <c r="H2820" s="4" t="str">
        <f aca="false">IF(F2820&gt;500,"Yüksek",IF(F2820&gt;100,"Orta","Düşük"))</f>
        <v>Yüksek</v>
      </c>
    </row>
    <row r="2821" customFormat="false" ht="12.8" hidden="false" customHeight="false" outlineLevel="0" collapsed="false">
      <c r="A2821" s="4" t="s">
        <v>23</v>
      </c>
      <c r="B2821" s="4" t="s">
        <v>17</v>
      </c>
      <c r="C2821" s="4" t="n">
        <v>27</v>
      </c>
      <c r="D2821" s="5" t="n">
        <v>32.5</v>
      </c>
      <c r="E2821" s="6" t="n">
        <f aca="false">DATE(2024,11,19)</f>
        <v>45615</v>
      </c>
      <c r="F2821" s="7" t="n">
        <f aca="false">C2821*D2821</f>
        <v>877.5</v>
      </c>
      <c r="G2821" s="7" t="n">
        <f aca="false">ROUND(F2821*0.2,2)</f>
        <v>175.5</v>
      </c>
      <c r="H2821" s="4" t="str">
        <f aca="false">IF(F2821&gt;500,"Yüksek",IF(F2821&gt;100,"Orta","Düşük"))</f>
        <v>Yüksek</v>
      </c>
    </row>
    <row r="2822" customFormat="false" ht="12.8" hidden="false" customHeight="false" outlineLevel="0" collapsed="false">
      <c r="A2822" s="4" t="s">
        <v>24</v>
      </c>
      <c r="B2822" s="4" t="s">
        <v>19</v>
      </c>
      <c r="C2822" s="4" t="n">
        <v>34</v>
      </c>
      <c r="D2822" s="5" t="n">
        <v>35.25</v>
      </c>
      <c r="E2822" s="6" t="n">
        <f aca="false">DATE(2024,12,20)</f>
        <v>45646</v>
      </c>
      <c r="F2822" s="7" t="n">
        <f aca="false">C2822*D2822</f>
        <v>1198.5</v>
      </c>
      <c r="G2822" s="7" t="n">
        <f aca="false">ROUND(F2822*0.2,2)</f>
        <v>239.7</v>
      </c>
      <c r="H2822" s="4" t="str">
        <f aca="false">IF(F2822&gt;500,"Yüksek",IF(F2822&gt;100,"Orta","Düşük"))</f>
        <v>Yüksek</v>
      </c>
    </row>
    <row r="2823" customFormat="false" ht="12.8" hidden="false" customHeight="false" outlineLevel="0" collapsed="false">
      <c r="A2823" s="4" t="s">
        <v>10</v>
      </c>
      <c r="B2823" s="4" t="s">
        <v>11</v>
      </c>
      <c r="C2823" s="4" t="n">
        <v>41</v>
      </c>
      <c r="D2823" s="5" t="n">
        <v>38</v>
      </c>
      <c r="E2823" s="6" t="n">
        <f aca="false">DATE(2024,1,21)</f>
        <v>45312</v>
      </c>
      <c r="F2823" s="7" t="n">
        <f aca="false">C2823*D2823</f>
        <v>1558</v>
      </c>
      <c r="G2823" s="7" t="n">
        <f aca="false">ROUND(F2823*0.2,2)</f>
        <v>311.6</v>
      </c>
      <c r="H2823" s="4" t="str">
        <f aca="false">IF(F2823&gt;500,"Yüksek",IF(F2823&gt;100,"Orta","Düşük"))</f>
        <v>Yüksek</v>
      </c>
    </row>
    <row r="2824" customFormat="false" ht="12.8" hidden="false" customHeight="false" outlineLevel="0" collapsed="false">
      <c r="A2824" s="4" t="s">
        <v>12</v>
      </c>
      <c r="B2824" s="4" t="s">
        <v>13</v>
      </c>
      <c r="C2824" s="4" t="n">
        <v>48</v>
      </c>
      <c r="D2824" s="5" t="n">
        <v>5</v>
      </c>
      <c r="E2824" s="6" t="n">
        <f aca="false">DATE(2024,2,22)</f>
        <v>45344</v>
      </c>
      <c r="F2824" s="7" t="n">
        <f aca="false">C2824*D2824</f>
        <v>240</v>
      </c>
      <c r="G2824" s="7" t="n">
        <f aca="false">ROUND(F2824*0.2,2)</f>
        <v>48</v>
      </c>
      <c r="H2824" s="4" t="str">
        <f aca="false">IF(F2824&gt;500,"Yüksek",IF(F2824&gt;100,"Orta","Düşük"))</f>
        <v>Orta</v>
      </c>
    </row>
    <row r="2825" customFormat="false" ht="12.8" hidden="false" customHeight="false" outlineLevel="0" collapsed="false">
      <c r="A2825" s="4" t="s">
        <v>14</v>
      </c>
      <c r="B2825" s="4" t="s">
        <v>15</v>
      </c>
      <c r="C2825" s="4" t="n">
        <v>5</v>
      </c>
      <c r="D2825" s="5" t="n">
        <v>7.75</v>
      </c>
      <c r="E2825" s="6" t="n">
        <f aca="false">DATE(2024,3,23)</f>
        <v>45374</v>
      </c>
      <c r="F2825" s="7" t="n">
        <f aca="false">C2825*D2825</f>
        <v>38.75</v>
      </c>
      <c r="G2825" s="7" t="n">
        <f aca="false">ROUND(F2825*0.2,2)</f>
        <v>7.75</v>
      </c>
      <c r="H2825" s="4" t="str">
        <f aca="false">IF(F2825&gt;500,"Yüksek",IF(F2825&gt;100,"Orta","Düşük"))</f>
        <v>Düşük</v>
      </c>
    </row>
    <row r="2826" customFormat="false" ht="12.8" hidden="false" customHeight="false" outlineLevel="0" collapsed="false">
      <c r="A2826" s="4" t="s">
        <v>16</v>
      </c>
      <c r="B2826" s="4" t="s">
        <v>17</v>
      </c>
      <c r="C2826" s="4" t="n">
        <v>12</v>
      </c>
      <c r="D2826" s="5" t="n">
        <v>10.5</v>
      </c>
      <c r="E2826" s="6" t="n">
        <f aca="false">DATE(2024,4,24)</f>
        <v>45406</v>
      </c>
      <c r="F2826" s="7" t="n">
        <f aca="false">C2826*D2826</f>
        <v>126</v>
      </c>
      <c r="G2826" s="7" t="n">
        <f aca="false">ROUND(F2826*0.2,2)</f>
        <v>25.2</v>
      </c>
      <c r="H2826" s="4" t="str">
        <f aca="false">IF(F2826&gt;500,"Yüksek",IF(F2826&gt;100,"Orta","Düşük"))</f>
        <v>Orta</v>
      </c>
    </row>
    <row r="2827" customFormat="false" ht="12.8" hidden="false" customHeight="false" outlineLevel="0" collapsed="false">
      <c r="A2827" s="4" t="s">
        <v>18</v>
      </c>
      <c r="B2827" s="4" t="s">
        <v>19</v>
      </c>
      <c r="C2827" s="4" t="n">
        <v>19</v>
      </c>
      <c r="D2827" s="5" t="n">
        <v>13.25</v>
      </c>
      <c r="E2827" s="6" t="n">
        <f aca="false">DATE(2024,5,25)</f>
        <v>45437</v>
      </c>
      <c r="F2827" s="7" t="n">
        <f aca="false">C2827*D2827</f>
        <v>251.75</v>
      </c>
      <c r="G2827" s="7" t="n">
        <f aca="false">ROUND(F2827*0.2,2)</f>
        <v>50.35</v>
      </c>
      <c r="H2827" s="4" t="str">
        <f aca="false">IF(F2827&gt;500,"Yüksek",IF(F2827&gt;100,"Orta","Düşük"))</f>
        <v>Orta</v>
      </c>
    </row>
    <row r="2828" customFormat="false" ht="12.8" hidden="false" customHeight="false" outlineLevel="0" collapsed="false">
      <c r="A2828" s="4" t="s">
        <v>20</v>
      </c>
      <c r="B2828" s="4" t="s">
        <v>11</v>
      </c>
      <c r="C2828" s="4" t="n">
        <v>26</v>
      </c>
      <c r="D2828" s="5" t="n">
        <v>16</v>
      </c>
      <c r="E2828" s="6" t="n">
        <f aca="false">DATE(2024,6,26)</f>
        <v>45469</v>
      </c>
      <c r="F2828" s="7" t="n">
        <f aca="false">C2828*D2828</f>
        <v>416</v>
      </c>
      <c r="G2828" s="7" t="n">
        <f aca="false">ROUND(F2828*0.2,2)</f>
        <v>83.2</v>
      </c>
      <c r="H2828" s="4" t="str">
        <f aca="false">IF(F2828&gt;500,"Yüksek",IF(F2828&gt;100,"Orta","Düşük"))</f>
        <v>Orta</v>
      </c>
    </row>
    <row r="2829" customFormat="false" ht="12.8" hidden="false" customHeight="false" outlineLevel="0" collapsed="false">
      <c r="A2829" s="4" t="s">
        <v>21</v>
      </c>
      <c r="B2829" s="4" t="s">
        <v>13</v>
      </c>
      <c r="C2829" s="4" t="n">
        <v>33</v>
      </c>
      <c r="D2829" s="5" t="n">
        <v>18.75</v>
      </c>
      <c r="E2829" s="6" t="n">
        <f aca="false">DATE(2024,7,27)</f>
        <v>45500</v>
      </c>
      <c r="F2829" s="7" t="n">
        <f aca="false">C2829*D2829</f>
        <v>618.75</v>
      </c>
      <c r="G2829" s="7" t="n">
        <f aca="false">ROUND(F2829*0.2,2)</f>
        <v>123.75</v>
      </c>
      <c r="H2829" s="4" t="str">
        <f aca="false">IF(F2829&gt;500,"Yüksek",IF(F2829&gt;100,"Orta","Düşük"))</f>
        <v>Yüksek</v>
      </c>
    </row>
    <row r="2830" customFormat="false" ht="12.8" hidden="false" customHeight="false" outlineLevel="0" collapsed="false">
      <c r="A2830" s="4" t="s">
        <v>22</v>
      </c>
      <c r="B2830" s="4" t="s">
        <v>15</v>
      </c>
      <c r="C2830" s="4" t="n">
        <v>40</v>
      </c>
      <c r="D2830" s="5" t="n">
        <v>21.5</v>
      </c>
      <c r="E2830" s="6" t="n">
        <f aca="false">DATE(2024,8,28)</f>
        <v>45532</v>
      </c>
      <c r="F2830" s="7" t="n">
        <f aca="false">C2830*D2830</f>
        <v>860</v>
      </c>
      <c r="G2830" s="7" t="n">
        <f aca="false">ROUND(F2830*0.2,2)</f>
        <v>172</v>
      </c>
      <c r="H2830" s="4" t="str">
        <f aca="false">IF(F2830&gt;500,"Yüksek",IF(F2830&gt;100,"Orta","Düşük"))</f>
        <v>Yüksek</v>
      </c>
    </row>
    <row r="2831" customFormat="false" ht="12.8" hidden="false" customHeight="false" outlineLevel="0" collapsed="false">
      <c r="A2831" s="4" t="s">
        <v>23</v>
      </c>
      <c r="B2831" s="4" t="s">
        <v>17</v>
      </c>
      <c r="C2831" s="4" t="n">
        <v>47</v>
      </c>
      <c r="D2831" s="5" t="n">
        <v>24.25</v>
      </c>
      <c r="E2831" s="6" t="n">
        <f aca="false">DATE(2024,9,1)</f>
        <v>45536</v>
      </c>
      <c r="F2831" s="7" t="n">
        <f aca="false">C2831*D2831</f>
        <v>1139.75</v>
      </c>
      <c r="G2831" s="7" t="n">
        <f aca="false">ROUND(F2831*0.2,2)</f>
        <v>227.95</v>
      </c>
      <c r="H2831" s="4" t="str">
        <f aca="false">IF(F2831&gt;500,"Yüksek",IF(F2831&gt;100,"Orta","Düşük"))</f>
        <v>Yüksek</v>
      </c>
    </row>
    <row r="2832" customFormat="false" ht="12.8" hidden="false" customHeight="false" outlineLevel="0" collapsed="false">
      <c r="A2832" s="4" t="s">
        <v>24</v>
      </c>
      <c r="B2832" s="4" t="s">
        <v>19</v>
      </c>
      <c r="C2832" s="4" t="n">
        <v>4</v>
      </c>
      <c r="D2832" s="5" t="n">
        <v>27</v>
      </c>
      <c r="E2832" s="6" t="n">
        <f aca="false">DATE(2024,10,2)</f>
        <v>45567</v>
      </c>
      <c r="F2832" s="7" t="n">
        <f aca="false">C2832*D2832</f>
        <v>108</v>
      </c>
      <c r="G2832" s="7" t="n">
        <f aca="false">ROUND(F2832*0.2,2)</f>
        <v>21.6</v>
      </c>
      <c r="H2832" s="4" t="str">
        <f aca="false">IF(F2832&gt;500,"Yüksek",IF(F2832&gt;100,"Orta","Düşük"))</f>
        <v>Orta</v>
      </c>
    </row>
    <row r="2833" customFormat="false" ht="12.8" hidden="false" customHeight="false" outlineLevel="0" collapsed="false">
      <c r="A2833" s="4" t="s">
        <v>10</v>
      </c>
      <c r="B2833" s="4" t="s">
        <v>11</v>
      </c>
      <c r="C2833" s="4" t="n">
        <v>11</v>
      </c>
      <c r="D2833" s="5" t="n">
        <v>29.75</v>
      </c>
      <c r="E2833" s="6" t="n">
        <f aca="false">DATE(2024,11,3)</f>
        <v>45599</v>
      </c>
      <c r="F2833" s="7" t="n">
        <f aca="false">C2833*D2833</f>
        <v>327.25</v>
      </c>
      <c r="G2833" s="7" t="n">
        <f aca="false">ROUND(F2833*0.2,2)</f>
        <v>65.45</v>
      </c>
      <c r="H2833" s="4" t="str">
        <f aca="false">IF(F2833&gt;500,"Yüksek",IF(F2833&gt;100,"Orta","Düşük"))</f>
        <v>Orta</v>
      </c>
    </row>
    <row r="2834" customFormat="false" ht="12.8" hidden="false" customHeight="false" outlineLevel="0" collapsed="false">
      <c r="A2834" s="4" t="s">
        <v>12</v>
      </c>
      <c r="B2834" s="4" t="s">
        <v>13</v>
      </c>
      <c r="C2834" s="4" t="n">
        <v>18</v>
      </c>
      <c r="D2834" s="5" t="n">
        <v>32.5</v>
      </c>
      <c r="E2834" s="6" t="n">
        <f aca="false">DATE(2024,12,4)</f>
        <v>45630</v>
      </c>
      <c r="F2834" s="7" t="n">
        <f aca="false">C2834*D2834</f>
        <v>585</v>
      </c>
      <c r="G2834" s="7" t="n">
        <f aca="false">ROUND(F2834*0.2,2)</f>
        <v>117</v>
      </c>
      <c r="H2834" s="4" t="str">
        <f aca="false">IF(F2834&gt;500,"Yüksek",IF(F2834&gt;100,"Orta","Düşük"))</f>
        <v>Yüksek</v>
      </c>
    </row>
    <row r="2835" customFormat="false" ht="12.8" hidden="false" customHeight="false" outlineLevel="0" collapsed="false">
      <c r="A2835" s="4" t="s">
        <v>14</v>
      </c>
      <c r="B2835" s="4" t="s">
        <v>15</v>
      </c>
      <c r="C2835" s="4" t="n">
        <v>25</v>
      </c>
      <c r="D2835" s="5" t="n">
        <v>35.25</v>
      </c>
      <c r="E2835" s="6" t="n">
        <f aca="false">DATE(2024,1,5)</f>
        <v>45296</v>
      </c>
      <c r="F2835" s="7" t="n">
        <f aca="false">C2835*D2835</f>
        <v>881.25</v>
      </c>
      <c r="G2835" s="7" t="n">
        <f aca="false">ROUND(F2835*0.2,2)</f>
        <v>176.25</v>
      </c>
      <c r="H2835" s="4" t="str">
        <f aca="false">IF(F2835&gt;500,"Yüksek",IF(F2835&gt;100,"Orta","Düşük"))</f>
        <v>Yüksek</v>
      </c>
    </row>
    <row r="2836" customFormat="false" ht="12.8" hidden="false" customHeight="false" outlineLevel="0" collapsed="false">
      <c r="A2836" s="4" t="s">
        <v>16</v>
      </c>
      <c r="B2836" s="4" t="s">
        <v>17</v>
      </c>
      <c r="C2836" s="4" t="n">
        <v>32</v>
      </c>
      <c r="D2836" s="5" t="n">
        <v>38</v>
      </c>
      <c r="E2836" s="6" t="n">
        <f aca="false">DATE(2024,2,6)</f>
        <v>45328</v>
      </c>
      <c r="F2836" s="7" t="n">
        <f aca="false">C2836*D2836</f>
        <v>1216</v>
      </c>
      <c r="G2836" s="7" t="n">
        <f aca="false">ROUND(F2836*0.2,2)</f>
        <v>243.2</v>
      </c>
      <c r="H2836" s="4" t="str">
        <f aca="false">IF(F2836&gt;500,"Yüksek",IF(F2836&gt;100,"Orta","Düşük"))</f>
        <v>Yüksek</v>
      </c>
    </row>
    <row r="2837" customFormat="false" ht="12.8" hidden="false" customHeight="false" outlineLevel="0" collapsed="false">
      <c r="A2837" s="4" t="s">
        <v>18</v>
      </c>
      <c r="B2837" s="4" t="s">
        <v>19</v>
      </c>
      <c r="C2837" s="4" t="n">
        <v>39</v>
      </c>
      <c r="D2837" s="5" t="n">
        <v>5</v>
      </c>
      <c r="E2837" s="6" t="n">
        <f aca="false">DATE(2024,3,7)</f>
        <v>45358</v>
      </c>
      <c r="F2837" s="7" t="n">
        <f aca="false">C2837*D2837</f>
        <v>195</v>
      </c>
      <c r="G2837" s="7" t="n">
        <f aca="false">ROUND(F2837*0.2,2)</f>
        <v>39</v>
      </c>
      <c r="H2837" s="4" t="str">
        <f aca="false">IF(F2837&gt;500,"Yüksek",IF(F2837&gt;100,"Orta","Düşük"))</f>
        <v>Orta</v>
      </c>
    </row>
    <row r="2838" customFormat="false" ht="12.8" hidden="false" customHeight="false" outlineLevel="0" collapsed="false">
      <c r="A2838" s="4" t="s">
        <v>20</v>
      </c>
      <c r="B2838" s="4" t="s">
        <v>11</v>
      </c>
      <c r="C2838" s="4" t="n">
        <v>46</v>
      </c>
      <c r="D2838" s="5" t="n">
        <v>7.75</v>
      </c>
      <c r="E2838" s="6" t="n">
        <f aca="false">DATE(2024,4,8)</f>
        <v>45390</v>
      </c>
      <c r="F2838" s="7" t="n">
        <f aca="false">C2838*D2838</f>
        <v>356.5</v>
      </c>
      <c r="G2838" s="7" t="n">
        <f aca="false">ROUND(F2838*0.2,2)</f>
        <v>71.3</v>
      </c>
      <c r="H2838" s="4" t="str">
        <f aca="false">IF(F2838&gt;500,"Yüksek",IF(F2838&gt;100,"Orta","Düşük"))</f>
        <v>Orta</v>
      </c>
    </row>
    <row r="2839" customFormat="false" ht="12.8" hidden="false" customHeight="false" outlineLevel="0" collapsed="false">
      <c r="A2839" s="4" t="s">
        <v>21</v>
      </c>
      <c r="B2839" s="4" t="s">
        <v>13</v>
      </c>
      <c r="C2839" s="4" t="n">
        <v>3</v>
      </c>
      <c r="D2839" s="5" t="n">
        <v>10.5</v>
      </c>
      <c r="E2839" s="6" t="n">
        <f aca="false">DATE(2024,5,9)</f>
        <v>45421</v>
      </c>
      <c r="F2839" s="7" t="n">
        <f aca="false">C2839*D2839</f>
        <v>31.5</v>
      </c>
      <c r="G2839" s="7" t="n">
        <f aca="false">ROUND(F2839*0.2,2)</f>
        <v>6.3</v>
      </c>
      <c r="H2839" s="4" t="str">
        <f aca="false">IF(F2839&gt;500,"Yüksek",IF(F2839&gt;100,"Orta","Düşük"))</f>
        <v>Düşük</v>
      </c>
    </row>
    <row r="2840" customFormat="false" ht="12.8" hidden="false" customHeight="false" outlineLevel="0" collapsed="false">
      <c r="A2840" s="4" t="s">
        <v>22</v>
      </c>
      <c r="B2840" s="4" t="s">
        <v>15</v>
      </c>
      <c r="C2840" s="4" t="n">
        <v>10</v>
      </c>
      <c r="D2840" s="5" t="n">
        <v>13.25</v>
      </c>
      <c r="E2840" s="6" t="n">
        <f aca="false">DATE(2024,6,10)</f>
        <v>45453</v>
      </c>
      <c r="F2840" s="7" t="n">
        <f aca="false">C2840*D2840</f>
        <v>132.5</v>
      </c>
      <c r="G2840" s="7" t="n">
        <f aca="false">ROUND(F2840*0.2,2)</f>
        <v>26.5</v>
      </c>
      <c r="H2840" s="4" t="str">
        <f aca="false">IF(F2840&gt;500,"Yüksek",IF(F2840&gt;100,"Orta","Düşük"))</f>
        <v>Orta</v>
      </c>
    </row>
    <row r="2841" customFormat="false" ht="12.8" hidden="false" customHeight="false" outlineLevel="0" collapsed="false">
      <c r="A2841" s="4" t="s">
        <v>23</v>
      </c>
      <c r="B2841" s="4" t="s">
        <v>17</v>
      </c>
      <c r="C2841" s="4" t="n">
        <v>17</v>
      </c>
      <c r="D2841" s="5" t="n">
        <v>16</v>
      </c>
      <c r="E2841" s="6" t="n">
        <f aca="false">DATE(2024,7,11)</f>
        <v>45484</v>
      </c>
      <c r="F2841" s="7" t="n">
        <f aca="false">C2841*D2841</f>
        <v>272</v>
      </c>
      <c r="G2841" s="7" t="n">
        <f aca="false">ROUND(F2841*0.2,2)</f>
        <v>54.4</v>
      </c>
      <c r="H2841" s="4" t="str">
        <f aca="false">IF(F2841&gt;500,"Yüksek",IF(F2841&gt;100,"Orta","Düşük"))</f>
        <v>Orta</v>
      </c>
    </row>
    <row r="2842" customFormat="false" ht="12.8" hidden="false" customHeight="false" outlineLevel="0" collapsed="false">
      <c r="A2842" s="4" t="s">
        <v>24</v>
      </c>
      <c r="B2842" s="4" t="s">
        <v>19</v>
      </c>
      <c r="C2842" s="4" t="n">
        <v>24</v>
      </c>
      <c r="D2842" s="5" t="n">
        <v>18.75</v>
      </c>
      <c r="E2842" s="6" t="n">
        <f aca="false">DATE(2024,8,12)</f>
        <v>45516</v>
      </c>
      <c r="F2842" s="7" t="n">
        <f aca="false">C2842*D2842</f>
        <v>450</v>
      </c>
      <c r="G2842" s="7" t="n">
        <f aca="false">ROUND(F2842*0.2,2)</f>
        <v>90</v>
      </c>
      <c r="H2842" s="4" t="str">
        <f aca="false">IF(F2842&gt;500,"Yüksek",IF(F2842&gt;100,"Orta","Düşük"))</f>
        <v>Orta</v>
      </c>
    </row>
    <row r="2843" customFormat="false" ht="12.8" hidden="false" customHeight="false" outlineLevel="0" collapsed="false">
      <c r="A2843" s="4" t="s">
        <v>10</v>
      </c>
      <c r="B2843" s="4" t="s">
        <v>11</v>
      </c>
      <c r="C2843" s="4" t="n">
        <v>31</v>
      </c>
      <c r="D2843" s="5" t="n">
        <v>21.5</v>
      </c>
      <c r="E2843" s="6" t="n">
        <f aca="false">DATE(2024,9,13)</f>
        <v>45548</v>
      </c>
      <c r="F2843" s="7" t="n">
        <f aca="false">C2843*D2843</f>
        <v>666.5</v>
      </c>
      <c r="G2843" s="7" t="n">
        <f aca="false">ROUND(F2843*0.2,2)</f>
        <v>133.3</v>
      </c>
      <c r="H2843" s="4" t="str">
        <f aca="false">IF(F2843&gt;500,"Yüksek",IF(F2843&gt;100,"Orta","Düşük"))</f>
        <v>Yüksek</v>
      </c>
    </row>
    <row r="2844" customFormat="false" ht="12.8" hidden="false" customHeight="false" outlineLevel="0" collapsed="false">
      <c r="A2844" s="4" t="s">
        <v>12</v>
      </c>
      <c r="B2844" s="4" t="s">
        <v>13</v>
      </c>
      <c r="C2844" s="4" t="n">
        <v>38</v>
      </c>
      <c r="D2844" s="5" t="n">
        <v>24.25</v>
      </c>
      <c r="E2844" s="6" t="n">
        <f aca="false">DATE(2024,10,14)</f>
        <v>45579</v>
      </c>
      <c r="F2844" s="7" t="n">
        <f aca="false">C2844*D2844</f>
        <v>921.5</v>
      </c>
      <c r="G2844" s="7" t="n">
        <f aca="false">ROUND(F2844*0.2,2)</f>
        <v>184.3</v>
      </c>
      <c r="H2844" s="4" t="str">
        <f aca="false">IF(F2844&gt;500,"Yüksek",IF(F2844&gt;100,"Orta","Düşük"))</f>
        <v>Yüksek</v>
      </c>
    </row>
    <row r="2845" customFormat="false" ht="12.8" hidden="false" customHeight="false" outlineLevel="0" collapsed="false">
      <c r="A2845" s="4" t="s">
        <v>14</v>
      </c>
      <c r="B2845" s="4" t="s">
        <v>15</v>
      </c>
      <c r="C2845" s="4" t="n">
        <v>45</v>
      </c>
      <c r="D2845" s="5" t="n">
        <v>27</v>
      </c>
      <c r="E2845" s="6" t="n">
        <f aca="false">DATE(2024,11,15)</f>
        <v>45611</v>
      </c>
      <c r="F2845" s="7" t="n">
        <f aca="false">C2845*D2845</f>
        <v>1215</v>
      </c>
      <c r="G2845" s="7" t="n">
        <f aca="false">ROUND(F2845*0.2,2)</f>
        <v>243</v>
      </c>
      <c r="H2845" s="4" t="str">
        <f aca="false">IF(F2845&gt;500,"Yüksek",IF(F2845&gt;100,"Orta","Düşük"))</f>
        <v>Yüksek</v>
      </c>
    </row>
    <row r="2846" customFormat="false" ht="12.8" hidden="false" customHeight="false" outlineLevel="0" collapsed="false">
      <c r="A2846" s="4" t="s">
        <v>16</v>
      </c>
      <c r="B2846" s="4" t="s">
        <v>17</v>
      </c>
      <c r="C2846" s="4" t="n">
        <v>2</v>
      </c>
      <c r="D2846" s="5" t="n">
        <v>29.75</v>
      </c>
      <c r="E2846" s="6" t="n">
        <f aca="false">DATE(2024,12,16)</f>
        <v>45642</v>
      </c>
      <c r="F2846" s="7" t="n">
        <f aca="false">C2846*D2846</f>
        <v>59.5</v>
      </c>
      <c r="G2846" s="7" t="n">
        <f aca="false">ROUND(F2846*0.2,2)</f>
        <v>11.9</v>
      </c>
      <c r="H2846" s="4" t="str">
        <f aca="false">IF(F2846&gt;500,"Yüksek",IF(F2846&gt;100,"Orta","Düşük"))</f>
        <v>Düşük</v>
      </c>
    </row>
    <row r="2847" customFormat="false" ht="12.8" hidden="false" customHeight="false" outlineLevel="0" collapsed="false">
      <c r="A2847" s="4" t="s">
        <v>18</v>
      </c>
      <c r="B2847" s="4" t="s">
        <v>19</v>
      </c>
      <c r="C2847" s="4" t="n">
        <v>9</v>
      </c>
      <c r="D2847" s="5" t="n">
        <v>32.5</v>
      </c>
      <c r="E2847" s="6" t="n">
        <f aca="false">DATE(2024,1,17)</f>
        <v>45308</v>
      </c>
      <c r="F2847" s="7" t="n">
        <f aca="false">C2847*D2847</f>
        <v>292.5</v>
      </c>
      <c r="G2847" s="7" t="n">
        <f aca="false">ROUND(F2847*0.2,2)</f>
        <v>58.5</v>
      </c>
      <c r="H2847" s="4" t="str">
        <f aca="false">IF(F2847&gt;500,"Yüksek",IF(F2847&gt;100,"Orta","Düşük"))</f>
        <v>Orta</v>
      </c>
    </row>
    <row r="2848" customFormat="false" ht="12.8" hidden="false" customHeight="false" outlineLevel="0" collapsed="false">
      <c r="A2848" s="4" t="s">
        <v>20</v>
      </c>
      <c r="B2848" s="4" t="s">
        <v>11</v>
      </c>
      <c r="C2848" s="4" t="n">
        <v>16</v>
      </c>
      <c r="D2848" s="5" t="n">
        <v>35.25</v>
      </c>
      <c r="E2848" s="6" t="n">
        <f aca="false">DATE(2024,2,18)</f>
        <v>45340</v>
      </c>
      <c r="F2848" s="7" t="n">
        <f aca="false">C2848*D2848</f>
        <v>564</v>
      </c>
      <c r="G2848" s="7" t="n">
        <f aca="false">ROUND(F2848*0.2,2)</f>
        <v>112.8</v>
      </c>
      <c r="H2848" s="4" t="str">
        <f aca="false">IF(F2848&gt;500,"Yüksek",IF(F2848&gt;100,"Orta","Düşük"))</f>
        <v>Yüksek</v>
      </c>
    </row>
    <row r="2849" customFormat="false" ht="12.8" hidden="false" customHeight="false" outlineLevel="0" collapsed="false">
      <c r="A2849" s="4" t="s">
        <v>21</v>
      </c>
      <c r="B2849" s="4" t="s">
        <v>13</v>
      </c>
      <c r="C2849" s="4" t="n">
        <v>23</v>
      </c>
      <c r="D2849" s="5" t="n">
        <v>38</v>
      </c>
      <c r="E2849" s="6" t="n">
        <f aca="false">DATE(2024,3,19)</f>
        <v>45370</v>
      </c>
      <c r="F2849" s="7" t="n">
        <f aca="false">C2849*D2849</f>
        <v>874</v>
      </c>
      <c r="G2849" s="7" t="n">
        <f aca="false">ROUND(F2849*0.2,2)</f>
        <v>174.8</v>
      </c>
      <c r="H2849" s="4" t="str">
        <f aca="false">IF(F2849&gt;500,"Yüksek",IF(F2849&gt;100,"Orta","Düşük"))</f>
        <v>Yüksek</v>
      </c>
    </row>
    <row r="2850" customFormat="false" ht="12.8" hidden="false" customHeight="false" outlineLevel="0" collapsed="false">
      <c r="A2850" s="4" t="s">
        <v>22</v>
      </c>
      <c r="B2850" s="4" t="s">
        <v>15</v>
      </c>
      <c r="C2850" s="4" t="n">
        <v>30</v>
      </c>
      <c r="D2850" s="5" t="n">
        <v>5</v>
      </c>
      <c r="E2850" s="6" t="n">
        <f aca="false">DATE(2024,4,20)</f>
        <v>45402</v>
      </c>
      <c r="F2850" s="7" t="n">
        <f aca="false">C2850*D2850</f>
        <v>150</v>
      </c>
      <c r="G2850" s="7" t="n">
        <f aca="false">ROUND(F2850*0.2,2)</f>
        <v>30</v>
      </c>
      <c r="H2850" s="4" t="str">
        <f aca="false">IF(F2850&gt;500,"Yüksek",IF(F2850&gt;100,"Orta","Düşük"))</f>
        <v>Orta</v>
      </c>
    </row>
    <row r="2851" customFormat="false" ht="12.8" hidden="false" customHeight="false" outlineLevel="0" collapsed="false">
      <c r="A2851" s="4" t="s">
        <v>23</v>
      </c>
      <c r="B2851" s="4" t="s">
        <v>17</v>
      </c>
      <c r="C2851" s="4" t="n">
        <v>37</v>
      </c>
      <c r="D2851" s="5" t="n">
        <v>7.75</v>
      </c>
      <c r="E2851" s="6" t="n">
        <f aca="false">DATE(2024,5,21)</f>
        <v>45433</v>
      </c>
      <c r="F2851" s="7" t="n">
        <f aca="false">C2851*D2851</f>
        <v>286.75</v>
      </c>
      <c r="G2851" s="7" t="n">
        <f aca="false">ROUND(F2851*0.2,2)</f>
        <v>57.35</v>
      </c>
      <c r="H2851" s="4" t="str">
        <f aca="false">IF(F2851&gt;500,"Yüksek",IF(F2851&gt;100,"Orta","Düşük"))</f>
        <v>Orta</v>
      </c>
    </row>
    <row r="2852" customFormat="false" ht="12.8" hidden="false" customHeight="false" outlineLevel="0" collapsed="false">
      <c r="A2852" s="4" t="s">
        <v>24</v>
      </c>
      <c r="B2852" s="4" t="s">
        <v>19</v>
      </c>
      <c r="C2852" s="4" t="n">
        <v>44</v>
      </c>
      <c r="D2852" s="5" t="n">
        <v>10.5</v>
      </c>
      <c r="E2852" s="6" t="n">
        <f aca="false">DATE(2024,6,22)</f>
        <v>45465</v>
      </c>
      <c r="F2852" s="7" t="n">
        <f aca="false">C2852*D2852</f>
        <v>462</v>
      </c>
      <c r="G2852" s="7" t="n">
        <f aca="false">ROUND(F2852*0.2,2)</f>
        <v>92.4</v>
      </c>
      <c r="H2852" s="4" t="str">
        <f aca="false">IF(F2852&gt;500,"Yüksek",IF(F2852&gt;100,"Orta","Düşük"))</f>
        <v>Orta</v>
      </c>
    </row>
    <row r="2853" customFormat="false" ht="12.8" hidden="false" customHeight="false" outlineLevel="0" collapsed="false">
      <c r="A2853" s="4" t="s">
        <v>10</v>
      </c>
      <c r="B2853" s="4" t="s">
        <v>11</v>
      </c>
      <c r="C2853" s="4" t="n">
        <v>1</v>
      </c>
      <c r="D2853" s="5" t="n">
        <v>13.25</v>
      </c>
      <c r="E2853" s="6" t="n">
        <f aca="false">DATE(2024,7,23)</f>
        <v>45496</v>
      </c>
      <c r="F2853" s="7" t="n">
        <f aca="false">C2853*D2853</f>
        <v>13.25</v>
      </c>
      <c r="G2853" s="7" t="n">
        <f aca="false">ROUND(F2853*0.2,2)</f>
        <v>2.65</v>
      </c>
      <c r="H2853" s="4" t="str">
        <f aca="false">IF(F2853&gt;500,"Yüksek",IF(F2853&gt;100,"Orta","Düşük"))</f>
        <v>Düşük</v>
      </c>
    </row>
    <row r="2854" customFormat="false" ht="12.8" hidden="false" customHeight="false" outlineLevel="0" collapsed="false">
      <c r="A2854" s="4" t="s">
        <v>12</v>
      </c>
      <c r="B2854" s="4" t="s">
        <v>13</v>
      </c>
      <c r="C2854" s="4" t="n">
        <v>8</v>
      </c>
      <c r="D2854" s="5" t="n">
        <v>16</v>
      </c>
      <c r="E2854" s="6" t="n">
        <f aca="false">DATE(2024,8,24)</f>
        <v>45528</v>
      </c>
      <c r="F2854" s="7" t="n">
        <f aca="false">C2854*D2854</f>
        <v>128</v>
      </c>
      <c r="G2854" s="7" t="n">
        <f aca="false">ROUND(F2854*0.2,2)</f>
        <v>25.6</v>
      </c>
      <c r="H2854" s="4" t="str">
        <f aca="false">IF(F2854&gt;500,"Yüksek",IF(F2854&gt;100,"Orta","Düşük"))</f>
        <v>Orta</v>
      </c>
    </row>
    <row r="2855" customFormat="false" ht="12.8" hidden="false" customHeight="false" outlineLevel="0" collapsed="false">
      <c r="A2855" s="4" t="s">
        <v>14</v>
      </c>
      <c r="B2855" s="4" t="s">
        <v>15</v>
      </c>
      <c r="C2855" s="4" t="n">
        <v>15</v>
      </c>
      <c r="D2855" s="5" t="n">
        <v>18.75</v>
      </c>
      <c r="E2855" s="6" t="n">
        <f aca="false">DATE(2024,9,25)</f>
        <v>45560</v>
      </c>
      <c r="F2855" s="7" t="n">
        <f aca="false">C2855*D2855</f>
        <v>281.25</v>
      </c>
      <c r="G2855" s="7" t="n">
        <f aca="false">ROUND(F2855*0.2,2)</f>
        <v>56.25</v>
      </c>
      <c r="H2855" s="4" t="str">
        <f aca="false">IF(F2855&gt;500,"Yüksek",IF(F2855&gt;100,"Orta","Düşük"))</f>
        <v>Orta</v>
      </c>
    </row>
    <row r="2856" customFormat="false" ht="12.8" hidden="false" customHeight="false" outlineLevel="0" collapsed="false">
      <c r="A2856" s="4" t="s">
        <v>16</v>
      </c>
      <c r="B2856" s="4" t="s">
        <v>17</v>
      </c>
      <c r="C2856" s="4" t="n">
        <v>22</v>
      </c>
      <c r="D2856" s="5" t="n">
        <v>21.5</v>
      </c>
      <c r="E2856" s="6" t="n">
        <f aca="false">DATE(2024,10,26)</f>
        <v>45591</v>
      </c>
      <c r="F2856" s="7" t="n">
        <f aca="false">C2856*D2856</f>
        <v>473</v>
      </c>
      <c r="G2856" s="7" t="n">
        <f aca="false">ROUND(F2856*0.2,2)</f>
        <v>94.6</v>
      </c>
      <c r="H2856" s="4" t="str">
        <f aca="false">IF(F2856&gt;500,"Yüksek",IF(F2856&gt;100,"Orta","Düşük"))</f>
        <v>Orta</v>
      </c>
    </row>
    <row r="2857" customFormat="false" ht="12.8" hidden="false" customHeight="false" outlineLevel="0" collapsed="false">
      <c r="A2857" s="4" t="s">
        <v>18</v>
      </c>
      <c r="B2857" s="4" t="s">
        <v>19</v>
      </c>
      <c r="C2857" s="4" t="n">
        <v>29</v>
      </c>
      <c r="D2857" s="5" t="n">
        <v>24.25</v>
      </c>
      <c r="E2857" s="6" t="n">
        <f aca="false">DATE(2024,11,27)</f>
        <v>45623</v>
      </c>
      <c r="F2857" s="7" t="n">
        <f aca="false">C2857*D2857</f>
        <v>703.25</v>
      </c>
      <c r="G2857" s="7" t="n">
        <f aca="false">ROUND(F2857*0.2,2)</f>
        <v>140.65</v>
      </c>
      <c r="H2857" s="4" t="str">
        <f aca="false">IF(F2857&gt;500,"Yüksek",IF(F2857&gt;100,"Orta","Düşük"))</f>
        <v>Yüksek</v>
      </c>
    </row>
    <row r="2858" customFormat="false" ht="12.8" hidden="false" customHeight="false" outlineLevel="0" collapsed="false">
      <c r="A2858" s="4" t="s">
        <v>20</v>
      </c>
      <c r="B2858" s="4" t="s">
        <v>11</v>
      </c>
      <c r="C2858" s="4" t="n">
        <v>36</v>
      </c>
      <c r="D2858" s="5" t="n">
        <v>27</v>
      </c>
      <c r="E2858" s="6" t="n">
        <f aca="false">DATE(2024,12,28)</f>
        <v>45654</v>
      </c>
      <c r="F2858" s="7" t="n">
        <f aca="false">C2858*D2858</f>
        <v>972</v>
      </c>
      <c r="G2858" s="7" t="n">
        <f aca="false">ROUND(F2858*0.2,2)</f>
        <v>194.4</v>
      </c>
      <c r="H2858" s="4" t="str">
        <f aca="false">IF(F2858&gt;500,"Yüksek",IF(F2858&gt;100,"Orta","Düşük"))</f>
        <v>Yüksek</v>
      </c>
    </row>
    <row r="2859" customFormat="false" ht="12.8" hidden="false" customHeight="false" outlineLevel="0" collapsed="false">
      <c r="A2859" s="4" t="s">
        <v>21</v>
      </c>
      <c r="B2859" s="4" t="s">
        <v>13</v>
      </c>
      <c r="C2859" s="4" t="n">
        <v>43</v>
      </c>
      <c r="D2859" s="5" t="n">
        <v>29.75</v>
      </c>
      <c r="E2859" s="6" t="n">
        <f aca="false">DATE(2024,1,1)</f>
        <v>45292</v>
      </c>
      <c r="F2859" s="7" t="n">
        <f aca="false">C2859*D2859</f>
        <v>1279.25</v>
      </c>
      <c r="G2859" s="7" t="n">
        <f aca="false">ROUND(F2859*0.2,2)</f>
        <v>255.85</v>
      </c>
      <c r="H2859" s="4" t="str">
        <f aca="false">IF(F2859&gt;500,"Yüksek",IF(F2859&gt;100,"Orta","Düşük"))</f>
        <v>Yüksek</v>
      </c>
    </row>
    <row r="2860" customFormat="false" ht="12.8" hidden="false" customHeight="false" outlineLevel="0" collapsed="false">
      <c r="A2860" s="4" t="s">
        <v>22</v>
      </c>
      <c r="B2860" s="4" t="s">
        <v>15</v>
      </c>
      <c r="C2860" s="4" t="n">
        <v>50</v>
      </c>
      <c r="D2860" s="5" t="n">
        <v>32.5</v>
      </c>
      <c r="E2860" s="6" t="n">
        <f aca="false">DATE(2024,2,2)</f>
        <v>45324</v>
      </c>
      <c r="F2860" s="7" t="n">
        <f aca="false">C2860*D2860</f>
        <v>1625</v>
      </c>
      <c r="G2860" s="7" t="n">
        <f aca="false">ROUND(F2860*0.2,2)</f>
        <v>325</v>
      </c>
      <c r="H2860" s="4" t="str">
        <f aca="false">IF(F2860&gt;500,"Yüksek",IF(F2860&gt;100,"Orta","Düşük"))</f>
        <v>Yüksek</v>
      </c>
    </row>
    <row r="2861" customFormat="false" ht="12.8" hidden="false" customHeight="false" outlineLevel="0" collapsed="false">
      <c r="A2861" s="4" t="s">
        <v>23</v>
      </c>
      <c r="B2861" s="4" t="s">
        <v>17</v>
      </c>
      <c r="C2861" s="4" t="n">
        <v>7</v>
      </c>
      <c r="D2861" s="5" t="n">
        <v>35.25</v>
      </c>
      <c r="E2861" s="6" t="n">
        <f aca="false">DATE(2024,3,3)</f>
        <v>45354</v>
      </c>
      <c r="F2861" s="7" t="n">
        <f aca="false">C2861*D2861</f>
        <v>246.75</v>
      </c>
      <c r="G2861" s="7" t="n">
        <f aca="false">ROUND(F2861*0.2,2)</f>
        <v>49.35</v>
      </c>
      <c r="H2861" s="4" t="str">
        <f aca="false">IF(F2861&gt;500,"Yüksek",IF(F2861&gt;100,"Orta","Düşük"))</f>
        <v>Orta</v>
      </c>
    </row>
    <row r="2862" customFormat="false" ht="12.8" hidden="false" customHeight="false" outlineLevel="0" collapsed="false">
      <c r="A2862" s="4" t="s">
        <v>24</v>
      </c>
      <c r="B2862" s="4" t="s">
        <v>19</v>
      </c>
      <c r="C2862" s="4" t="n">
        <v>14</v>
      </c>
      <c r="D2862" s="5" t="n">
        <v>38</v>
      </c>
      <c r="E2862" s="6" t="n">
        <f aca="false">DATE(2024,4,4)</f>
        <v>45386</v>
      </c>
      <c r="F2862" s="7" t="n">
        <f aca="false">C2862*D2862</f>
        <v>532</v>
      </c>
      <c r="G2862" s="7" t="n">
        <f aca="false">ROUND(F2862*0.2,2)</f>
        <v>106.4</v>
      </c>
      <c r="H2862" s="4" t="str">
        <f aca="false">IF(F2862&gt;500,"Yüksek",IF(F2862&gt;100,"Orta","Düşük"))</f>
        <v>Yüksek</v>
      </c>
    </row>
    <row r="2863" customFormat="false" ht="12.8" hidden="false" customHeight="false" outlineLevel="0" collapsed="false">
      <c r="A2863" s="4" t="s">
        <v>10</v>
      </c>
      <c r="B2863" s="4" t="s">
        <v>11</v>
      </c>
      <c r="C2863" s="4" t="n">
        <v>21</v>
      </c>
      <c r="D2863" s="5" t="n">
        <v>5</v>
      </c>
      <c r="E2863" s="6" t="n">
        <f aca="false">DATE(2024,5,5)</f>
        <v>45417</v>
      </c>
      <c r="F2863" s="7" t="n">
        <f aca="false">C2863*D2863</f>
        <v>105</v>
      </c>
      <c r="G2863" s="7" t="n">
        <f aca="false">ROUND(F2863*0.2,2)</f>
        <v>21</v>
      </c>
      <c r="H2863" s="4" t="str">
        <f aca="false">IF(F2863&gt;500,"Yüksek",IF(F2863&gt;100,"Orta","Düşük"))</f>
        <v>Orta</v>
      </c>
    </row>
    <row r="2864" customFormat="false" ht="12.8" hidden="false" customHeight="false" outlineLevel="0" collapsed="false">
      <c r="A2864" s="4" t="s">
        <v>12</v>
      </c>
      <c r="B2864" s="4" t="s">
        <v>13</v>
      </c>
      <c r="C2864" s="4" t="n">
        <v>28</v>
      </c>
      <c r="D2864" s="5" t="n">
        <v>7.75</v>
      </c>
      <c r="E2864" s="6" t="n">
        <f aca="false">DATE(2024,6,6)</f>
        <v>45449</v>
      </c>
      <c r="F2864" s="7" t="n">
        <f aca="false">C2864*D2864</f>
        <v>217</v>
      </c>
      <c r="G2864" s="7" t="n">
        <f aca="false">ROUND(F2864*0.2,2)</f>
        <v>43.4</v>
      </c>
      <c r="H2864" s="4" t="str">
        <f aca="false">IF(F2864&gt;500,"Yüksek",IF(F2864&gt;100,"Orta","Düşük"))</f>
        <v>Orta</v>
      </c>
    </row>
    <row r="2865" customFormat="false" ht="12.8" hidden="false" customHeight="false" outlineLevel="0" collapsed="false">
      <c r="A2865" s="4" t="s">
        <v>14</v>
      </c>
      <c r="B2865" s="4" t="s">
        <v>15</v>
      </c>
      <c r="C2865" s="4" t="n">
        <v>35</v>
      </c>
      <c r="D2865" s="5" t="n">
        <v>10.5</v>
      </c>
      <c r="E2865" s="6" t="n">
        <f aca="false">DATE(2024,7,7)</f>
        <v>45480</v>
      </c>
      <c r="F2865" s="7" t="n">
        <f aca="false">C2865*D2865</f>
        <v>367.5</v>
      </c>
      <c r="G2865" s="7" t="n">
        <f aca="false">ROUND(F2865*0.2,2)</f>
        <v>73.5</v>
      </c>
      <c r="H2865" s="4" t="str">
        <f aca="false">IF(F2865&gt;500,"Yüksek",IF(F2865&gt;100,"Orta","Düşük"))</f>
        <v>Orta</v>
      </c>
    </row>
    <row r="2866" customFormat="false" ht="12.8" hidden="false" customHeight="false" outlineLevel="0" collapsed="false">
      <c r="A2866" s="4" t="s">
        <v>16</v>
      </c>
      <c r="B2866" s="4" t="s">
        <v>17</v>
      </c>
      <c r="C2866" s="4" t="n">
        <v>42</v>
      </c>
      <c r="D2866" s="5" t="n">
        <v>13.25</v>
      </c>
      <c r="E2866" s="6" t="n">
        <f aca="false">DATE(2024,8,8)</f>
        <v>45512</v>
      </c>
      <c r="F2866" s="7" t="n">
        <f aca="false">C2866*D2866</f>
        <v>556.5</v>
      </c>
      <c r="G2866" s="7" t="n">
        <f aca="false">ROUND(F2866*0.2,2)</f>
        <v>111.3</v>
      </c>
      <c r="H2866" s="4" t="str">
        <f aca="false">IF(F2866&gt;500,"Yüksek",IF(F2866&gt;100,"Orta","Düşük"))</f>
        <v>Yüksek</v>
      </c>
    </row>
    <row r="2867" customFormat="false" ht="12.8" hidden="false" customHeight="false" outlineLevel="0" collapsed="false">
      <c r="A2867" s="4" t="s">
        <v>18</v>
      </c>
      <c r="B2867" s="4" t="s">
        <v>19</v>
      </c>
      <c r="C2867" s="4" t="n">
        <v>49</v>
      </c>
      <c r="D2867" s="5" t="n">
        <v>16</v>
      </c>
      <c r="E2867" s="6" t="n">
        <f aca="false">DATE(2024,9,9)</f>
        <v>45544</v>
      </c>
      <c r="F2867" s="7" t="n">
        <f aca="false">C2867*D2867</f>
        <v>784</v>
      </c>
      <c r="G2867" s="7" t="n">
        <f aca="false">ROUND(F2867*0.2,2)</f>
        <v>156.8</v>
      </c>
      <c r="H2867" s="4" t="str">
        <f aca="false">IF(F2867&gt;500,"Yüksek",IF(F2867&gt;100,"Orta","Düşük"))</f>
        <v>Yüksek</v>
      </c>
    </row>
    <row r="2868" customFormat="false" ht="12.8" hidden="false" customHeight="false" outlineLevel="0" collapsed="false">
      <c r="A2868" s="4" t="s">
        <v>20</v>
      </c>
      <c r="B2868" s="4" t="s">
        <v>11</v>
      </c>
      <c r="C2868" s="4" t="n">
        <v>6</v>
      </c>
      <c r="D2868" s="5" t="n">
        <v>18.75</v>
      </c>
      <c r="E2868" s="6" t="n">
        <f aca="false">DATE(2024,10,10)</f>
        <v>45575</v>
      </c>
      <c r="F2868" s="7" t="n">
        <f aca="false">C2868*D2868</f>
        <v>112.5</v>
      </c>
      <c r="G2868" s="7" t="n">
        <f aca="false">ROUND(F2868*0.2,2)</f>
        <v>22.5</v>
      </c>
      <c r="H2868" s="4" t="str">
        <f aca="false">IF(F2868&gt;500,"Yüksek",IF(F2868&gt;100,"Orta","Düşük"))</f>
        <v>Orta</v>
      </c>
    </row>
    <row r="2869" customFormat="false" ht="12.8" hidden="false" customHeight="false" outlineLevel="0" collapsed="false">
      <c r="A2869" s="4" t="s">
        <v>21</v>
      </c>
      <c r="B2869" s="4" t="s">
        <v>13</v>
      </c>
      <c r="C2869" s="4" t="n">
        <v>13</v>
      </c>
      <c r="D2869" s="5" t="n">
        <v>21.5</v>
      </c>
      <c r="E2869" s="6" t="n">
        <f aca="false">DATE(2024,11,11)</f>
        <v>45607</v>
      </c>
      <c r="F2869" s="7" t="n">
        <f aca="false">C2869*D2869</f>
        <v>279.5</v>
      </c>
      <c r="G2869" s="7" t="n">
        <f aca="false">ROUND(F2869*0.2,2)</f>
        <v>55.9</v>
      </c>
      <c r="H2869" s="4" t="str">
        <f aca="false">IF(F2869&gt;500,"Yüksek",IF(F2869&gt;100,"Orta","Düşük"))</f>
        <v>Orta</v>
      </c>
    </row>
    <row r="2870" customFormat="false" ht="12.8" hidden="false" customHeight="false" outlineLevel="0" collapsed="false">
      <c r="A2870" s="4" t="s">
        <v>22</v>
      </c>
      <c r="B2870" s="4" t="s">
        <v>15</v>
      </c>
      <c r="C2870" s="4" t="n">
        <v>20</v>
      </c>
      <c r="D2870" s="5" t="n">
        <v>24.25</v>
      </c>
      <c r="E2870" s="6" t="n">
        <f aca="false">DATE(2024,12,12)</f>
        <v>45638</v>
      </c>
      <c r="F2870" s="7" t="n">
        <f aca="false">C2870*D2870</f>
        <v>485</v>
      </c>
      <c r="G2870" s="7" t="n">
        <f aca="false">ROUND(F2870*0.2,2)</f>
        <v>97</v>
      </c>
      <c r="H2870" s="4" t="str">
        <f aca="false">IF(F2870&gt;500,"Yüksek",IF(F2870&gt;100,"Orta","Düşük"))</f>
        <v>Orta</v>
      </c>
    </row>
    <row r="2871" customFormat="false" ht="12.8" hidden="false" customHeight="false" outlineLevel="0" collapsed="false">
      <c r="A2871" s="4" t="s">
        <v>23</v>
      </c>
      <c r="B2871" s="4" t="s">
        <v>17</v>
      </c>
      <c r="C2871" s="4" t="n">
        <v>27</v>
      </c>
      <c r="D2871" s="5" t="n">
        <v>27</v>
      </c>
      <c r="E2871" s="6" t="n">
        <f aca="false">DATE(2024,1,13)</f>
        <v>45304</v>
      </c>
      <c r="F2871" s="7" t="n">
        <f aca="false">C2871*D2871</f>
        <v>729</v>
      </c>
      <c r="G2871" s="7" t="n">
        <f aca="false">ROUND(F2871*0.2,2)</f>
        <v>145.8</v>
      </c>
      <c r="H2871" s="4" t="str">
        <f aca="false">IF(F2871&gt;500,"Yüksek",IF(F2871&gt;100,"Orta","Düşük"))</f>
        <v>Yüksek</v>
      </c>
    </row>
    <row r="2872" customFormat="false" ht="12.8" hidden="false" customHeight="false" outlineLevel="0" collapsed="false">
      <c r="A2872" s="4" t="s">
        <v>24</v>
      </c>
      <c r="B2872" s="4" t="s">
        <v>19</v>
      </c>
      <c r="C2872" s="4" t="n">
        <v>34</v>
      </c>
      <c r="D2872" s="5" t="n">
        <v>29.75</v>
      </c>
      <c r="E2872" s="6" t="n">
        <f aca="false">DATE(2024,2,14)</f>
        <v>45336</v>
      </c>
      <c r="F2872" s="7" t="n">
        <f aca="false">C2872*D2872</f>
        <v>1011.5</v>
      </c>
      <c r="G2872" s="7" t="n">
        <f aca="false">ROUND(F2872*0.2,2)</f>
        <v>202.3</v>
      </c>
      <c r="H2872" s="4" t="str">
        <f aca="false">IF(F2872&gt;500,"Yüksek",IF(F2872&gt;100,"Orta","Düşük"))</f>
        <v>Yüksek</v>
      </c>
    </row>
    <row r="2873" customFormat="false" ht="12.8" hidden="false" customHeight="false" outlineLevel="0" collapsed="false">
      <c r="A2873" s="4" t="s">
        <v>10</v>
      </c>
      <c r="B2873" s="4" t="s">
        <v>11</v>
      </c>
      <c r="C2873" s="4" t="n">
        <v>41</v>
      </c>
      <c r="D2873" s="5" t="n">
        <v>32.5</v>
      </c>
      <c r="E2873" s="6" t="n">
        <f aca="false">DATE(2024,3,15)</f>
        <v>45366</v>
      </c>
      <c r="F2873" s="7" t="n">
        <f aca="false">C2873*D2873</f>
        <v>1332.5</v>
      </c>
      <c r="G2873" s="7" t="n">
        <f aca="false">ROUND(F2873*0.2,2)</f>
        <v>266.5</v>
      </c>
      <c r="H2873" s="4" t="str">
        <f aca="false">IF(F2873&gt;500,"Yüksek",IF(F2873&gt;100,"Orta","Düşük"))</f>
        <v>Yüksek</v>
      </c>
    </row>
    <row r="2874" customFormat="false" ht="12.8" hidden="false" customHeight="false" outlineLevel="0" collapsed="false">
      <c r="A2874" s="4" t="s">
        <v>12</v>
      </c>
      <c r="B2874" s="4" t="s">
        <v>13</v>
      </c>
      <c r="C2874" s="4" t="n">
        <v>48</v>
      </c>
      <c r="D2874" s="5" t="n">
        <v>35.25</v>
      </c>
      <c r="E2874" s="6" t="n">
        <f aca="false">DATE(2024,4,16)</f>
        <v>45398</v>
      </c>
      <c r="F2874" s="7" t="n">
        <f aca="false">C2874*D2874</f>
        <v>1692</v>
      </c>
      <c r="G2874" s="7" t="n">
        <f aca="false">ROUND(F2874*0.2,2)</f>
        <v>338.4</v>
      </c>
      <c r="H2874" s="4" t="str">
        <f aca="false">IF(F2874&gt;500,"Yüksek",IF(F2874&gt;100,"Orta","Düşük"))</f>
        <v>Yüksek</v>
      </c>
    </row>
    <row r="2875" customFormat="false" ht="12.8" hidden="false" customHeight="false" outlineLevel="0" collapsed="false">
      <c r="A2875" s="4" t="s">
        <v>14</v>
      </c>
      <c r="B2875" s="4" t="s">
        <v>15</v>
      </c>
      <c r="C2875" s="4" t="n">
        <v>5</v>
      </c>
      <c r="D2875" s="5" t="n">
        <v>38</v>
      </c>
      <c r="E2875" s="6" t="n">
        <f aca="false">DATE(2024,5,17)</f>
        <v>45429</v>
      </c>
      <c r="F2875" s="7" t="n">
        <f aca="false">C2875*D2875</f>
        <v>190</v>
      </c>
      <c r="G2875" s="7" t="n">
        <f aca="false">ROUND(F2875*0.2,2)</f>
        <v>38</v>
      </c>
      <c r="H2875" s="4" t="str">
        <f aca="false">IF(F2875&gt;500,"Yüksek",IF(F2875&gt;100,"Orta","Düşük"))</f>
        <v>Orta</v>
      </c>
    </row>
    <row r="2876" customFormat="false" ht="12.8" hidden="false" customHeight="false" outlineLevel="0" collapsed="false">
      <c r="A2876" s="4" t="s">
        <v>16</v>
      </c>
      <c r="B2876" s="4" t="s">
        <v>17</v>
      </c>
      <c r="C2876" s="4" t="n">
        <v>12</v>
      </c>
      <c r="D2876" s="5" t="n">
        <v>5</v>
      </c>
      <c r="E2876" s="6" t="n">
        <f aca="false">DATE(2024,6,18)</f>
        <v>45461</v>
      </c>
      <c r="F2876" s="7" t="n">
        <f aca="false">C2876*D2876</f>
        <v>60</v>
      </c>
      <c r="G2876" s="7" t="n">
        <f aca="false">ROUND(F2876*0.2,2)</f>
        <v>12</v>
      </c>
      <c r="H2876" s="4" t="str">
        <f aca="false">IF(F2876&gt;500,"Yüksek",IF(F2876&gt;100,"Orta","Düşük"))</f>
        <v>Düşük</v>
      </c>
    </row>
    <row r="2877" customFormat="false" ht="12.8" hidden="false" customHeight="false" outlineLevel="0" collapsed="false">
      <c r="A2877" s="4" t="s">
        <v>18</v>
      </c>
      <c r="B2877" s="4" t="s">
        <v>19</v>
      </c>
      <c r="C2877" s="4" t="n">
        <v>19</v>
      </c>
      <c r="D2877" s="5" t="n">
        <v>7.75</v>
      </c>
      <c r="E2877" s="6" t="n">
        <f aca="false">DATE(2024,7,19)</f>
        <v>45492</v>
      </c>
      <c r="F2877" s="7" t="n">
        <f aca="false">C2877*D2877</f>
        <v>147.25</v>
      </c>
      <c r="G2877" s="7" t="n">
        <f aca="false">ROUND(F2877*0.2,2)</f>
        <v>29.45</v>
      </c>
      <c r="H2877" s="4" t="str">
        <f aca="false">IF(F2877&gt;500,"Yüksek",IF(F2877&gt;100,"Orta","Düşük"))</f>
        <v>Orta</v>
      </c>
    </row>
    <row r="2878" customFormat="false" ht="12.8" hidden="false" customHeight="false" outlineLevel="0" collapsed="false">
      <c r="A2878" s="4" t="s">
        <v>20</v>
      </c>
      <c r="B2878" s="4" t="s">
        <v>11</v>
      </c>
      <c r="C2878" s="4" t="n">
        <v>26</v>
      </c>
      <c r="D2878" s="5" t="n">
        <v>10.5</v>
      </c>
      <c r="E2878" s="6" t="n">
        <f aca="false">DATE(2024,8,20)</f>
        <v>45524</v>
      </c>
      <c r="F2878" s="7" t="n">
        <f aca="false">C2878*D2878</f>
        <v>273</v>
      </c>
      <c r="G2878" s="7" t="n">
        <f aca="false">ROUND(F2878*0.2,2)</f>
        <v>54.6</v>
      </c>
      <c r="H2878" s="4" t="str">
        <f aca="false">IF(F2878&gt;500,"Yüksek",IF(F2878&gt;100,"Orta","Düşük"))</f>
        <v>Orta</v>
      </c>
    </row>
    <row r="2879" customFormat="false" ht="12.8" hidden="false" customHeight="false" outlineLevel="0" collapsed="false">
      <c r="A2879" s="4" t="s">
        <v>21</v>
      </c>
      <c r="B2879" s="4" t="s">
        <v>13</v>
      </c>
      <c r="C2879" s="4" t="n">
        <v>33</v>
      </c>
      <c r="D2879" s="5" t="n">
        <v>13.25</v>
      </c>
      <c r="E2879" s="6" t="n">
        <f aca="false">DATE(2024,9,21)</f>
        <v>45556</v>
      </c>
      <c r="F2879" s="7" t="n">
        <f aca="false">C2879*D2879</f>
        <v>437.25</v>
      </c>
      <c r="G2879" s="7" t="n">
        <f aca="false">ROUND(F2879*0.2,2)</f>
        <v>87.45</v>
      </c>
      <c r="H2879" s="4" t="str">
        <f aca="false">IF(F2879&gt;500,"Yüksek",IF(F2879&gt;100,"Orta","Düşük"))</f>
        <v>Orta</v>
      </c>
    </row>
    <row r="2880" customFormat="false" ht="12.8" hidden="false" customHeight="false" outlineLevel="0" collapsed="false">
      <c r="A2880" s="4" t="s">
        <v>22</v>
      </c>
      <c r="B2880" s="4" t="s">
        <v>15</v>
      </c>
      <c r="C2880" s="4" t="n">
        <v>40</v>
      </c>
      <c r="D2880" s="5" t="n">
        <v>16</v>
      </c>
      <c r="E2880" s="6" t="n">
        <f aca="false">DATE(2024,10,22)</f>
        <v>45587</v>
      </c>
      <c r="F2880" s="7" t="n">
        <f aca="false">C2880*D2880</f>
        <v>640</v>
      </c>
      <c r="G2880" s="7" t="n">
        <f aca="false">ROUND(F2880*0.2,2)</f>
        <v>128</v>
      </c>
      <c r="H2880" s="4" t="str">
        <f aca="false">IF(F2880&gt;500,"Yüksek",IF(F2880&gt;100,"Orta","Düşük"))</f>
        <v>Yüksek</v>
      </c>
    </row>
    <row r="2881" customFormat="false" ht="12.8" hidden="false" customHeight="false" outlineLevel="0" collapsed="false">
      <c r="A2881" s="4" t="s">
        <v>23</v>
      </c>
      <c r="B2881" s="4" t="s">
        <v>17</v>
      </c>
      <c r="C2881" s="4" t="n">
        <v>47</v>
      </c>
      <c r="D2881" s="5" t="n">
        <v>18.75</v>
      </c>
      <c r="E2881" s="6" t="n">
        <f aca="false">DATE(2024,11,23)</f>
        <v>45619</v>
      </c>
      <c r="F2881" s="7" t="n">
        <f aca="false">C2881*D2881</f>
        <v>881.25</v>
      </c>
      <c r="G2881" s="7" t="n">
        <f aca="false">ROUND(F2881*0.2,2)</f>
        <v>176.25</v>
      </c>
      <c r="H2881" s="4" t="str">
        <f aca="false">IF(F2881&gt;500,"Yüksek",IF(F2881&gt;100,"Orta","Düşük"))</f>
        <v>Yüksek</v>
      </c>
    </row>
    <row r="2882" customFormat="false" ht="12.8" hidden="false" customHeight="false" outlineLevel="0" collapsed="false">
      <c r="A2882" s="4" t="s">
        <v>24</v>
      </c>
      <c r="B2882" s="4" t="s">
        <v>19</v>
      </c>
      <c r="C2882" s="4" t="n">
        <v>4</v>
      </c>
      <c r="D2882" s="5" t="n">
        <v>21.5</v>
      </c>
      <c r="E2882" s="6" t="n">
        <f aca="false">DATE(2024,12,24)</f>
        <v>45650</v>
      </c>
      <c r="F2882" s="7" t="n">
        <f aca="false">C2882*D2882</f>
        <v>86</v>
      </c>
      <c r="G2882" s="7" t="n">
        <f aca="false">ROUND(F2882*0.2,2)</f>
        <v>17.2</v>
      </c>
      <c r="H2882" s="4" t="str">
        <f aca="false">IF(F2882&gt;500,"Yüksek",IF(F2882&gt;100,"Orta","Düşük"))</f>
        <v>Düşük</v>
      </c>
    </row>
    <row r="2883" customFormat="false" ht="12.8" hidden="false" customHeight="false" outlineLevel="0" collapsed="false">
      <c r="A2883" s="4" t="s">
        <v>10</v>
      </c>
      <c r="B2883" s="4" t="s">
        <v>11</v>
      </c>
      <c r="C2883" s="4" t="n">
        <v>11</v>
      </c>
      <c r="D2883" s="5" t="n">
        <v>24.25</v>
      </c>
      <c r="E2883" s="6" t="n">
        <f aca="false">DATE(2024,1,25)</f>
        <v>45316</v>
      </c>
      <c r="F2883" s="7" t="n">
        <f aca="false">C2883*D2883</f>
        <v>266.75</v>
      </c>
      <c r="G2883" s="7" t="n">
        <f aca="false">ROUND(F2883*0.2,2)</f>
        <v>53.35</v>
      </c>
      <c r="H2883" s="4" t="str">
        <f aca="false">IF(F2883&gt;500,"Yüksek",IF(F2883&gt;100,"Orta","Düşük"))</f>
        <v>Orta</v>
      </c>
    </row>
    <row r="2884" customFormat="false" ht="12.8" hidden="false" customHeight="false" outlineLevel="0" collapsed="false">
      <c r="A2884" s="4" t="s">
        <v>12</v>
      </c>
      <c r="B2884" s="4" t="s">
        <v>13</v>
      </c>
      <c r="C2884" s="4" t="n">
        <v>18</v>
      </c>
      <c r="D2884" s="5" t="n">
        <v>27</v>
      </c>
      <c r="E2884" s="6" t="n">
        <f aca="false">DATE(2024,2,26)</f>
        <v>45348</v>
      </c>
      <c r="F2884" s="7" t="n">
        <f aca="false">C2884*D2884</f>
        <v>486</v>
      </c>
      <c r="G2884" s="7" t="n">
        <f aca="false">ROUND(F2884*0.2,2)</f>
        <v>97.2</v>
      </c>
      <c r="H2884" s="4" t="str">
        <f aca="false">IF(F2884&gt;500,"Yüksek",IF(F2884&gt;100,"Orta","Düşük"))</f>
        <v>Orta</v>
      </c>
    </row>
    <row r="2885" customFormat="false" ht="12.8" hidden="false" customHeight="false" outlineLevel="0" collapsed="false">
      <c r="A2885" s="4" t="s">
        <v>14</v>
      </c>
      <c r="B2885" s="4" t="s">
        <v>15</v>
      </c>
      <c r="C2885" s="4" t="n">
        <v>25</v>
      </c>
      <c r="D2885" s="5" t="n">
        <v>29.75</v>
      </c>
      <c r="E2885" s="6" t="n">
        <f aca="false">DATE(2024,3,27)</f>
        <v>45378</v>
      </c>
      <c r="F2885" s="7" t="n">
        <f aca="false">C2885*D2885</f>
        <v>743.75</v>
      </c>
      <c r="G2885" s="7" t="n">
        <f aca="false">ROUND(F2885*0.2,2)</f>
        <v>148.75</v>
      </c>
      <c r="H2885" s="4" t="str">
        <f aca="false">IF(F2885&gt;500,"Yüksek",IF(F2885&gt;100,"Orta","Düşük"))</f>
        <v>Yüksek</v>
      </c>
    </row>
    <row r="2886" customFormat="false" ht="12.8" hidden="false" customHeight="false" outlineLevel="0" collapsed="false">
      <c r="A2886" s="4" t="s">
        <v>16</v>
      </c>
      <c r="B2886" s="4" t="s">
        <v>17</v>
      </c>
      <c r="C2886" s="4" t="n">
        <v>32</v>
      </c>
      <c r="D2886" s="5" t="n">
        <v>32.5</v>
      </c>
      <c r="E2886" s="6" t="n">
        <f aca="false">DATE(2024,4,28)</f>
        <v>45410</v>
      </c>
      <c r="F2886" s="7" t="n">
        <f aca="false">C2886*D2886</f>
        <v>1040</v>
      </c>
      <c r="G2886" s="7" t="n">
        <f aca="false">ROUND(F2886*0.2,2)</f>
        <v>208</v>
      </c>
      <c r="H2886" s="4" t="str">
        <f aca="false">IF(F2886&gt;500,"Yüksek",IF(F2886&gt;100,"Orta","Düşük"))</f>
        <v>Yüksek</v>
      </c>
    </row>
    <row r="2887" customFormat="false" ht="12.8" hidden="false" customHeight="false" outlineLevel="0" collapsed="false">
      <c r="A2887" s="4" t="s">
        <v>18</v>
      </c>
      <c r="B2887" s="4" t="s">
        <v>19</v>
      </c>
      <c r="C2887" s="4" t="n">
        <v>39</v>
      </c>
      <c r="D2887" s="5" t="n">
        <v>35.25</v>
      </c>
      <c r="E2887" s="6" t="n">
        <f aca="false">DATE(2024,5,1)</f>
        <v>45413</v>
      </c>
      <c r="F2887" s="7" t="n">
        <f aca="false">C2887*D2887</f>
        <v>1374.75</v>
      </c>
      <c r="G2887" s="7" t="n">
        <f aca="false">ROUND(F2887*0.2,2)</f>
        <v>274.95</v>
      </c>
      <c r="H2887" s="4" t="str">
        <f aca="false">IF(F2887&gt;500,"Yüksek",IF(F2887&gt;100,"Orta","Düşük"))</f>
        <v>Yüksek</v>
      </c>
    </row>
    <row r="2888" customFormat="false" ht="12.8" hidden="false" customHeight="false" outlineLevel="0" collapsed="false">
      <c r="A2888" s="4" t="s">
        <v>20</v>
      </c>
      <c r="B2888" s="4" t="s">
        <v>11</v>
      </c>
      <c r="C2888" s="4" t="n">
        <v>46</v>
      </c>
      <c r="D2888" s="5" t="n">
        <v>38</v>
      </c>
      <c r="E2888" s="6" t="n">
        <f aca="false">DATE(2024,6,2)</f>
        <v>45445</v>
      </c>
      <c r="F2888" s="7" t="n">
        <f aca="false">C2888*D2888</f>
        <v>1748</v>
      </c>
      <c r="G2888" s="7" t="n">
        <f aca="false">ROUND(F2888*0.2,2)</f>
        <v>349.6</v>
      </c>
      <c r="H2888" s="4" t="str">
        <f aca="false">IF(F2888&gt;500,"Yüksek",IF(F2888&gt;100,"Orta","Düşük"))</f>
        <v>Yüksek</v>
      </c>
    </row>
    <row r="2889" customFormat="false" ht="12.8" hidden="false" customHeight="false" outlineLevel="0" collapsed="false">
      <c r="A2889" s="4" t="s">
        <v>21</v>
      </c>
      <c r="B2889" s="4" t="s">
        <v>13</v>
      </c>
      <c r="C2889" s="4" t="n">
        <v>3</v>
      </c>
      <c r="D2889" s="5" t="n">
        <v>5</v>
      </c>
      <c r="E2889" s="6" t="n">
        <f aca="false">DATE(2024,7,3)</f>
        <v>45476</v>
      </c>
      <c r="F2889" s="7" t="n">
        <f aca="false">C2889*D2889</f>
        <v>15</v>
      </c>
      <c r="G2889" s="7" t="n">
        <f aca="false">ROUND(F2889*0.2,2)</f>
        <v>3</v>
      </c>
      <c r="H2889" s="4" t="str">
        <f aca="false">IF(F2889&gt;500,"Yüksek",IF(F2889&gt;100,"Orta","Düşük"))</f>
        <v>Düşük</v>
      </c>
    </row>
    <row r="2890" customFormat="false" ht="12.8" hidden="false" customHeight="false" outlineLevel="0" collapsed="false">
      <c r="A2890" s="4" t="s">
        <v>22</v>
      </c>
      <c r="B2890" s="4" t="s">
        <v>15</v>
      </c>
      <c r="C2890" s="4" t="n">
        <v>10</v>
      </c>
      <c r="D2890" s="5" t="n">
        <v>7.75</v>
      </c>
      <c r="E2890" s="6" t="n">
        <f aca="false">DATE(2024,8,4)</f>
        <v>45508</v>
      </c>
      <c r="F2890" s="7" t="n">
        <f aca="false">C2890*D2890</f>
        <v>77.5</v>
      </c>
      <c r="G2890" s="7" t="n">
        <f aca="false">ROUND(F2890*0.2,2)</f>
        <v>15.5</v>
      </c>
      <c r="H2890" s="4" t="str">
        <f aca="false">IF(F2890&gt;500,"Yüksek",IF(F2890&gt;100,"Orta","Düşük"))</f>
        <v>Düşük</v>
      </c>
    </row>
    <row r="2891" customFormat="false" ht="12.8" hidden="false" customHeight="false" outlineLevel="0" collapsed="false">
      <c r="A2891" s="4" t="s">
        <v>23</v>
      </c>
      <c r="B2891" s="4" t="s">
        <v>17</v>
      </c>
      <c r="C2891" s="4" t="n">
        <v>17</v>
      </c>
      <c r="D2891" s="5" t="n">
        <v>10.5</v>
      </c>
      <c r="E2891" s="6" t="n">
        <f aca="false">DATE(2024,9,5)</f>
        <v>45540</v>
      </c>
      <c r="F2891" s="7" t="n">
        <f aca="false">C2891*D2891</f>
        <v>178.5</v>
      </c>
      <c r="G2891" s="7" t="n">
        <f aca="false">ROUND(F2891*0.2,2)</f>
        <v>35.7</v>
      </c>
      <c r="H2891" s="4" t="str">
        <f aca="false">IF(F2891&gt;500,"Yüksek",IF(F2891&gt;100,"Orta","Düşük"))</f>
        <v>Orta</v>
      </c>
    </row>
    <row r="2892" customFormat="false" ht="12.8" hidden="false" customHeight="false" outlineLevel="0" collapsed="false">
      <c r="A2892" s="4" t="s">
        <v>24</v>
      </c>
      <c r="B2892" s="4" t="s">
        <v>19</v>
      </c>
      <c r="C2892" s="4" t="n">
        <v>24</v>
      </c>
      <c r="D2892" s="5" t="n">
        <v>13.25</v>
      </c>
      <c r="E2892" s="6" t="n">
        <f aca="false">DATE(2024,10,6)</f>
        <v>45571</v>
      </c>
      <c r="F2892" s="7" t="n">
        <f aca="false">C2892*D2892</f>
        <v>318</v>
      </c>
      <c r="G2892" s="7" t="n">
        <f aca="false">ROUND(F2892*0.2,2)</f>
        <v>63.6</v>
      </c>
      <c r="H2892" s="4" t="str">
        <f aca="false">IF(F2892&gt;500,"Yüksek",IF(F2892&gt;100,"Orta","Düşük"))</f>
        <v>Orta</v>
      </c>
    </row>
    <row r="2893" customFormat="false" ht="12.8" hidden="false" customHeight="false" outlineLevel="0" collapsed="false">
      <c r="A2893" s="4" t="s">
        <v>10</v>
      </c>
      <c r="B2893" s="4" t="s">
        <v>11</v>
      </c>
      <c r="C2893" s="4" t="n">
        <v>31</v>
      </c>
      <c r="D2893" s="5" t="n">
        <v>16</v>
      </c>
      <c r="E2893" s="6" t="n">
        <f aca="false">DATE(2024,11,7)</f>
        <v>45603</v>
      </c>
      <c r="F2893" s="7" t="n">
        <f aca="false">C2893*D2893</f>
        <v>496</v>
      </c>
      <c r="G2893" s="7" t="n">
        <f aca="false">ROUND(F2893*0.2,2)</f>
        <v>99.2</v>
      </c>
      <c r="H2893" s="4" t="str">
        <f aca="false">IF(F2893&gt;500,"Yüksek",IF(F2893&gt;100,"Orta","Düşük"))</f>
        <v>Orta</v>
      </c>
    </row>
    <row r="2894" customFormat="false" ht="12.8" hidden="false" customHeight="false" outlineLevel="0" collapsed="false">
      <c r="A2894" s="4" t="s">
        <v>12</v>
      </c>
      <c r="B2894" s="4" t="s">
        <v>13</v>
      </c>
      <c r="C2894" s="4" t="n">
        <v>38</v>
      </c>
      <c r="D2894" s="5" t="n">
        <v>18.75</v>
      </c>
      <c r="E2894" s="6" t="n">
        <f aca="false">DATE(2024,12,8)</f>
        <v>45634</v>
      </c>
      <c r="F2894" s="7" t="n">
        <f aca="false">C2894*D2894</f>
        <v>712.5</v>
      </c>
      <c r="G2894" s="7" t="n">
        <f aca="false">ROUND(F2894*0.2,2)</f>
        <v>142.5</v>
      </c>
      <c r="H2894" s="4" t="str">
        <f aca="false">IF(F2894&gt;500,"Yüksek",IF(F2894&gt;100,"Orta","Düşük"))</f>
        <v>Yüksek</v>
      </c>
    </row>
    <row r="2895" customFormat="false" ht="12.8" hidden="false" customHeight="false" outlineLevel="0" collapsed="false">
      <c r="A2895" s="4" t="s">
        <v>14</v>
      </c>
      <c r="B2895" s="4" t="s">
        <v>15</v>
      </c>
      <c r="C2895" s="4" t="n">
        <v>45</v>
      </c>
      <c r="D2895" s="5" t="n">
        <v>21.5</v>
      </c>
      <c r="E2895" s="6" t="n">
        <f aca="false">DATE(2024,1,9)</f>
        <v>45300</v>
      </c>
      <c r="F2895" s="7" t="n">
        <f aca="false">C2895*D2895</f>
        <v>967.5</v>
      </c>
      <c r="G2895" s="7" t="n">
        <f aca="false">ROUND(F2895*0.2,2)</f>
        <v>193.5</v>
      </c>
      <c r="H2895" s="4" t="str">
        <f aca="false">IF(F2895&gt;500,"Yüksek",IF(F2895&gt;100,"Orta","Düşük"))</f>
        <v>Yüksek</v>
      </c>
    </row>
    <row r="2896" customFormat="false" ht="12.8" hidden="false" customHeight="false" outlineLevel="0" collapsed="false">
      <c r="A2896" s="4" t="s">
        <v>16</v>
      </c>
      <c r="B2896" s="4" t="s">
        <v>17</v>
      </c>
      <c r="C2896" s="4" t="n">
        <v>2</v>
      </c>
      <c r="D2896" s="5" t="n">
        <v>24.25</v>
      </c>
      <c r="E2896" s="6" t="n">
        <f aca="false">DATE(2024,2,10)</f>
        <v>45332</v>
      </c>
      <c r="F2896" s="7" t="n">
        <f aca="false">C2896*D2896</f>
        <v>48.5</v>
      </c>
      <c r="G2896" s="7" t="n">
        <f aca="false">ROUND(F2896*0.2,2)</f>
        <v>9.7</v>
      </c>
      <c r="H2896" s="4" t="str">
        <f aca="false">IF(F2896&gt;500,"Yüksek",IF(F2896&gt;100,"Orta","Düşük"))</f>
        <v>Düşük</v>
      </c>
    </row>
    <row r="2897" customFormat="false" ht="12.8" hidden="false" customHeight="false" outlineLevel="0" collapsed="false">
      <c r="A2897" s="4" t="s">
        <v>18</v>
      </c>
      <c r="B2897" s="4" t="s">
        <v>19</v>
      </c>
      <c r="C2897" s="4" t="n">
        <v>9</v>
      </c>
      <c r="D2897" s="5" t="n">
        <v>27</v>
      </c>
      <c r="E2897" s="6" t="n">
        <f aca="false">DATE(2024,3,11)</f>
        <v>45362</v>
      </c>
      <c r="F2897" s="7" t="n">
        <f aca="false">C2897*D2897</f>
        <v>243</v>
      </c>
      <c r="G2897" s="7" t="n">
        <f aca="false">ROUND(F2897*0.2,2)</f>
        <v>48.6</v>
      </c>
      <c r="H2897" s="4" t="str">
        <f aca="false">IF(F2897&gt;500,"Yüksek",IF(F2897&gt;100,"Orta","Düşük"))</f>
        <v>Orta</v>
      </c>
    </row>
    <row r="2898" customFormat="false" ht="12.8" hidden="false" customHeight="false" outlineLevel="0" collapsed="false">
      <c r="A2898" s="4" t="s">
        <v>20</v>
      </c>
      <c r="B2898" s="4" t="s">
        <v>11</v>
      </c>
      <c r="C2898" s="4" t="n">
        <v>16</v>
      </c>
      <c r="D2898" s="5" t="n">
        <v>29.75</v>
      </c>
      <c r="E2898" s="6" t="n">
        <f aca="false">DATE(2024,4,12)</f>
        <v>45394</v>
      </c>
      <c r="F2898" s="7" t="n">
        <f aca="false">C2898*D2898</f>
        <v>476</v>
      </c>
      <c r="G2898" s="7" t="n">
        <f aca="false">ROUND(F2898*0.2,2)</f>
        <v>95.2</v>
      </c>
      <c r="H2898" s="4" t="str">
        <f aca="false">IF(F2898&gt;500,"Yüksek",IF(F2898&gt;100,"Orta","Düşük"))</f>
        <v>Orta</v>
      </c>
    </row>
    <row r="2899" customFormat="false" ht="12.8" hidden="false" customHeight="false" outlineLevel="0" collapsed="false">
      <c r="A2899" s="4" t="s">
        <v>21</v>
      </c>
      <c r="B2899" s="4" t="s">
        <v>13</v>
      </c>
      <c r="C2899" s="4" t="n">
        <v>23</v>
      </c>
      <c r="D2899" s="5" t="n">
        <v>32.5</v>
      </c>
      <c r="E2899" s="6" t="n">
        <f aca="false">DATE(2024,5,13)</f>
        <v>45425</v>
      </c>
      <c r="F2899" s="7" t="n">
        <f aca="false">C2899*D2899</f>
        <v>747.5</v>
      </c>
      <c r="G2899" s="7" t="n">
        <f aca="false">ROUND(F2899*0.2,2)</f>
        <v>149.5</v>
      </c>
      <c r="H2899" s="4" t="str">
        <f aca="false">IF(F2899&gt;500,"Yüksek",IF(F2899&gt;100,"Orta","Düşük"))</f>
        <v>Yüksek</v>
      </c>
    </row>
    <row r="2900" customFormat="false" ht="12.8" hidden="false" customHeight="false" outlineLevel="0" collapsed="false">
      <c r="A2900" s="4" t="s">
        <v>22</v>
      </c>
      <c r="B2900" s="4" t="s">
        <v>15</v>
      </c>
      <c r="C2900" s="4" t="n">
        <v>30</v>
      </c>
      <c r="D2900" s="5" t="n">
        <v>35.25</v>
      </c>
      <c r="E2900" s="6" t="n">
        <f aca="false">DATE(2024,6,14)</f>
        <v>45457</v>
      </c>
      <c r="F2900" s="7" t="n">
        <f aca="false">C2900*D2900</f>
        <v>1057.5</v>
      </c>
      <c r="G2900" s="7" t="n">
        <f aca="false">ROUND(F2900*0.2,2)</f>
        <v>211.5</v>
      </c>
      <c r="H2900" s="4" t="str">
        <f aca="false">IF(F2900&gt;500,"Yüksek",IF(F2900&gt;100,"Orta","Düşük"))</f>
        <v>Yüksek</v>
      </c>
    </row>
    <row r="2901" customFormat="false" ht="12.8" hidden="false" customHeight="false" outlineLevel="0" collapsed="false">
      <c r="A2901" s="4" t="s">
        <v>23</v>
      </c>
      <c r="B2901" s="4" t="s">
        <v>17</v>
      </c>
      <c r="C2901" s="4" t="n">
        <v>37</v>
      </c>
      <c r="D2901" s="5" t="n">
        <v>38</v>
      </c>
      <c r="E2901" s="6" t="n">
        <f aca="false">DATE(2024,7,15)</f>
        <v>45488</v>
      </c>
      <c r="F2901" s="7" t="n">
        <f aca="false">C2901*D2901</f>
        <v>1406</v>
      </c>
      <c r="G2901" s="7" t="n">
        <f aca="false">ROUND(F2901*0.2,2)</f>
        <v>281.2</v>
      </c>
      <c r="H2901" s="4" t="str">
        <f aca="false">IF(F2901&gt;500,"Yüksek",IF(F2901&gt;100,"Orta","Düşük"))</f>
        <v>Yüksek</v>
      </c>
    </row>
    <row r="2902" customFormat="false" ht="12.8" hidden="false" customHeight="false" outlineLevel="0" collapsed="false">
      <c r="A2902" s="4" t="s">
        <v>24</v>
      </c>
      <c r="B2902" s="4" t="s">
        <v>19</v>
      </c>
      <c r="C2902" s="4" t="n">
        <v>44</v>
      </c>
      <c r="D2902" s="5" t="n">
        <v>5</v>
      </c>
      <c r="E2902" s="6" t="n">
        <f aca="false">DATE(2024,8,16)</f>
        <v>45520</v>
      </c>
      <c r="F2902" s="7" t="n">
        <f aca="false">C2902*D2902</f>
        <v>220</v>
      </c>
      <c r="G2902" s="7" t="n">
        <f aca="false">ROUND(F2902*0.2,2)</f>
        <v>44</v>
      </c>
      <c r="H2902" s="4" t="str">
        <f aca="false">IF(F2902&gt;500,"Yüksek",IF(F2902&gt;100,"Orta","Düşük"))</f>
        <v>Orta</v>
      </c>
    </row>
    <row r="2903" customFormat="false" ht="12.8" hidden="false" customHeight="false" outlineLevel="0" collapsed="false">
      <c r="A2903" s="4" t="s">
        <v>10</v>
      </c>
      <c r="B2903" s="4" t="s">
        <v>11</v>
      </c>
      <c r="C2903" s="4" t="n">
        <v>1</v>
      </c>
      <c r="D2903" s="5" t="n">
        <v>7.75</v>
      </c>
      <c r="E2903" s="6" t="n">
        <f aca="false">DATE(2024,9,17)</f>
        <v>45552</v>
      </c>
      <c r="F2903" s="7" t="n">
        <f aca="false">C2903*D2903</f>
        <v>7.75</v>
      </c>
      <c r="G2903" s="7" t="n">
        <f aca="false">ROUND(F2903*0.2,2)</f>
        <v>1.55</v>
      </c>
      <c r="H2903" s="4" t="str">
        <f aca="false">IF(F2903&gt;500,"Yüksek",IF(F2903&gt;100,"Orta","Düşük"))</f>
        <v>Düşük</v>
      </c>
    </row>
    <row r="2904" customFormat="false" ht="12.8" hidden="false" customHeight="false" outlineLevel="0" collapsed="false">
      <c r="A2904" s="4" t="s">
        <v>12</v>
      </c>
      <c r="B2904" s="4" t="s">
        <v>13</v>
      </c>
      <c r="C2904" s="4" t="n">
        <v>8</v>
      </c>
      <c r="D2904" s="5" t="n">
        <v>10.5</v>
      </c>
      <c r="E2904" s="6" t="n">
        <f aca="false">DATE(2024,10,18)</f>
        <v>45583</v>
      </c>
      <c r="F2904" s="7" t="n">
        <f aca="false">C2904*D2904</f>
        <v>84</v>
      </c>
      <c r="G2904" s="7" t="n">
        <f aca="false">ROUND(F2904*0.2,2)</f>
        <v>16.8</v>
      </c>
      <c r="H2904" s="4" t="str">
        <f aca="false">IF(F2904&gt;500,"Yüksek",IF(F2904&gt;100,"Orta","Düşük"))</f>
        <v>Düşük</v>
      </c>
    </row>
    <row r="2905" customFormat="false" ht="12.8" hidden="false" customHeight="false" outlineLevel="0" collapsed="false">
      <c r="A2905" s="4" t="s">
        <v>14</v>
      </c>
      <c r="B2905" s="4" t="s">
        <v>15</v>
      </c>
      <c r="C2905" s="4" t="n">
        <v>15</v>
      </c>
      <c r="D2905" s="5" t="n">
        <v>13.25</v>
      </c>
      <c r="E2905" s="6" t="n">
        <f aca="false">DATE(2024,11,19)</f>
        <v>45615</v>
      </c>
      <c r="F2905" s="7" t="n">
        <f aca="false">C2905*D2905</f>
        <v>198.75</v>
      </c>
      <c r="G2905" s="7" t="n">
        <f aca="false">ROUND(F2905*0.2,2)</f>
        <v>39.75</v>
      </c>
      <c r="H2905" s="4" t="str">
        <f aca="false">IF(F2905&gt;500,"Yüksek",IF(F2905&gt;100,"Orta","Düşük"))</f>
        <v>Orta</v>
      </c>
    </row>
    <row r="2906" customFormat="false" ht="12.8" hidden="false" customHeight="false" outlineLevel="0" collapsed="false">
      <c r="A2906" s="4" t="s">
        <v>16</v>
      </c>
      <c r="B2906" s="4" t="s">
        <v>17</v>
      </c>
      <c r="C2906" s="4" t="n">
        <v>22</v>
      </c>
      <c r="D2906" s="5" t="n">
        <v>16</v>
      </c>
      <c r="E2906" s="6" t="n">
        <f aca="false">DATE(2024,12,20)</f>
        <v>45646</v>
      </c>
      <c r="F2906" s="7" t="n">
        <f aca="false">C2906*D2906</f>
        <v>352</v>
      </c>
      <c r="G2906" s="7" t="n">
        <f aca="false">ROUND(F2906*0.2,2)</f>
        <v>70.4</v>
      </c>
      <c r="H2906" s="4" t="str">
        <f aca="false">IF(F2906&gt;500,"Yüksek",IF(F2906&gt;100,"Orta","Düşük"))</f>
        <v>Orta</v>
      </c>
    </row>
    <row r="2907" customFormat="false" ht="12.8" hidden="false" customHeight="false" outlineLevel="0" collapsed="false">
      <c r="A2907" s="4" t="s">
        <v>18</v>
      </c>
      <c r="B2907" s="4" t="s">
        <v>19</v>
      </c>
      <c r="C2907" s="4" t="n">
        <v>29</v>
      </c>
      <c r="D2907" s="5" t="n">
        <v>18.75</v>
      </c>
      <c r="E2907" s="6" t="n">
        <f aca="false">DATE(2024,1,21)</f>
        <v>45312</v>
      </c>
      <c r="F2907" s="7" t="n">
        <f aca="false">C2907*D2907</f>
        <v>543.75</v>
      </c>
      <c r="G2907" s="7" t="n">
        <f aca="false">ROUND(F2907*0.2,2)</f>
        <v>108.75</v>
      </c>
      <c r="H2907" s="4" t="str">
        <f aca="false">IF(F2907&gt;500,"Yüksek",IF(F2907&gt;100,"Orta","Düşük"))</f>
        <v>Yüksek</v>
      </c>
    </row>
    <row r="2908" customFormat="false" ht="12.8" hidden="false" customHeight="false" outlineLevel="0" collapsed="false">
      <c r="A2908" s="4" t="s">
        <v>20</v>
      </c>
      <c r="B2908" s="4" t="s">
        <v>11</v>
      </c>
      <c r="C2908" s="4" t="n">
        <v>36</v>
      </c>
      <c r="D2908" s="5" t="n">
        <v>21.5</v>
      </c>
      <c r="E2908" s="6" t="n">
        <f aca="false">DATE(2024,2,22)</f>
        <v>45344</v>
      </c>
      <c r="F2908" s="7" t="n">
        <f aca="false">C2908*D2908</f>
        <v>774</v>
      </c>
      <c r="G2908" s="7" t="n">
        <f aca="false">ROUND(F2908*0.2,2)</f>
        <v>154.8</v>
      </c>
      <c r="H2908" s="4" t="str">
        <f aca="false">IF(F2908&gt;500,"Yüksek",IF(F2908&gt;100,"Orta","Düşük"))</f>
        <v>Yüksek</v>
      </c>
    </row>
    <row r="2909" customFormat="false" ht="12.8" hidden="false" customHeight="false" outlineLevel="0" collapsed="false">
      <c r="A2909" s="4" t="s">
        <v>21</v>
      </c>
      <c r="B2909" s="4" t="s">
        <v>13</v>
      </c>
      <c r="C2909" s="4" t="n">
        <v>43</v>
      </c>
      <c r="D2909" s="5" t="n">
        <v>24.25</v>
      </c>
      <c r="E2909" s="6" t="n">
        <f aca="false">DATE(2024,3,23)</f>
        <v>45374</v>
      </c>
      <c r="F2909" s="7" t="n">
        <f aca="false">C2909*D2909</f>
        <v>1042.75</v>
      </c>
      <c r="G2909" s="7" t="n">
        <f aca="false">ROUND(F2909*0.2,2)</f>
        <v>208.55</v>
      </c>
      <c r="H2909" s="4" t="str">
        <f aca="false">IF(F2909&gt;500,"Yüksek",IF(F2909&gt;100,"Orta","Düşük"))</f>
        <v>Yüksek</v>
      </c>
    </row>
    <row r="2910" customFormat="false" ht="12.8" hidden="false" customHeight="false" outlineLevel="0" collapsed="false">
      <c r="A2910" s="4" t="s">
        <v>22</v>
      </c>
      <c r="B2910" s="4" t="s">
        <v>15</v>
      </c>
      <c r="C2910" s="4" t="n">
        <v>50</v>
      </c>
      <c r="D2910" s="5" t="n">
        <v>27</v>
      </c>
      <c r="E2910" s="6" t="n">
        <f aca="false">DATE(2024,4,24)</f>
        <v>45406</v>
      </c>
      <c r="F2910" s="7" t="n">
        <f aca="false">C2910*D2910</f>
        <v>1350</v>
      </c>
      <c r="G2910" s="7" t="n">
        <f aca="false">ROUND(F2910*0.2,2)</f>
        <v>270</v>
      </c>
      <c r="H2910" s="4" t="str">
        <f aca="false">IF(F2910&gt;500,"Yüksek",IF(F2910&gt;100,"Orta","Düşük"))</f>
        <v>Yüksek</v>
      </c>
    </row>
    <row r="2911" customFormat="false" ht="12.8" hidden="false" customHeight="false" outlineLevel="0" collapsed="false">
      <c r="A2911" s="4" t="s">
        <v>23</v>
      </c>
      <c r="B2911" s="4" t="s">
        <v>17</v>
      </c>
      <c r="C2911" s="4" t="n">
        <v>7</v>
      </c>
      <c r="D2911" s="5" t="n">
        <v>29.75</v>
      </c>
      <c r="E2911" s="6" t="n">
        <f aca="false">DATE(2024,5,25)</f>
        <v>45437</v>
      </c>
      <c r="F2911" s="7" t="n">
        <f aca="false">C2911*D2911</f>
        <v>208.25</v>
      </c>
      <c r="G2911" s="7" t="n">
        <f aca="false">ROUND(F2911*0.2,2)</f>
        <v>41.65</v>
      </c>
      <c r="H2911" s="4" t="str">
        <f aca="false">IF(F2911&gt;500,"Yüksek",IF(F2911&gt;100,"Orta","Düşük"))</f>
        <v>Orta</v>
      </c>
    </row>
    <row r="2912" customFormat="false" ht="12.8" hidden="false" customHeight="false" outlineLevel="0" collapsed="false">
      <c r="A2912" s="4" t="s">
        <v>24</v>
      </c>
      <c r="B2912" s="4" t="s">
        <v>19</v>
      </c>
      <c r="C2912" s="4" t="n">
        <v>14</v>
      </c>
      <c r="D2912" s="5" t="n">
        <v>32.5</v>
      </c>
      <c r="E2912" s="6" t="n">
        <f aca="false">DATE(2024,6,26)</f>
        <v>45469</v>
      </c>
      <c r="F2912" s="7" t="n">
        <f aca="false">C2912*D2912</f>
        <v>455</v>
      </c>
      <c r="G2912" s="7" t="n">
        <f aca="false">ROUND(F2912*0.2,2)</f>
        <v>91</v>
      </c>
      <c r="H2912" s="4" t="str">
        <f aca="false">IF(F2912&gt;500,"Yüksek",IF(F2912&gt;100,"Orta","Düşük"))</f>
        <v>Orta</v>
      </c>
    </row>
    <row r="2913" customFormat="false" ht="12.8" hidden="false" customHeight="false" outlineLevel="0" collapsed="false">
      <c r="A2913" s="4" t="s">
        <v>10</v>
      </c>
      <c r="B2913" s="4" t="s">
        <v>11</v>
      </c>
      <c r="C2913" s="4" t="n">
        <v>21</v>
      </c>
      <c r="D2913" s="5" t="n">
        <v>35.25</v>
      </c>
      <c r="E2913" s="6" t="n">
        <f aca="false">DATE(2024,7,27)</f>
        <v>45500</v>
      </c>
      <c r="F2913" s="7" t="n">
        <f aca="false">C2913*D2913</f>
        <v>740.25</v>
      </c>
      <c r="G2913" s="7" t="n">
        <f aca="false">ROUND(F2913*0.2,2)</f>
        <v>148.05</v>
      </c>
      <c r="H2913" s="4" t="str">
        <f aca="false">IF(F2913&gt;500,"Yüksek",IF(F2913&gt;100,"Orta","Düşük"))</f>
        <v>Yüksek</v>
      </c>
    </row>
    <row r="2914" customFormat="false" ht="12.8" hidden="false" customHeight="false" outlineLevel="0" collapsed="false">
      <c r="A2914" s="4" t="s">
        <v>12</v>
      </c>
      <c r="B2914" s="4" t="s">
        <v>13</v>
      </c>
      <c r="C2914" s="4" t="n">
        <v>28</v>
      </c>
      <c r="D2914" s="5" t="n">
        <v>38</v>
      </c>
      <c r="E2914" s="6" t="n">
        <f aca="false">DATE(2024,8,28)</f>
        <v>45532</v>
      </c>
      <c r="F2914" s="7" t="n">
        <f aca="false">C2914*D2914</f>
        <v>1064</v>
      </c>
      <c r="G2914" s="7" t="n">
        <f aca="false">ROUND(F2914*0.2,2)</f>
        <v>212.8</v>
      </c>
      <c r="H2914" s="4" t="str">
        <f aca="false">IF(F2914&gt;500,"Yüksek",IF(F2914&gt;100,"Orta","Düşük"))</f>
        <v>Yüksek</v>
      </c>
    </row>
    <row r="2915" customFormat="false" ht="12.8" hidden="false" customHeight="false" outlineLevel="0" collapsed="false">
      <c r="A2915" s="4" t="s">
        <v>14</v>
      </c>
      <c r="B2915" s="4" t="s">
        <v>15</v>
      </c>
      <c r="C2915" s="4" t="n">
        <v>35</v>
      </c>
      <c r="D2915" s="5" t="n">
        <v>5</v>
      </c>
      <c r="E2915" s="6" t="n">
        <f aca="false">DATE(2024,9,1)</f>
        <v>45536</v>
      </c>
      <c r="F2915" s="7" t="n">
        <f aca="false">C2915*D2915</f>
        <v>175</v>
      </c>
      <c r="G2915" s="7" t="n">
        <f aca="false">ROUND(F2915*0.2,2)</f>
        <v>35</v>
      </c>
      <c r="H2915" s="4" t="str">
        <f aca="false">IF(F2915&gt;500,"Yüksek",IF(F2915&gt;100,"Orta","Düşük"))</f>
        <v>Orta</v>
      </c>
    </row>
    <row r="2916" customFormat="false" ht="12.8" hidden="false" customHeight="false" outlineLevel="0" collapsed="false">
      <c r="A2916" s="4" t="s">
        <v>16</v>
      </c>
      <c r="B2916" s="4" t="s">
        <v>17</v>
      </c>
      <c r="C2916" s="4" t="n">
        <v>42</v>
      </c>
      <c r="D2916" s="5" t="n">
        <v>7.75</v>
      </c>
      <c r="E2916" s="6" t="n">
        <f aca="false">DATE(2024,10,2)</f>
        <v>45567</v>
      </c>
      <c r="F2916" s="7" t="n">
        <f aca="false">C2916*D2916</f>
        <v>325.5</v>
      </c>
      <c r="G2916" s="7" t="n">
        <f aca="false">ROUND(F2916*0.2,2)</f>
        <v>65.1</v>
      </c>
      <c r="H2916" s="4" t="str">
        <f aca="false">IF(F2916&gt;500,"Yüksek",IF(F2916&gt;100,"Orta","Düşük"))</f>
        <v>Orta</v>
      </c>
    </row>
    <row r="2917" customFormat="false" ht="12.8" hidden="false" customHeight="false" outlineLevel="0" collapsed="false">
      <c r="A2917" s="4" t="s">
        <v>18</v>
      </c>
      <c r="B2917" s="4" t="s">
        <v>19</v>
      </c>
      <c r="C2917" s="4" t="n">
        <v>49</v>
      </c>
      <c r="D2917" s="5" t="n">
        <v>10.5</v>
      </c>
      <c r="E2917" s="6" t="n">
        <f aca="false">DATE(2024,11,3)</f>
        <v>45599</v>
      </c>
      <c r="F2917" s="7" t="n">
        <f aca="false">C2917*D2917</f>
        <v>514.5</v>
      </c>
      <c r="G2917" s="7" t="n">
        <f aca="false">ROUND(F2917*0.2,2)</f>
        <v>102.9</v>
      </c>
      <c r="H2917" s="4" t="str">
        <f aca="false">IF(F2917&gt;500,"Yüksek",IF(F2917&gt;100,"Orta","Düşük"))</f>
        <v>Yüksek</v>
      </c>
    </row>
    <row r="2918" customFormat="false" ht="12.8" hidden="false" customHeight="false" outlineLevel="0" collapsed="false">
      <c r="A2918" s="4" t="s">
        <v>20</v>
      </c>
      <c r="B2918" s="4" t="s">
        <v>11</v>
      </c>
      <c r="C2918" s="4" t="n">
        <v>6</v>
      </c>
      <c r="D2918" s="5" t="n">
        <v>13.25</v>
      </c>
      <c r="E2918" s="6" t="n">
        <f aca="false">DATE(2024,12,4)</f>
        <v>45630</v>
      </c>
      <c r="F2918" s="7" t="n">
        <f aca="false">C2918*D2918</f>
        <v>79.5</v>
      </c>
      <c r="G2918" s="7" t="n">
        <f aca="false">ROUND(F2918*0.2,2)</f>
        <v>15.9</v>
      </c>
      <c r="H2918" s="4" t="str">
        <f aca="false">IF(F2918&gt;500,"Yüksek",IF(F2918&gt;100,"Orta","Düşük"))</f>
        <v>Düşük</v>
      </c>
    </row>
    <row r="2919" customFormat="false" ht="12.8" hidden="false" customHeight="false" outlineLevel="0" collapsed="false">
      <c r="A2919" s="4" t="s">
        <v>21</v>
      </c>
      <c r="B2919" s="4" t="s">
        <v>13</v>
      </c>
      <c r="C2919" s="4" t="n">
        <v>13</v>
      </c>
      <c r="D2919" s="5" t="n">
        <v>16</v>
      </c>
      <c r="E2919" s="6" t="n">
        <f aca="false">DATE(2024,1,5)</f>
        <v>45296</v>
      </c>
      <c r="F2919" s="7" t="n">
        <f aca="false">C2919*D2919</f>
        <v>208</v>
      </c>
      <c r="G2919" s="7" t="n">
        <f aca="false">ROUND(F2919*0.2,2)</f>
        <v>41.6</v>
      </c>
      <c r="H2919" s="4" t="str">
        <f aca="false">IF(F2919&gt;500,"Yüksek",IF(F2919&gt;100,"Orta","Düşük"))</f>
        <v>Orta</v>
      </c>
    </row>
    <row r="2920" customFormat="false" ht="12.8" hidden="false" customHeight="false" outlineLevel="0" collapsed="false">
      <c r="A2920" s="4" t="s">
        <v>22</v>
      </c>
      <c r="B2920" s="4" t="s">
        <v>15</v>
      </c>
      <c r="C2920" s="4" t="n">
        <v>20</v>
      </c>
      <c r="D2920" s="5" t="n">
        <v>18.75</v>
      </c>
      <c r="E2920" s="6" t="n">
        <f aca="false">DATE(2024,2,6)</f>
        <v>45328</v>
      </c>
      <c r="F2920" s="7" t="n">
        <f aca="false">C2920*D2920</f>
        <v>375</v>
      </c>
      <c r="G2920" s="7" t="n">
        <f aca="false">ROUND(F2920*0.2,2)</f>
        <v>75</v>
      </c>
      <c r="H2920" s="4" t="str">
        <f aca="false">IF(F2920&gt;500,"Yüksek",IF(F2920&gt;100,"Orta","Düşük"))</f>
        <v>Orta</v>
      </c>
    </row>
    <row r="2921" customFormat="false" ht="12.8" hidden="false" customHeight="false" outlineLevel="0" collapsed="false">
      <c r="A2921" s="4" t="s">
        <v>23</v>
      </c>
      <c r="B2921" s="4" t="s">
        <v>17</v>
      </c>
      <c r="C2921" s="4" t="n">
        <v>27</v>
      </c>
      <c r="D2921" s="5" t="n">
        <v>21.5</v>
      </c>
      <c r="E2921" s="6" t="n">
        <f aca="false">DATE(2024,3,7)</f>
        <v>45358</v>
      </c>
      <c r="F2921" s="7" t="n">
        <f aca="false">C2921*D2921</f>
        <v>580.5</v>
      </c>
      <c r="G2921" s="7" t="n">
        <f aca="false">ROUND(F2921*0.2,2)</f>
        <v>116.1</v>
      </c>
      <c r="H2921" s="4" t="str">
        <f aca="false">IF(F2921&gt;500,"Yüksek",IF(F2921&gt;100,"Orta","Düşük"))</f>
        <v>Yüksek</v>
      </c>
    </row>
    <row r="2922" customFormat="false" ht="12.8" hidden="false" customHeight="false" outlineLevel="0" collapsed="false">
      <c r="A2922" s="4" t="s">
        <v>24</v>
      </c>
      <c r="B2922" s="4" t="s">
        <v>19</v>
      </c>
      <c r="C2922" s="4" t="n">
        <v>34</v>
      </c>
      <c r="D2922" s="5" t="n">
        <v>24.25</v>
      </c>
      <c r="E2922" s="6" t="n">
        <f aca="false">DATE(2024,4,8)</f>
        <v>45390</v>
      </c>
      <c r="F2922" s="7" t="n">
        <f aca="false">C2922*D2922</f>
        <v>824.5</v>
      </c>
      <c r="G2922" s="7" t="n">
        <f aca="false">ROUND(F2922*0.2,2)</f>
        <v>164.9</v>
      </c>
      <c r="H2922" s="4" t="str">
        <f aca="false">IF(F2922&gt;500,"Yüksek",IF(F2922&gt;100,"Orta","Düşük"))</f>
        <v>Yüksek</v>
      </c>
    </row>
    <row r="2923" customFormat="false" ht="12.8" hidden="false" customHeight="false" outlineLevel="0" collapsed="false">
      <c r="A2923" s="4" t="s">
        <v>10</v>
      </c>
      <c r="B2923" s="4" t="s">
        <v>11</v>
      </c>
      <c r="C2923" s="4" t="n">
        <v>41</v>
      </c>
      <c r="D2923" s="5" t="n">
        <v>27</v>
      </c>
      <c r="E2923" s="6" t="n">
        <f aca="false">DATE(2024,5,9)</f>
        <v>45421</v>
      </c>
      <c r="F2923" s="7" t="n">
        <f aca="false">C2923*D2923</f>
        <v>1107</v>
      </c>
      <c r="G2923" s="7" t="n">
        <f aca="false">ROUND(F2923*0.2,2)</f>
        <v>221.4</v>
      </c>
      <c r="H2923" s="4" t="str">
        <f aca="false">IF(F2923&gt;500,"Yüksek",IF(F2923&gt;100,"Orta","Düşük"))</f>
        <v>Yüksek</v>
      </c>
    </row>
    <row r="2924" customFormat="false" ht="12.8" hidden="false" customHeight="false" outlineLevel="0" collapsed="false">
      <c r="A2924" s="4" t="s">
        <v>12</v>
      </c>
      <c r="B2924" s="4" t="s">
        <v>13</v>
      </c>
      <c r="C2924" s="4" t="n">
        <v>48</v>
      </c>
      <c r="D2924" s="5" t="n">
        <v>29.75</v>
      </c>
      <c r="E2924" s="6" t="n">
        <f aca="false">DATE(2024,6,10)</f>
        <v>45453</v>
      </c>
      <c r="F2924" s="7" t="n">
        <f aca="false">C2924*D2924</f>
        <v>1428</v>
      </c>
      <c r="G2924" s="7" t="n">
        <f aca="false">ROUND(F2924*0.2,2)</f>
        <v>285.6</v>
      </c>
      <c r="H2924" s="4" t="str">
        <f aca="false">IF(F2924&gt;500,"Yüksek",IF(F2924&gt;100,"Orta","Düşük"))</f>
        <v>Yüksek</v>
      </c>
    </row>
    <row r="2925" customFormat="false" ht="12.8" hidden="false" customHeight="false" outlineLevel="0" collapsed="false">
      <c r="A2925" s="4" t="s">
        <v>14</v>
      </c>
      <c r="B2925" s="4" t="s">
        <v>15</v>
      </c>
      <c r="C2925" s="4" t="n">
        <v>5</v>
      </c>
      <c r="D2925" s="5" t="n">
        <v>32.5</v>
      </c>
      <c r="E2925" s="6" t="n">
        <f aca="false">DATE(2024,7,11)</f>
        <v>45484</v>
      </c>
      <c r="F2925" s="7" t="n">
        <f aca="false">C2925*D2925</f>
        <v>162.5</v>
      </c>
      <c r="G2925" s="7" t="n">
        <f aca="false">ROUND(F2925*0.2,2)</f>
        <v>32.5</v>
      </c>
      <c r="H2925" s="4" t="str">
        <f aca="false">IF(F2925&gt;500,"Yüksek",IF(F2925&gt;100,"Orta","Düşük"))</f>
        <v>Orta</v>
      </c>
    </row>
    <row r="2926" customFormat="false" ht="12.8" hidden="false" customHeight="false" outlineLevel="0" collapsed="false">
      <c r="A2926" s="4" t="s">
        <v>16</v>
      </c>
      <c r="B2926" s="4" t="s">
        <v>17</v>
      </c>
      <c r="C2926" s="4" t="n">
        <v>12</v>
      </c>
      <c r="D2926" s="5" t="n">
        <v>35.25</v>
      </c>
      <c r="E2926" s="6" t="n">
        <f aca="false">DATE(2024,8,12)</f>
        <v>45516</v>
      </c>
      <c r="F2926" s="7" t="n">
        <f aca="false">C2926*D2926</f>
        <v>423</v>
      </c>
      <c r="G2926" s="7" t="n">
        <f aca="false">ROUND(F2926*0.2,2)</f>
        <v>84.6</v>
      </c>
      <c r="H2926" s="4" t="str">
        <f aca="false">IF(F2926&gt;500,"Yüksek",IF(F2926&gt;100,"Orta","Düşük"))</f>
        <v>Orta</v>
      </c>
    </row>
    <row r="2927" customFormat="false" ht="12.8" hidden="false" customHeight="false" outlineLevel="0" collapsed="false">
      <c r="A2927" s="4" t="s">
        <v>18</v>
      </c>
      <c r="B2927" s="4" t="s">
        <v>19</v>
      </c>
      <c r="C2927" s="4" t="n">
        <v>19</v>
      </c>
      <c r="D2927" s="5" t="n">
        <v>38</v>
      </c>
      <c r="E2927" s="6" t="n">
        <f aca="false">DATE(2024,9,13)</f>
        <v>45548</v>
      </c>
      <c r="F2927" s="7" t="n">
        <f aca="false">C2927*D2927</f>
        <v>722</v>
      </c>
      <c r="G2927" s="7" t="n">
        <f aca="false">ROUND(F2927*0.2,2)</f>
        <v>144.4</v>
      </c>
      <c r="H2927" s="4" t="str">
        <f aca="false">IF(F2927&gt;500,"Yüksek",IF(F2927&gt;100,"Orta","Düşük"))</f>
        <v>Yüksek</v>
      </c>
    </row>
    <row r="2928" customFormat="false" ht="12.8" hidden="false" customHeight="false" outlineLevel="0" collapsed="false">
      <c r="A2928" s="4" t="s">
        <v>20</v>
      </c>
      <c r="B2928" s="4" t="s">
        <v>11</v>
      </c>
      <c r="C2928" s="4" t="n">
        <v>26</v>
      </c>
      <c r="D2928" s="5" t="n">
        <v>5</v>
      </c>
      <c r="E2928" s="6" t="n">
        <f aca="false">DATE(2024,10,14)</f>
        <v>45579</v>
      </c>
      <c r="F2928" s="7" t="n">
        <f aca="false">C2928*D2928</f>
        <v>130</v>
      </c>
      <c r="G2928" s="7" t="n">
        <f aca="false">ROUND(F2928*0.2,2)</f>
        <v>26</v>
      </c>
      <c r="H2928" s="4" t="str">
        <f aca="false">IF(F2928&gt;500,"Yüksek",IF(F2928&gt;100,"Orta","Düşük"))</f>
        <v>Orta</v>
      </c>
    </row>
    <row r="2929" customFormat="false" ht="12.8" hidden="false" customHeight="false" outlineLevel="0" collapsed="false">
      <c r="A2929" s="4" t="s">
        <v>21</v>
      </c>
      <c r="B2929" s="4" t="s">
        <v>13</v>
      </c>
      <c r="C2929" s="4" t="n">
        <v>33</v>
      </c>
      <c r="D2929" s="5" t="n">
        <v>7.75</v>
      </c>
      <c r="E2929" s="6" t="n">
        <f aca="false">DATE(2024,11,15)</f>
        <v>45611</v>
      </c>
      <c r="F2929" s="7" t="n">
        <f aca="false">C2929*D2929</f>
        <v>255.75</v>
      </c>
      <c r="G2929" s="7" t="n">
        <f aca="false">ROUND(F2929*0.2,2)</f>
        <v>51.15</v>
      </c>
      <c r="H2929" s="4" t="str">
        <f aca="false">IF(F2929&gt;500,"Yüksek",IF(F2929&gt;100,"Orta","Düşük"))</f>
        <v>Orta</v>
      </c>
    </row>
    <row r="2930" customFormat="false" ht="12.8" hidden="false" customHeight="false" outlineLevel="0" collapsed="false">
      <c r="A2930" s="4" t="s">
        <v>22</v>
      </c>
      <c r="B2930" s="4" t="s">
        <v>15</v>
      </c>
      <c r="C2930" s="4" t="n">
        <v>40</v>
      </c>
      <c r="D2930" s="5" t="n">
        <v>10.5</v>
      </c>
      <c r="E2930" s="6" t="n">
        <f aca="false">DATE(2024,12,16)</f>
        <v>45642</v>
      </c>
      <c r="F2930" s="7" t="n">
        <f aca="false">C2930*D2930</f>
        <v>420</v>
      </c>
      <c r="G2930" s="7" t="n">
        <f aca="false">ROUND(F2930*0.2,2)</f>
        <v>84</v>
      </c>
      <c r="H2930" s="4" t="str">
        <f aca="false">IF(F2930&gt;500,"Yüksek",IF(F2930&gt;100,"Orta","Düşük"))</f>
        <v>Orta</v>
      </c>
    </row>
    <row r="2931" customFormat="false" ht="12.8" hidden="false" customHeight="false" outlineLevel="0" collapsed="false">
      <c r="A2931" s="4" t="s">
        <v>23</v>
      </c>
      <c r="B2931" s="4" t="s">
        <v>17</v>
      </c>
      <c r="C2931" s="4" t="n">
        <v>47</v>
      </c>
      <c r="D2931" s="5" t="n">
        <v>13.25</v>
      </c>
      <c r="E2931" s="6" t="n">
        <f aca="false">DATE(2024,1,17)</f>
        <v>45308</v>
      </c>
      <c r="F2931" s="7" t="n">
        <f aca="false">C2931*D2931</f>
        <v>622.75</v>
      </c>
      <c r="G2931" s="7" t="n">
        <f aca="false">ROUND(F2931*0.2,2)</f>
        <v>124.55</v>
      </c>
      <c r="H2931" s="4" t="str">
        <f aca="false">IF(F2931&gt;500,"Yüksek",IF(F2931&gt;100,"Orta","Düşük"))</f>
        <v>Yüksek</v>
      </c>
    </row>
    <row r="2932" customFormat="false" ht="12.8" hidden="false" customHeight="false" outlineLevel="0" collapsed="false">
      <c r="A2932" s="4" t="s">
        <v>24</v>
      </c>
      <c r="B2932" s="4" t="s">
        <v>19</v>
      </c>
      <c r="C2932" s="4" t="n">
        <v>4</v>
      </c>
      <c r="D2932" s="5" t="n">
        <v>16</v>
      </c>
      <c r="E2932" s="6" t="n">
        <f aca="false">DATE(2024,2,18)</f>
        <v>45340</v>
      </c>
      <c r="F2932" s="7" t="n">
        <f aca="false">C2932*D2932</f>
        <v>64</v>
      </c>
      <c r="G2932" s="7" t="n">
        <f aca="false">ROUND(F2932*0.2,2)</f>
        <v>12.8</v>
      </c>
      <c r="H2932" s="4" t="str">
        <f aca="false">IF(F2932&gt;500,"Yüksek",IF(F2932&gt;100,"Orta","Düşük"))</f>
        <v>Düşük</v>
      </c>
    </row>
    <row r="2933" customFormat="false" ht="12.8" hidden="false" customHeight="false" outlineLevel="0" collapsed="false">
      <c r="A2933" s="4" t="s">
        <v>10</v>
      </c>
      <c r="B2933" s="4" t="s">
        <v>11</v>
      </c>
      <c r="C2933" s="4" t="n">
        <v>11</v>
      </c>
      <c r="D2933" s="5" t="n">
        <v>18.75</v>
      </c>
      <c r="E2933" s="6" t="n">
        <f aca="false">DATE(2024,3,19)</f>
        <v>45370</v>
      </c>
      <c r="F2933" s="7" t="n">
        <f aca="false">C2933*D2933</f>
        <v>206.25</v>
      </c>
      <c r="G2933" s="7" t="n">
        <f aca="false">ROUND(F2933*0.2,2)</f>
        <v>41.25</v>
      </c>
      <c r="H2933" s="4" t="str">
        <f aca="false">IF(F2933&gt;500,"Yüksek",IF(F2933&gt;100,"Orta","Düşük"))</f>
        <v>Orta</v>
      </c>
    </row>
    <row r="2934" customFormat="false" ht="12.8" hidden="false" customHeight="false" outlineLevel="0" collapsed="false">
      <c r="A2934" s="4" t="s">
        <v>12</v>
      </c>
      <c r="B2934" s="4" t="s">
        <v>13</v>
      </c>
      <c r="C2934" s="4" t="n">
        <v>18</v>
      </c>
      <c r="D2934" s="5" t="n">
        <v>21.5</v>
      </c>
      <c r="E2934" s="6" t="n">
        <f aca="false">DATE(2024,4,20)</f>
        <v>45402</v>
      </c>
      <c r="F2934" s="7" t="n">
        <f aca="false">C2934*D2934</f>
        <v>387</v>
      </c>
      <c r="G2934" s="7" t="n">
        <f aca="false">ROUND(F2934*0.2,2)</f>
        <v>77.4</v>
      </c>
      <c r="H2934" s="4" t="str">
        <f aca="false">IF(F2934&gt;500,"Yüksek",IF(F2934&gt;100,"Orta","Düşük"))</f>
        <v>Orta</v>
      </c>
    </row>
    <row r="2935" customFormat="false" ht="12.8" hidden="false" customHeight="false" outlineLevel="0" collapsed="false">
      <c r="A2935" s="4" t="s">
        <v>14</v>
      </c>
      <c r="B2935" s="4" t="s">
        <v>15</v>
      </c>
      <c r="C2935" s="4" t="n">
        <v>25</v>
      </c>
      <c r="D2935" s="5" t="n">
        <v>24.25</v>
      </c>
      <c r="E2935" s="6" t="n">
        <f aca="false">DATE(2024,5,21)</f>
        <v>45433</v>
      </c>
      <c r="F2935" s="7" t="n">
        <f aca="false">C2935*D2935</f>
        <v>606.25</v>
      </c>
      <c r="G2935" s="7" t="n">
        <f aca="false">ROUND(F2935*0.2,2)</f>
        <v>121.25</v>
      </c>
      <c r="H2935" s="4" t="str">
        <f aca="false">IF(F2935&gt;500,"Yüksek",IF(F2935&gt;100,"Orta","Düşük"))</f>
        <v>Yüksek</v>
      </c>
    </row>
    <row r="2936" customFormat="false" ht="12.8" hidden="false" customHeight="false" outlineLevel="0" collapsed="false">
      <c r="A2936" s="4" t="s">
        <v>16</v>
      </c>
      <c r="B2936" s="4" t="s">
        <v>17</v>
      </c>
      <c r="C2936" s="4" t="n">
        <v>32</v>
      </c>
      <c r="D2936" s="5" t="n">
        <v>27</v>
      </c>
      <c r="E2936" s="6" t="n">
        <f aca="false">DATE(2024,6,22)</f>
        <v>45465</v>
      </c>
      <c r="F2936" s="7" t="n">
        <f aca="false">C2936*D2936</f>
        <v>864</v>
      </c>
      <c r="G2936" s="7" t="n">
        <f aca="false">ROUND(F2936*0.2,2)</f>
        <v>172.8</v>
      </c>
      <c r="H2936" s="4" t="str">
        <f aca="false">IF(F2936&gt;500,"Yüksek",IF(F2936&gt;100,"Orta","Düşük"))</f>
        <v>Yüksek</v>
      </c>
    </row>
    <row r="2937" customFormat="false" ht="12.8" hidden="false" customHeight="false" outlineLevel="0" collapsed="false">
      <c r="A2937" s="4" t="s">
        <v>18</v>
      </c>
      <c r="B2937" s="4" t="s">
        <v>19</v>
      </c>
      <c r="C2937" s="4" t="n">
        <v>39</v>
      </c>
      <c r="D2937" s="5" t="n">
        <v>29.75</v>
      </c>
      <c r="E2937" s="6" t="n">
        <f aca="false">DATE(2024,7,23)</f>
        <v>45496</v>
      </c>
      <c r="F2937" s="7" t="n">
        <f aca="false">C2937*D2937</f>
        <v>1160.25</v>
      </c>
      <c r="G2937" s="7" t="n">
        <f aca="false">ROUND(F2937*0.2,2)</f>
        <v>232.05</v>
      </c>
      <c r="H2937" s="4" t="str">
        <f aca="false">IF(F2937&gt;500,"Yüksek",IF(F2937&gt;100,"Orta","Düşük"))</f>
        <v>Yüksek</v>
      </c>
    </row>
    <row r="2938" customFormat="false" ht="12.8" hidden="false" customHeight="false" outlineLevel="0" collapsed="false">
      <c r="A2938" s="4" t="s">
        <v>20</v>
      </c>
      <c r="B2938" s="4" t="s">
        <v>11</v>
      </c>
      <c r="C2938" s="4" t="n">
        <v>46</v>
      </c>
      <c r="D2938" s="5" t="n">
        <v>32.5</v>
      </c>
      <c r="E2938" s="6" t="n">
        <f aca="false">DATE(2024,8,24)</f>
        <v>45528</v>
      </c>
      <c r="F2938" s="7" t="n">
        <f aca="false">C2938*D2938</f>
        <v>1495</v>
      </c>
      <c r="G2938" s="7" t="n">
        <f aca="false">ROUND(F2938*0.2,2)</f>
        <v>299</v>
      </c>
      <c r="H2938" s="4" t="str">
        <f aca="false">IF(F2938&gt;500,"Yüksek",IF(F2938&gt;100,"Orta","Düşük"))</f>
        <v>Yüksek</v>
      </c>
    </row>
    <row r="2939" customFormat="false" ht="12.8" hidden="false" customHeight="false" outlineLevel="0" collapsed="false">
      <c r="A2939" s="4" t="s">
        <v>21</v>
      </c>
      <c r="B2939" s="4" t="s">
        <v>13</v>
      </c>
      <c r="C2939" s="4" t="n">
        <v>3</v>
      </c>
      <c r="D2939" s="5" t="n">
        <v>35.25</v>
      </c>
      <c r="E2939" s="6" t="n">
        <f aca="false">DATE(2024,9,25)</f>
        <v>45560</v>
      </c>
      <c r="F2939" s="7" t="n">
        <f aca="false">C2939*D2939</f>
        <v>105.75</v>
      </c>
      <c r="G2939" s="7" t="n">
        <f aca="false">ROUND(F2939*0.2,2)</f>
        <v>21.15</v>
      </c>
      <c r="H2939" s="4" t="str">
        <f aca="false">IF(F2939&gt;500,"Yüksek",IF(F2939&gt;100,"Orta","Düşük"))</f>
        <v>Orta</v>
      </c>
    </row>
    <row r="2940" customFormat="false" ht="12.8" hidden="false" customHeight="false" outlineLevel="0" collapsed="false">
      <c r="A2940" s="4" t="s">
        <v>22</v>
      </c>
      <c r="B2940" s="4" t="s">
        <v>15</v>
      </c>
      <c r="C2940" s="4" t="n">
        <v>10</v>
      </c>
      <c r="D2940" s="5" t="n">
        <v>38</v>
      </c>
      <c r="E2940" s="6" t="n">
        <f aca="false">DATE(2024,10,26)</f>
        <v>45591</v>
      </c>
      <c r="F2940" s="7" t="n">
        <f aca="false">C2940*D2940</f>
        <v>380</v>
      </c>
      <c r="G2940" s="7" t="n">
        <f aca="false">ROUND(F2940*0.2,2)</f>
        <v>76</v>
      </c>
      <c r="H2940" s="4" t="str">
        <f aca="false">IF(F2940&gt;500,"Yüksek",IF(F2940&gt;100,"Orta","Düşük"))</f>
        <v>Orta</v>
      </c>
    </row>
    <row r="2941" customFormat="false" ht="12.8" hidden="false" customHeight="false" outlineLevel="0" collapsed="false">
      <c r="A2941" s="4" t="s">
        <v>23</v>
      </c>
      <c r="B2941" s="4" t="s">
        <v>17</v>
      </c>
      <c r="C2941" s="4" t="n">
        <v>17</v>
      </c>
      <c r="D2941" s="5" t="n">
        <v>5</v>
      </c>
      <c r="E2941" s="6" t="n">
        <f aca="false">DATE(2024,11,27)</f>
        <v>45623</v>
      </c>
      <c r="F2941" s="7" t="n">
        <f aca="false">C2941*D2941</f>
        <v>85</v>
      </c>
      <c r="G2941" s="7" t="n">
        <f aca="false">ROUND(F2941*0.2,2)</f>
        <v>17</v>
      </c>
      <c r="H2941" s="4" t="str">
        <f aca="false">IF(F2941&gt;500,"Yüksek",IF(F2941&gt;100,"Orta","Düşük"))</f>
        <v>Düşük</v>
      </c>
    </row>
    <row r="2942" customFormat="false" ht="12.8" hidden="false" customHeight="false" outlineLevel="0" collapsed="false">
      <c r="A2942" s="4" t="s">
        <v>24</v>
      </c>
      <c r="B2942" s="4" t="s">
        <v>19</v>
      </c>
      <c r="C2942" s="4" t="n">
        <v>24</v>
      </c>
      <c r="D2942" s="5" t="n">
        <v>7.75</v>
      </c>
      <c r="E2942" s="6" t="n">
        <f aca="false">DATE(2024,12,28)</f>
        <v>45654</v>
      </c>
      <c r="F2942" s="7" t="n">
        <f aca="false">C2942*D2942</f>
        <v>186</v>
      </c>
      <c r="G2942" s="7" t="n">
        <f aca="false">ROUND(F2942*0.2,2)</f>
        <v>37.2</v>
      </c>
      <c r="H2942" s="4" t="str">
        <f aca="false">IF(F2942&gt;500,"Yüksek",IF(F2942&gt;100,"Orta","Düşük"))</f>
        <v>Orta</v>
      </c>
    </row>
    <row r="2943" customFormat="false" ht="12.8" hidden="false" customHeight="false" outlineLevel="0" collapsed="false">
      <c r="A2943" s="4" t="s">
        <v>10</v>
      </c>
      <c r="B2943" s="4" t="s">
        <v>11</v>
      </c>
      <c r="C2943" s="4" t="n">
        <v>31</v>
      </c>
      <c r="D2943" s="5" t="n">
        <v>10.5</v>
      </c>
      <c r="E2943" s="6" t="n">
        <f aca="false">DATE(2024,1,1)</f>
        <v>45292</v>
      </c>
      <c r="F2943" s="7" t="n">
        <f aca="false">C2943*D2943</f>
        <v>325.5</v>
      </c>
      <c r="G2943" s="7" t="n">
        <f aca="false">ROUND(F2943*0.2,2)</f>
        <v>65.1</v>
      </c>
      <c r="H2943" s="4" t="str">
        <f aca="false">IF(F2943&gt;500,"Yüksek",IF(F2943&gt;100,"Orta","Düşük"))</f>
        <v>Orta</v>
      </c>
    </row>
    <row r="2944" customFormat="false" ht="12.8" hidden="false" customHeight="false" outlineLevel="0" collapsed="false">
      <c r="A2944" s="4" t="s">
        <v>12</v>
      </c>
      <c r="B2944" s="4" t="s">
        <v>13</v>
      </c>
      <c r="C2944" s="4" t="n">
        <v>38</v>
      </c>
      <c r="D2944" s="5" t="n">
        <v>13.25</v>
      </c>
      <c r="E2944" s="6" t="n">
        <f aca="false">DATE(2024,2,2)</f>
        <v>45324</v>
      </c>
      <c r="F2944" s="7" t="n">
        <f aca="false">C2944*D2944</f>
        <v>503.5</v>
      </c>
      <c r="G2944" s="7" t="n">
        <f aca="false">ROUND(F2944*0.2,2)</f>
        <v>100.7</v>
      </c>
      <c r="H2944" s="4" t="str">
        <f aca="false">IF(F2944&gt;500,"Yüksek",IF(F2944&gt;100,"Orta","Düşük"))</f>
        <v>Yüksek</v>
      </c>
    </row>
    <row r="2945" customFormat="false" ht="12.8" hidden="false" customHeight="false" outlineLevel="0" collapsed="false">
      <c r="A2945" s="4" t="s">
        <v>14</v>
      </c>
      <c r="B2945" s="4" t="s">
        <v>15</v>
      </c>
      <c r="C2945" s="4" t="n">
        <v>45</v>
      </c>
      <c r="D2945" s="5" t="n">
        <v>16</v>
      </c>
      <c r="E2945" s="6" t="n">
        <f aca="false">DATE(2024,3,3)</f>
        <v>45354</v>
      </c>
      <c r="F2945" s="7" t="n">
        <f aca="false">C2945*D2945</f>
        <v>720</v>
      </c>
      <c r="G2945" s="7" t="n">
        <f aca="false">ROUND(F2945*0.2,2)</f>
        <v>144</v>
      </c>
      <c r="H2945" s="4" t="str">
        <f aca="false">IF(F2945&gt;500,"Yüksek",IF(F2945&gt;100,"Orta","Düşük"))</f>
        <v>Yüksek</v>
      </c>
    </row>
    <row r="2946" customFormat="false" ht="12.8" hidden="false" customHeight="false" outlineLevel="0" collapsed="false">
      <c r="A2946" s="4" t="s">
        <v>16</v>
      </c>
      <c r="B2946" s="4" t="s">
        <v>17</v>
      </c>
      <c r="C2946" s="4" t="n">
        <v>2</v>
      </c>
      <c r="D2946" s="5" t="n">
        <v>18.75</v>
      </c>
      <c r="E2946" s="6" t="n">
        <f aca="false">DATE(2024,4,4)</f>
        <v>45386</v>
      </c>
      <c r="F2946" s="7" t="n">
        <f aca="false">C2946*D2946</f>
        <v>37.5</v>
      </c>
      <c r="G2946" s="7" t="n">
        <f aca="false">ROUND(F2946*0.2,2)</f>
        <v>7.5</v>
      </c>
      <c r="H2946" s="4" t="str">
        <f aca="false">IF(F2946&gt;500,"Yüksek",IF(F2946&gt;100,"Orta","Düşük"))</f>
        <v>Düşük</v>
      </c>
    </row>
    <row r="2947" customFormat="false" ht="12.8" hidden="false" customHeight="false" outlineLevel="0" collapsed="false">
      <c r="A2947" s="4" t="s">
        <v>18</v>
      </c>
      <c r="B2947" s="4" t="s">
        <v>19</v>
      </c>
      <c r="C2947" s="4" t="n">
        <v>9</v>
      </c>
      <c r="D2947" s="5" t="n">
        <v>21.5</v>
      </c>
      <c r="E2947" s="6" t="n">
        <f aca="false">DATE(2024,5,5)</f>
        <v>45417</v>
      </c>
      <c r="F2947" s="7" t="n">
        <f aca="false">C2947*D2947</f>
        <v>193.5</v>
      </c>
      <c r="G2947" s="7" t="n">
        <f aca="false">ROUND(F2947*0.2,2)</f>
        <v>38.7</v>
      </c>
      <c r="H2947" s="4" t="str">
        <f aca="false">IF(F2947&gt;500,"Yüksek",IF(F2947&gt;100,"Orta","Düşük"))</f>
        <v>Orta</v>
      </c>
    </row>
    <row r="2948" customFormat="false" ht="12.8" hidden="false" customHeight="false" outlineLevel="0" collapsed="false">
      <c r="A2948" s="4" t="s">
        <v>20</v>
      </c>
      <c r="B2948" s="4" t="s">
        <v>11</v>
      </c>
      <c r="C2948" s="4" t="n">
        <v>16</v>
      </c>
      <c r="D2948" s="5" t="n">
        <v>24.25</v>
      </c>
      <c r="E2948" s="6" t="n">
        <f aca="false">DATE(2024,6,6)</f>
        <v>45449</v>
      </c>
      <c r="F2948" s="7" t="n">
        <f aca="false">C2948*D2948</f>
        <v>388</v>
      </c>
      <c r="G2948" s="7" t="n">
        <f aca="false">ROUND(F2948*0.2,2)</f>
        <v>77.6</v>
      </c>
      <c r="H2948" s="4" t="str">
        <f aca="false">IF(F2948&gt;500,"Yüksek",IF(F2948&gt;100,"Orta","Düşük"))</f>
        <v>Orta</v>
      </c>
    </row>
    <row r="2949" customFormat="false" ht="12.8" hidden="false" customHeight="false" outlineLevel="0" collapsed="false">
      <c r="A2949" s="4" t="s">
        <v>21</v>
      </c>
      <c r="B2949" s="4" t="s">
        <v>13</v>
      </c>
      <c r="C2949" s="4" t="n">
        <v>23</v>
      </c>
      <c r="D2949" s="5" t="n">
        <v>27</v>
      </c>
      <c r="E2949" s="6" t="n">
        <f aca="false">DATE(2024,7,7)</f>
        <v>45480</v>
      </c>
      <c r="F2949" s="7" t="n">
        <f aca="false">C2949*D2949</f>
        <v>621</v>
      </c>
      <c r="G2949" s="7" t="n">
        <f aca="false">ROUND(F2949*0.2,2)</f>
        <v>124.2</v>
      </c>
      <c r="H2949" s="4" t="str">
        <f aca="false">IF(F2949&gt;500,"Yüksek",IF(F2949&gt;100,"Orta","Düşük"))</f>
        <v>Yüksek</v>
      </c>
    </row>
    <row r="2950" customFormat="false" ht="12.8" hidden="false" customHeight="false" outlineLevel="0" collapsed="false">
      <c r="A2950" s="4" t="s">
        <v>22</v>
      </c>
      <c r="B2950" s="4" t="s">
        <v>15</v>
      </c>
      <c r="C2950" s="4" t="n">
        <v>30</v>
      </c>
      <c r="D2950" s="5" t="n">
        <v>29.75</v>
      </c>
      <c r="E2950" s="6" t="n">
        <f aca="false">DATE(2024,8,8)</f>
        <v>45512</v>
      </c>
      <c r="F2950" s="7" t="n">
        <f aca="false">C2950*D2950</f>
        <v>892.5</v>
      </c>
      <c r="G2950" s="7" t="n">
        <f aca="false">ROUND(F2950*0.2,2)</f>
        <v>178.5</v>
      </c>
      <c r="H2950" s="4" t="str">
        <f aca="false">IF(F2950&gt;500,"Yüksek",IF(F2950&gt;100,"Orta","Düşük"))</f>
        <v>Yüksek</v>
      </c>
    </row>
    <row r="2951" customFormat="false" ht="12.8" hidden="false" customHeight="false" outlineLevel="0" collapsed="false">
      <c r="A2951" s="4" t="s">
        <v>23</v>
      </c>
      <c r="B2951" s="4" t="s">
        <v>17</v>
      </c>
      <c r="C2951" s="4" t="n">
        <v>37</v>
      </c>
      <c r="D2951" s="5" t="n">
        <v>32.5</v>
      </c>
      <c r="E2951" s="6" t="n">
        <f aca="false">DATE(2024,9,9)</f>
        <v>45544</v>
      </c>
      <c r="F2951" s="7" t="n">
        <f aca="false">C2951*D2951</f>
        <v>1202.5</v>
      </c>
      <c r="G2951" s="7" t="n">
        <f aca="false">ROUND(F2951*0.2,2)</f>
        <v>240.5</v>
      </c>
      <c r="H2951" s="4" t="str">
        <f aca="false">IF(F2951&gt;500,"Yüksek",IF(F2951&gt;100,"Orta","Düşük"))</f>
        <v>Yüksek</v>
      </c>
    </row>
    <row r="2952" customFormat="false" ht="12.8" hidden="false" customHeight="false" outlineLevel="0" collapsed="false">
      <c r="A2952" s="4" t="s">
        <v>24</v>
      </c>
      <c r="B2952" s="4" t="s">
        <v>19</v>
      </c>
      <c r="C2952" s="4" t="n">
        <v>44</v>
      </c>
      <c r="D2952" s="5" t="n">
        <v>35.25</v>
      </c>
      <c r="E2952" s="6" t="n">
        <f aca="false">DATE(2024,10,10)</f>
        <v>45575</v>
      </c>
      <c r="F2952" s="7" t="n">
        <f aca="false">C2952*D2952</f>
        <v>1551</v>
      </c>
      <c r="G2952" s="7" t="n">
        <f aca="false">ROUND(F2952*0.2,2)</f>
        <v>310.2</v>
      </c>
      <c r="H2952" s="4" t="str">
        <f aca="false">IF(F2952&gt;500,"Yüksek",IF(F2952&gt;100,"Orta","Düşük"))</f>
        <v>Yüksek</v>
      </c>
    </row>
    <row r="2953" customFormat="false" ht="12.8" hidden="false" customHeight="false" outlineLevel="0" collapsed="false">
      <c r="A2953" s="4" t="s">
        <v>10</v>
      </c>
      <c r="B2953" s="4" t="s">
        <v>11</v>
      </c>
      <c r="C2953" s="4" t="n">
        <v>1</v>
      </c>
      <c r="D2953" s="5" t="n">
        <v>38</v>
      </c>
      <c r="E2953" s="6" t="n">
        <f aca="false">DATE(2024,11,11)</f>
        <v>45607</v>
      </c>
      <c r="F2953" s="7" t="n">
        <f aca="false">C2953*D2953</f>
        <v>38</v>
      </c>
      <c r="G2953" s="7" t="n">
        <f aca="false">ROUND(F2953*0.2,2)</f>
        <v>7.6</v>
      </c>
      <c r="H2953" s="4" t="str">
        <f aca="false">IF(F2953&gt;500,"Yüksek",IF(F2953&gt;100,"Orta","Düşük"))</f>
        <v>Düşük</v>
      </c>
    </row>
    <row r="2954" customFormat="false" ht="12.8" hidden="false" customHeight="false" outlineLevel="0" collapsed="false">
      <c r="A2954" s="4" t="s">
        <v>12</v>
      </c>
      <c r="B2954" s="4" t="s">
        <v>13</v>
      </c>
      <c r="C2954" s="4" t="n">
        <v>8</v>
      </c>
      <c r="D2954" s="5" t="n">
        <v>5</v>
      </c>
      <c r="E2954" s="6" t="n">
        <f aca="false">DATE(2024,12,12)</f>
        <v>45638</v>
      </c>
      <c r="F2954" s="7" t="n">
        <f aca="false">C2954*D2954</f>
        <v>40</v>
      </c>
      <c r="G2954" s="7" t="n">
        <f aca="false">ROUND(F2954*0.2,2)</f>
        <v>8</v>
      </c>
      <c r="H2954" s="4" t="str">
        <f aca="false">IF(F2954&gt;500,"Yüksek",IF(F2954&gt;100,"Orta","Düşük"))</f>
        <v>Düşük</v>
      </c>
    </row>
    <row r="2955" customFormat="false" ht="12.8" hidden="false" customHeight="false" outlineLevel="0" collapsed="false">
      <c r="A2955" s="4" t="s">
        <v>14</v>
      </c>
      <c r="B2955" s="4" t="s">
        <v>15</v>
      </c>
      <c r="C2955" s="4" t="n">
        <v>15</v>
      </c>
      <c r="D2955" s="5" t="n">
        <v>7.75</v>
      </c>
      <c r="E2955" s="6" t="n">
        <f aca="false">DATE(2024,1,13)</f>
        <v>45304</v>
      </c>
      <c r="F2955" s="7" t="n">
        <f aca="false">C2955*D2955</f>
        <v>116.25</v>
      </c>
      <c r="G2955" s="7" t="n">
        <f aca="false">ROUND(F2955*0.2,2)</f>
        <v>23.25</v>
      </c>
      <c r="H2955" s="4" t="str">
        <f aca="false">IF(F2955&gt;500,"Yüksek",IF(F2955&gt;100,"Orta","Düşük"))</f>
        <v>Orta</v>
      </c>
    </row>
    <row r="2956" customFormat="false" ht="12.8" hidden="false" customHeight="false" outlineLevel="0" collapsed="false">
      <c r="A2956" s="4" t="s">
        <v>16</v>
      </c>
      <c r="B2956" s="4" t="s">
        <v>17</v>
      </c>
      <c r="C2956" s="4" t="n">
        <v>22</v>
      </c>
      <c r="D2956" s="5" t="n">
        <v>10.5</v>
      </c>
      <c r="E2956" s="6" t="n">
        <f aca="false">DATE(2024,2,14)</f>
        <v>45336</v>
      </c>
      <c r="F2956" s="7" t="n">
        <f aca="false">C2956*D2956</f>
        <v>231</v>
      </c>
      <c r="G2956" s="7" t="n">
        <f aca="false">ROUND(F2956*0.2,2)</f>
        <v>46.2</v>
      </c>
      <c r="H2956" s="4" t="str">
        <f aca="false">IF(F2956&gt;500,"Yüksek",IF(F2956&gt;100,"Orta","Düşük"))</f>
        <v>Orta</v>
      </c>
    </row>
    <row r="2957" customFormat="false" ht="12.8" hidden="false" customHeight="false" outlineLevel="0" collapsed="false">
      <c r="A2957" s="4" t="s">
        <v>18</v>
      </c>
      <c r="B2957" s="4" t="s">
        <v>19</v>
      </c>
      <c r="C2957" s="4" t="n">
        <v>29</v>
      </c>
      <c r="D2957" s="5" t="n">
        <v>13.25</v>
      </c>
      <c r="E2957" s="6" t="n">
        <f aca="false">DATE(2024,3,15)</f>
        <v>45366</v>
      </c>
      <c r="F2957" s="7" t="n">
        <f aca="false">C2957*D2957</f>
        <v>384.25</v>
      </c>
      <c r="G2957" s="7" t="n">
        <f aca="false">ROUND(F2957*0.2,2)</f>
        <v>76.85</v>
      </c>
      <c r="H2957" s="4" t="str">
        <f aca="false">IF(F2957&gt;500,"Yüksek",IF(F2957&gt;100,"Orta","Düşük"))</f>
        <v>Orta</v>
      </c>
    </row>
    <row r="2958" customFormat="false" ht="12.8" hidden="false" customHeight="false" outlineLevel="0" collapsed="false">
      <c r="A2958" s="4" t="s">
        <v>20</v>
      </c>
      <c r="B2958" s="4" t="s">
        <v>11</v>
      </c>
      <c r="C2958" s="4" t="n">
        <v>36</v>
      </c>
      <c r="D2958" s="5" t="n">
        <v>16</v>
      </c>
      <c r="E2958" s="6" t="n">
        <f aca="false">DATE(2024,4,16)</f>
        <v>45398</v>
      </c>
      <c r="F2958" s="7" t="n">
        <f aca="false">C2958*D2958</f>
        <v>576</v>
      </c>
      <c r="G2958" s="7" t="n">
        <f aca="false">ROUND(F2958*0.2,2)</f>
        <v>115.2</v>
      </c>
      <c r="H2958" s="4" t="str">
        <f aca="false">IF(F2958&gt;500,"Yüksek",IF(F2958&gt;100,"Orta","Düşük"))</f>
        <v>Yüksek</v>
      </c>
    </row>
    <row r="2959" customFormat="false" ht="12.8" hidden="false" customHeight="false" outlineLevel="0" collapsed="false">
      <c r="A2959" s="4" t="s">
        <v>21</v>
      </c>
      <c r="B2959" s="4" t="s">
        <v>13</v>
      </c>
      <c r="C2959" s="4" t="n">
        <v>43</v>
      </c>
      <c r="D2959" s="5" t="n">
        <v>18.75</v>
      </c>
      <c r="E2959" s="6" t="n">
        <f aca="false">DATE(2024,5,17)</f>
        <v>45429</v>
      </c>
      <c r="F2959" s="7" t="n">
        <f aca="false">C2959*D2959</f>
        <v>806.25</v>
      </c>
      <c r="G2959" s="7" t="n">
        <f aca="false">ROUND(F2959*0.2,2)</f>
        <v>161.25</v>
      </c>
      <c r="H2959" s="4" t="str">
        <f aca="false">IF(F2959&gt;500,"Yüksek",IF(F2959&gt;100,"Orta","Düşük"))</f>
        <v>Yüksek</v>
      </c>
    </row>
    <row r="2960" customFormat="false" ht="12.8" hidden="false" customHeight="false" outlineLevel="0" collapsed="false">
      <c r="A2960" s="4" t="s">
        <v>22</v>
      </c>
      <c r="B2960" s="4" t="s">
        <v>15</v>
      </c>
      <c r="C2960" s="4" t="n">
        <v>50</v>
      </c>
      <c r="D2960" s="5" t="n">
        <v>21.5</v>
      </c>
      <c r="E2960" s="6" t="n">
        <f aca="false">DATE(2024,6,18)</f>
        <v>45461</v>
      </c>
      <c r="F2960" s="7" t="n">
        <f aca="false">C2960*D2960</f>
        <v>1075</v>
      </c>
      <c r="G2960" s="7" t="n">
        <f aca="false">ROUND(F2960*0.2,2)</f>
        <v>215</v>
      </c>
      <c r="H2960" s="4" t="str">
        <f aca="false">IF(F2960&gt;500,"Yüksek",IF(F2960&gt;100,"Orta","Düşük"))</f>
        <v>Yüksek</v>
      </c>
    </row>
    <row r="2961" customFormat="false" ht="12.8" hidden="false" customHeight="false" outlineLevel="0" collapsed="false">
      <c r="A2961" s="4" t="s">
        <v>23</v>
      </c>
      <c r="B2961" s="4" t="s">
        <v>17</v>
      </c>
      <c r="C2961" s="4" t="n">
        <v>7</v>
      </c>
      <c r="D2961" s="5" t="n">
        <v>24.25</v>
      </c>
      <c r="E2961" s="6" t="n">
        <f aca="false">DATE(2024,7,19)</f>
        <v>45492</v>
      </c>
      <c r="F2961" s="7" t="n">
        <f aca="false">C2961*D2961</f>
        <v>169.75</v>
      </c>
      <c r="G2961" s="7" t="n">
        <f aca="false">ROUND(F2961*0.2,2)</f>
        <v>33.95</v>
      </c>
      <c r="H2961" s="4" t="str">
        <f aca="false">IF(F2961&gt;500,"Yüksek",IF(F2961&gt;100,"Orta","Düşük"))</f>
        <v>Orta</v>
      </c>
    </row>
    <row r="2962" customFormat="false" ht="12.8" hidden="false" customHeight="false" outlineLevel="0" collapsed="false">
      <c r="A2962" s="4" t="s">
        <v>24</v>
      </c>
      <c r="B2962" s="4" t="s">
        <v>19</v>
      </c>
      <c r="C2962" s="4" t="n">
        <v>14</v>
      </c>
      <c r="D2962" s="5" t="n">
        <v>27</v>
      </c>
      <c r="E2962" s="6" t="n">
        <f aca="false">DATE(2024,8,20)</f>
        <v>45524</v>
      </c>
      <c r="F2962" s="7" t="n">
        <f aca="false">C2962*D2962</f>
        <v>378</v>
      </c>
      <c r="G2962" s="7" t="n">
        <f aca="false">ROUND(F2962*0.2,2)</f>
        <v>75.6</v>
      </c>
      <c r="H2962" s="4" t="str">
        <f aca="false">IF(F2962&gt;500,"Yüksek",IF(F2962&gt;100,"Orta","Düşük"))</f>
        <v>Orta</v>
      </c>
    </row>
    <row r="2963" customFormat="false" ht="12.8" hidden="false" customHeight="false" outlineLevel="0" collapsed="false">
      <c r="A2963" s="4" t="s">
        <v>10</v>
      </c>
      <c r="B2963" s="4" t="s">
        <v>11</v>
      </c>
      <c r="C2963" s="4" t="n">
        <v>21</v>
      </c>
      <c r="D2963" s="5" t="n">
        <v>29.75</v>
      </c>
      <c r="E2963" s="6" t="n">
        <f aca="false">DATE(2024,9,21)</f>
        <v>45556</v>
      </c>
      <c r="F2963" s="7" t="n">
        <f aca="false">C2963*D2963</f>
        <v>624.75</v>
      </c>
      <c r="G2963" s="7" t="n">
        <f aca="false">ROUND(F2963*0.2,2)</f>
        <v>124.95</v>
      </c>
      <c r="H2963" s="4" t="str">
        <f aca="false">IF(F2963&gt;500,"Yüksek",IF(F2963&gt;100,"Orta","Düşük"))</f>
        <v>Yüksek</v>
      </c>
    </row>
    <row r="2964" customFormat="false" ht="12.8" hidden="false" customHeight="false" outlineLevel="0" collapsed="false">
      <c r="A2964" s="4" t="s">
        <v>12</v>
      </c>
      <c r="B2964" s="4" t="s">
        <v>13</v>
      </c>
      <c r="C2964" s="4" t="n">
        <v>28</v>
      </c>
      <c r="D2964" s="5" t="n">
        <v>32.5</v>
      </c>
      <c r="E2964" s="6" t="n">
        <f aca="false">DATE(2024,10,22)</f>
        <v>45587</v>
      </c>
      <c r="F2964" s="7" t="n">
        <f aca="false">C2964*D2964</f>
        <v>910</v>
      </c>
      <c r="G2964" s="7" t="n">
        <f aca="false">ROUND(F2964*0.2,2)</f>
        <v>182</v>
      </c>
      <c r="H2964" s="4" t="str">
        <f aca="false">IF(F2964&gt;500,"Yüksek",IF(F2964&gt;100,"Orta","Düşük"))</f>
        <v>Yüksek</v>
      </c>
    </row>
    <row r="2965" customFormat="false" ht="12.8" hidden="false" customHeight="false" outlineLevel="0" collapsed="false">
      <c r="A2965" s="4" t="s">
        <v>14</v>
      </c>
      <c r="B2965" s="4" t="s">
        <v>15</v>
      </c>
      <c r="C2965" s="4" t="n">
        <v>35</v>
      </c>
      <c r="D2965" s="5" t="n">
        <v>35.25</v>
      </c>
      <c r="E2965" s="6" t="n">
        <f aca="false">DATE(2024,11,23)</f>
        <v>45619</v>
      </c>
      <c r="F2965" s="7" t="n">
        <f aca="false">C2965*D2965</f>
        <v>1233.75</v>
      </c>
      <c r="G2965" s="7" t="n">
        <f aca="false">ROUND(F2965*0.2,2)</f>
        <v>246.75</v>
      </c>
      <c r="H2965" s="4" t="str">
        <f aca="false">IF(F2965&gt;500,"Yüksek",IF(F2965&gt;100,"Orta","Düşük"))</f>
        <v>Yüksek</v>
      </c>
    </row>
    <row r="2966" customFormat="false" ht="12.8" hidden="false" customHeight="false" outlineLevel="0" collapsed="false">
      <c r="A2966" s="4" t="s">
        <v>16</v>
      </c>
      <c r="B2966" s="4" t="s">
        <v>17</v>
      </c>
      <c r="C2966" s="4" t="n">
        <v>42</v>
      </c>
      <c r="D2966" s="5" t="n">
        <v>38</v>
      </c>
      <c r="E2966" s="6" t="n">
        <f aca="false">DATE(2024,12,24)</f>
        <v>45650</v>
      </c>
      <c r="F2966" s="7" t="n">
        <f aca="false">C2966*D2966</f>
        <v>1596</v>
      </c>
      <c r="G2966" s="7" t="n">
        <f aca="false">ROUND(F2966*0.2,2)</f>
        <v>319.2</v>
      </c>
      <c r="H2966" s="4" t="str">
        <f aca="false">IF(F2966&gt;500,"Yüksek",IF(F2966&gt;100,"Orta","Düşük"))</f>
        <v>Yüksek</v>
      </c>
    </row>
    <row r="2967" customFormat="false" ht="12.8" hidden="false" customHeight="false" outlineLevel="0" collapsed="false">
      <c r="A2967" s="4" t="s">
        <v>18</v>
      </c>
      <c r="B2967" s="4" t="s">
        <v>19</v>
      </c>
      <c r="C2967" s="4" t="n">
        <v>49</v>
      </c>
      <c r="D2967" s="5" t="n">
        <v>5</v>
      </c>
      <c r="E2967" s="6" t="n">
        <f aca="false">DATE(2024,1,25)</f>
        <v>45316</v>
      </c>
      <c r="F2967" s="7" t="n">
        <f aca="false">C2967*D2967</f>
        <v>245</v>
      </c>
      <c r="G2967" s="7" t="n">
        <f aca="false">ROUND(F2967*0.2,2)</f>
        <v>49</v>
      </c>
      <c r="H2967" s="4" t="str">
        <f aca="false">IF(F2967&gt;500,"Yüksek",IF(F2967&gt;100,"Orta","Düşük"))</f>
        <v>Orta</v>
      </c>
    </row>
    <row r="2968" customFormat="false" ht="12.8" hidden="false" customHeight="false" outlineLevel="0" collapsed="false">
      <c r="A2968" s="4" t="s">
        <v>20</v>
      </c>
      <c r="B2968" s="4" t="s">
        <v>11</v>
      </c>
      <c r="C2968" s="4" t="n">
        <v>6</v>
      </c>
      <c r="D2968" s="5" t="n">
        <v>7.75</v>
      </c>
      <c r="E2968" s="6" t="n">
        <f aca="false">DATE(2024,2,26)</f>
        <v>45348</v>
      </c>
      <c r="F2968" s="7" t="n">
        <f aca="false">C2968*D2968</f>
        <v>46.5</v>
      </c>
      <c r="G2968" s="7" t="n">
        <f aca="false">ROUND(F2968*0.2,2)</f>
        <v>9.3</v>
      </c>
      <c r="H2968" s="4" t="str">
        <f aca="false">IF(F2968&gt;500,"Yüksek",IF(F2968&gt;100,"Orta","Düşük"))</f>
        <v>Düşük</v>
      </c>
    </row>
    <row r="2969" customFormat="false" ht="12.8" hidden="false" customHeight="false" outlineLevel="0" collapsed="false">
      <c r="A2969" s="4" t="s">
        <v>21</v>
      </c>
      <c r="B2969" s="4" t="s">
        <v>13</v>
      </c>
      <c r="C2969" s="4" t="n">
        <v>13</v>
      </c>
      <c r="D2969" s="5" t="n">
        <v>10.5</v>
      </c>
      <c r="E2969" s="6" t="n">
        <f aca="false">DATE(2024,3,27)</f>
        <v>45378</v>
      </c>
      <c r="F2969" s="7" t="n">
        <f aca="false">C2969*D2969</f>
        <v>136.5</v>
      </c>
      <c r="G2969" s="7" t="n">
        <f aca="false">ROUND(F2969*0.2,2)</f>
        <v>27.3</v>
      </c>
      <c r="H2969" s="4" t="str">
        <f aca="false">IF(F2969&gt;500,"Yüksek",IF(F2969&gt;100,"Orta","Düşük"))</f>
        <v>Orta</v>
      </c>
    </row>
    <row r="2970" customFormat="false" ht="12.8" hidden="false" customHeight="false" outlineLevel="0" collapsed="false">
      <c r="A2970" s="4" t="s">
        <v>22</v>
      </c>
      <c r="B2970" s="4" t="s">
        <v>15</v>
      </c>
      <c r="C2970" s="4" t="n">
        <v>20</v>
      </c>
      <c r="D2970" s="5" t="n">
        <v>13.25</v>
      </c>
      <c r="E2970" s="6" t="n">
        <f aca="false">DATE(2024,4,28)</f>
        <v>45410</v>
      </c>
      <c r="F2970" s="7" t="n">
        <f aca="false">C2970*D2970</f>
        <v>265</v>
      </c>
      <c r="G2970" s="7" t="n">
        <f aca="false">ROUND(F2970*0.2,2)</f>
        <v>53</v>
      </c>
      <c r="H2970" s="4" t="str">
        <f aca="false">IF(F2970&gt;500,"Yüksek",IF(F2970&gt;100,"Orta","Düşük"))</f>
        <v>Orta</v>
      </c>
    </row>
    <row r="2971" customFormat="false" ht="12.8" hidden="false" customHeight="false" outlineLevel="0" collapsed="false">
      <c r="A2971" s="4" t="s">
        <v>23</v>
      </c>
      <c r="B2971" s="4" t="s">
        <v>17</v>
      </c>
      <c r="C2971" s="4" t="n">
        <v>27</v>
      </c>
      <c r="D2971" s="5" t="n">
        <v>16</v>
      </c>
      <c r="E2971" s="6" t="n">
        <f aca="false">DATE(2024,5,1)</f>
        <v>45413</v>
      </c>
      <c r="F2971" s="7" t="n">
        <f aca="false">C2971*D2971</f>
        <v>432</v>
      </c>
      <c r="G2971" s="7" t="n">
        <f aca="false">ROUND(F2971*0.2,2)</f>
        <v>86.4</v>
      </c>
      <c r="H2971" s="4" t="str">
        <f aca="false">IF(F2971&gt;500,"Yüksek",IF(F2971&gt;100,"Orta","Düşük"))</f>
        <v>Orta</v>
      </c>
    </row>
    <row r="2972" customFormat="false" ht="12.8" hidden="false" customHeight="false" outlineLevel="0" collapsed="false">
      <c r="A2972" s="4" t="s">
        <v>24</v>
      </c>
      <c r="B2972" s="4" t="s">
        <v>19</v>
      </c>
      <c r="C2972" s="4" t="n">
        <v>34</v>
      </c>
      <c r="D2972" s="5" t="n">
        <v>18.75</v>
      </c>
      <c r="E2972" s="6" t="n">
        <f aca="false">DATE(2024,6,2)</f>
        <v>45445</v>
      </c>
      <c r="F2972" s="7" t="n">
        <f aca="false">C2972*D2972</f>
        <v>637.5</v>
      </c>
      <c r="G2972" s="7" t="n">
        <f aca="false">ROUND(F2972*0.2,2)</f>
        <v>127.5</v>
      </c>
      <c r="H2972" s="4" t="str">
        <f aca="false">IF(F2972&gt;500,"Yüksek",IF(F2972&gt;100,"Orta","Düşük"))</f>
        <v>Yüksek</v>
      </c>
    </row>
    <row r="2973" customFormat="false" ht="12.8" hidden="false" customHeight="false" outlineLevel="0" collapsed="false">
      <c r="A2973" s="4" t="s">
        <v>10</v>
      </c>
      <c r="B2973" s="4" t="s">
        <v>11</v>
      </c>
      <c r="C2973" s="4" t="n">
        <v>41</v>
      </c>
      <c r="D2973" s="5" t="n">
        <v>21.5</v>
      </c>
      <c r="E2973" s="6" t="n">
        <f aca="false">DATE(2024,7,3)</f>
        <v>45476</v>
      </c>
      <c r="F2973" s="7" t="n">
        <f aca="false">C2973*D2973</f>
        <v>881.5</v>
      </c>
      <c r="G2973" s="7" t="n">
        <f aca="false">ROUND(F2973*0.2,2)</f>
        <v>176.3</v>
      </c>
      <c r="H2973" s="4" t="str">
        <f aca="false">IF(F2973&gt;500,"Yüksek",IF(F2973&gt;100,"Orta","Düşük"))</f>
        <v>Yüksek</v>
      </c>
    </row>
    <row r="2974" customFormat="false" ht="12.8" hidden="false" customHeight="false" outlineLevel="0" collapsed="false">
      <c r="A2974" s="4" t="s">
        <v>12</v>
      </c>
      <c r="B2974" s="4" t="s">
        <v>13</v>
      </c>
      <c r="C2974" s="4" t="n">
        <v>48</v>
      </c>
      <c r="D2974" s="5" t="n">
        <v>24.25</v>
      </c>
      <c r="E2974" s="6" t="n">
        <f aca="false">DATE(2024,8,4)</f>
        <v>45508</v>
      </c>
      <c r="F2974" s="7" t="n">
        <f aca="false">C2974*D2974</f>
        <v>1164</v>
      </c>
      <c r="G2974" s="7" t="n">
        <f aca="false">ROUND(F2974*0.2,2)</f>
        <v>232.8</v>
      </c>
      <c r="H2974" s="4" t="str">
        <f aca="false">IF(F2974&gt;500,"Yüksek",IF(F2974&gt;100,"Orta","Düşük"))</f>
        <v>Yüksek</v>
      </c>
    </row>
    <row r="2975" customFormat="false" ht="12.8" hidden="false" customHeight="false" outlineLevel="0" collapsed="false">
      <c r="A2975" s="4" t="s">
        <v>14</v>
      </c>
      <c r="B2975" s="4" t="s">
        <v>15</v>
      </c>
      <c r="C2975" s="4" t="n">
        <v>5</v>
      </c>
      <c r="D2975" s="5" t="n">
        <v>27</v>
      </c>
      <c r="E2975" s="6" t="n">
        <f aca="false">DATE(2024,9,5)</f>
        <v>45540</v>
      </c>
      <c r="F2975" s="7" t="n">
        <f aca="false">C2975*D2975</f>
        <v>135</v>
      </c>
      <c r="G2975" s="7" t="n">
        <f aca="false">ROUND(F2975*0.2,2)</f>
        <v>27</v>
      </c>
      <c r="H2975" s="4" t="str">
        <f aca="false">IF(F2975&gt;500,"Yüksek",IF(F2975&gt;100,"Orta","Düşük"))</f>
        <v>Orta</v>
      </c>
    </row>
    <row r="2976" customFormat="false" ht="12.8" hidden="false" customHeight="false" outlineLevel="0" collapsed="false">
      <c r="A2976" s="4" t="s">
        <v>16</v>
      </c>
      <c r="B2976" s="4" t="s">
        <v>17</v>
      </c>
      <c r="C2976" s="4" t="n">
        <v>12</v>
      </c>
      <c r="D2976" s="5" t="n">
        <v>29.75</v>
      </c>
      <c r="E2976" s="6" t="n">
        <f aca="false">DATE(2024,10,6)</f>
        <v>45571</v>
      </c>
      <c r="F2976" s="7" t="n">
        <f aca="false">C2976*D2976</f>
        <v>357</v>
      </c>
      <c r="G2976" s="7" t="n">
        <f aca="false">ROUND(F2976*0.2,2)</f>
        <v>71.4</v>
      </c>
      <c r="H2976" s="4" t="str">
        <f aca="false">IF(F2976&gt;500,"Yüksek",IF(F2976&gt;100,"Orta","Düşük"))</f>
        <v>Orta</v>
      </c>
    </row>
    <row r="2977" customFormat="false" ht="12.8" hidden="false" customHeight="false" outlineLevel="0" collapsed="false">
      <c r="A2977" s="4" t="s">
        <v>18</v>
      </c>
      <c r="B2977" s="4" t="s">
        <v>19</v>
      </c>
      <c r="C2977" s="4" t="n">
        <v>19</v>
      </c>
      <c r="D2977" s="5" t="n">
        <v>32.5</v>
      </c>
      <c r="E2977" s="6" t="n">
        <f aca="false">DATE(2024,11,7)</f>
        <v>45603</v>
      </c>
      <c r="F2977" s="7" t="n">
        <f aca="false">C2977*D2977</f>
        <v>617.5</v>
      </c>
      <c r="G2977" s="7" t="n">
        <f aca="false">ROUND(F2977*0.2,2)</f>
        <v>123.5</v>
      </c>
      <c r="H2977" s="4" t="str">
        <f aca="false">IF(F2977&gt;500,"Yüksek",IF(F2977&gt;100,"Orta","Düşük"))</f>
        <v>Yüksek</v>
      </c>
    </row>
    <row r="2978" customFormat="false" ht="12.8" hidden="false" customHeight="false" outlineLevel="0" collapsed="false">
      <c r="A2978" s="4" t="s">
        <v>20</v>
      </c>
      <c r="B2978" s="4" t="s">
        <v>11</v>
      </c>
      <c r="C2978" s="4" t="n">
        <v>26</v>
      </c>
      <c r="D2978" s="5" t="n">
        <v>35.25</v>
      </c>
      <c r="E2978" s="6" t="n">
        <f aca="false">DATE(2024,12,8)</f>
        <v>45634</v>
      </c>
      <c r="F2978" s="7" t="n">
        <f aca="false">C2978*D2978</f>
        <v>916.5</v>
      </c>
      <c r="G2978" s="7" t="n">
        <f aca="false">ROUND(F2978*0.2,2)</f>
        <v>183.3</v>
      </c>
      <c r="H2978" s="4" t="str">
        <f aca="false">IF(F2978&gt;500,"Yüksek",IF(F2978&gt;100,"Orta","Düşük"))</f>
        <v>Yüksek</v>
      </c>
    </row>
    <row r="2979" customFormat="false" ht="12.8" hidden="false" customHeight="false" outlineLevel="0" collapsed="false">
      <c r="A2979" s="4" t="s">
        <v>21</v>
      </c>
      <c r="B2979" s="4" t="s">
        <v>13</v>
      </c>
      <c r="C2979" s="4" t="n">
        <v>33</v>
      </c>
      <c r="D2979" s="5" t="n">
        <v>38</v>
      </c>
      <c r="E2979" s="6" t="n">
        <f aca="false">DATE(2024,1,9)</f>
        <v>45300</v>
      </c>
      <c r="F2979" s="7" t="n">
        <f aca="false">C2979*D2979</f>
        <v>1254</v>
      </c>
      <c r="G2979" s="7" t="n">
        <f aca="false">ROUND(F2979*0.2,2)</f>
        <v>250.8</v>
      </c>
      <c r="H2979" s="4" t="str">
        <f aca="false">IF(F2979&gt;500,"Yüksek",IF(F2979&gt;100,"Orta","Düşük"))</f>
        <v>Yüksek</v>
      </c>
    </row>
    <row r="2980" customFormat="false" ht="12.8" hidden="false" customHeight="false" outlineLevel="0" collapsed="false">
      <c r="A2980" s="4" t="s">
        <v>22</v>
      </c>
      <c r="B2980" s="4" t="s">
        <v>15</v>
      </c>
      <c r="C2980" s="4" t="n">
        <v>40</v>
      </c>
      <c r="D2980" s="5" t="n">
        <v>5</v>
      </c>
      <c r="E2980" s="6" t="n">
        <f aca="false">DATE(2024,2,10)</f>
        <v>45332</v>
      </c>
      <c r="F2980" s="7" t="n">
        <f aca="false">C2980*D2980</f>
        <v>200</v>
      </c>
      <c r="G2980" s="7" t="n">
        <f aca="false">ROUND(F2980*0.2,2)</f>
        <v>40</v>
      </c>
      <c r="H2980" s="4" t="str">
        <f aca="false">IF(F2980&gt;500,"Yüksek",IF(F2980&gt;100,"Orta","Düşük"))</f>
        <v>Orta</v>
      </c>
    </row>
    <row r="2981" customFormat="false" ht="12.8" hidden="false" customHeight="false" outlineLevel="0" collapsed="false">
      <c r="A2981" s="4" t="s">
        <v>23</v>
      </c>
      <c r="B2981" s="4" t="s">
        <v>17</v>
      </c>
      <c r="C2981" s="4" t="n">
        <v>47</v>
      </c>
      <c r="D2981" s="5" t="n">
        <v>7.75</v>
      </c>
      <c r="E2981" s="6" t="n">
        <f aca="false">DATE(2024,3,11)</f>
        <v>45362</v>
      </c>
      <c r="F2981" s="7" t="n">
        <f aca="false">C2981*D2981</f>
        <v>364.25</v>
      </c>
      <c r="G2981" s="7" t="n">
        <f aca="false">ROUND(F2981*0.2,2)</f>
        <v>72.85</v>
      </c>
      <c r="H2981" s="4" t="str">
        <f aca="false">IF(F2981&gt;500,"Yüksek",IF(F2981&gt;100,"Orta","Düşük"))</f>
        <v>Orta</v>
      </c>
    </row>
    <row r="2982" customFormat="false" ht="12.8" hidden="false" customHeight="false" outlineLevel="0" collapsed="false">
      <c r="A2982" s="4" t="s">
        <v>24</v>
      </c>
      <c r="B2982" s="4" t="s">
        <v>19</v>
      </c>
      <c r="C2982" s="4" t="n">
        <v>4</v>
      </c>
      <c r="D2982" s="5" t="n">
        <v>10.5</v>
      </c>
      <c r="E2982" s="6" t="n">
        <f aca="false">DATE(2024,4,12)</f>
        <v>45394</v>
      </c>
      <c r="F2982" s="7" t="n">
        <f aca="false">C2982*D2982</f>
        <v>42</v>
      </c>
      <c r="G2982" s="7" t="n">
        <f aca="false">ROUND(F2982*0.2,2)</f>
        <v>8.4</v>
      </c>
      <c r="H2982" s="4" t="str">
        <f aca="false">IF(F2982&gt;500,"Yüksek",IF(F2982&gt;100,"Orta","Düşük"))</f>
        <v>Düşük</v>
      </c>
    </row>
    <row r="2983" customFormat="false" ht="12.8" hidden="false" customHeight="false" outlineLevel="0" collapsed="false">
      <c r="A2983" s="4" t="s">
        <v>10</v>
      </c>
      <c r="B2983" s="4" t="s">
        <v>11</v>
      </c>
      <c r="C2983" s="4" t="n">
        <v>11</v>
      </c>
      <c r="D2983" s="5" t="n">
        <v>13.25</v>
      </c>
      <c r="E2983" s="6" t="n">
        <f aca="false">DATE(2024,5,13)</f>
        <v>45425</v>
      </c>
      <c r="F2983" s="7" t="n">
        <f aca="false">C2983*D2983</f>
        <v>145.75</v>
      </c>
      <c r="G2983" s="7" t="n">
        <f aca="false">ROUND(F2983*0.2,2)</f>
        <v>29.15</v>
      </c>
      <c r="H2983" s="4" t="str">
        <f aca="false">IF(F2983&gt;500,"Yüksek",IF(F2983&gt;100,"Orta","Düşük"))</f>
        <v>Orta</v>
      </c>
    </row>
    <row r="2984" customFormat="false" ht="12.8" hidden="false" customHeight="false" outlineLevel="0" collapsed="false">
      <c r="A2984" s="4" t="s">
        <v>12</v>
      </c>
      <c r="B2984" s="4" t="s">
        <v>13</v>
      </c>
      <c r="C2984" s="4" t="n">
        <v>18</v>
      </c>
      <c r="D2984" s="5" t="n">
        <v>16</v>
      </c>
      <c r="E2984" s="6" t="n">
        <f aca="false">DATE(2024,6,14)</f>
        <v>45457</v>
      </c>
      <c r="F2984" s="7" t="n">
        <f aca="false">C2984*D2984</f>
        <v>288</v>
      </c>
      <c r="G2984" s="7" t="n">
        <f aca="false">ROUND(F2984*0.2,2)</f>
        <v>57.6</v>
      </c>
      <c r="H2984" s="4" t="str">
        <f aca="false">IF(F2984&gt;500,"Yüksek",IF(F2984&gt;100,"Orta","Düşük"))</f>
        <v>Orta</v>
      </c>
    </row>
    <row r="2985" customFormat="false" ht="12.8" hidden="false" customHeight="false" outlineLevel="0" collapsed="false">
      <c r="A2985" s="4" t="s">
        <v>14</v>
      </c>
      <c r="B2985" s="4" t="s">
        <v>15</v>
      </c>
      <c r="C2985" s="4" t="n">
        <v>25</v>
      </c>
      <c r="D2985" s="5" t="n">
        <v>18.75</v>
      </c>
      <c r="E2985" s="6" t="n">
        <f aca="false">DATE(2024,7,15)</f>
        <v>45488</v>
      </c>
      <c r="F2985" s="7" t="n">
        <f aca="false">C2985*D2985</f>
        <v>468.75</v>
      </c>
      <c r="G2985" s="7" t="n">
        <f aca="false">ROUND(F2985*0.2,2)</f>
        <v>93.75</v>
      </c>
      <c r="H2985" s="4" t="str">
        <f aca="false">IF(F2985&gt;500,"Yüksek",IF(F2985&gt;100,"Orta","Düşük"))</f>
        <v>Orta</v>
      </c>
    </row>
    <row r="2986" customFormat="false" ht="12.8" hidden="false" customHeight="false" outlineLevel="0" collapsed="false">
      <c r="A2986" s="4" t="s">
        <v>16</v>
      </c>
      <c r="B2986" s="4" t="s">
        <v>17</v>
      </c>
      <c r="C2986" s="4" t="n">
        <v>32</v>
      </c>
      <c r="D2986" s="5" t="n">
        <v>21.5</v>
      </c>
      <c r="E2986" s="6" t="n">
        <f aca="false">DATE(2024,8,16)</f>
        <v>45520</v>
      </c>
      <c r="F2986" s="7" t="n">
        <f aca="false">C2986*D2986</f>
        <v>688</v>
      </c>
      <c r="G2986" s="7" t="n">
        <f aca="false">ROUND(F2986*0.2,2)</f>
        <v>137.6</v>
      </c>
      <c r="H2986" s="4" t="str">
        <f aca="false">IF(F2986&gt;500,"Yüksek",IF(F2986&gt;100,"Orta","Düşük"))</f>
        <v>Yüksek</v>
      </c>
    </row>
    <row r="2987" customFormat="false" ht="12.8" hidden="false" customHeight="false" outlineLevel="0" collapsed="false">
      <c r="A2987" s="4" t="s">
        <v>18</v>
      </c>
      <c r="B2987" s="4" t="s">
        <v>19</v>
      </c>
      <c r="C2987" s="4" t="n">
        <v>39</v>
      </c>
      <c r="D2987" s="5" t="n">
        <v>24.25</v>
      </c>
      <c r="E2987" s="6" t="n">
        <f aca="false">DATE(2024,9,17)</f>
        <v>45552</v>
      </c>
      <c r="F2987" s="7" t="n">
        <f aca="false">C2987*D2987</f>
        <v>945.75</v>
      </c>
      <c r="G2987" s="7" t="n">
        <f aca="false">ROUND(F2987*0.2,2)</f>
        <v>189.15</v>
      </c>
      <c r="H2987" s="4" t="str">
        <f aca="false">IF(F2987&gt;500,"Yüksek",IF(F2987&gt;100,"Orta","Düşük"))</f>
        <v>Yüksek</v>
      </c>
    </row>
    <row r="2988" customFormat="false" ht="12.8" hidden="false" customHeight="false" outlineLevel="0" collapsed="false">
      <c r="A2988" s="4" t="s">
        <v>20</v>
      </c>
      <c r="B2988" s="4" t="s">
        <v>11</v>
      </c>
      <c r="C2988" s="4" t="n">
        <v>46</v>
      </c>
      <c r="D2988" s="5" t="n">
        <v>27</v>
      </c>
      <c r="E2988" s="6" t="n">
        <f aca="false">DATE(2024,10,18)</f>
        <v>45583</v>
      </c>
      <c r="F2988" s="7" t="n">
        <f aca="false">C2988*D2988</f>
        <v>1242</v>
      </c>
      <c r="G2988" s="7" t="n">
        <f aca="false">ROUND(F2988*0.2,2)</f>
        <v>248.4</v>
      </c>
      <c r="H2988" s="4" t="str">
        <f aca="false">IF(F2988&gt;500,"Yüksek",IF(F2988&gt;100,"Orta","Düşük"))</f>
        <v>Yüksek</v>
      </c>
    </row>
    <row r="2989" customFormat="false" ht="12.8" hidden="false" customHeight="false" outlineLevel="0" collapsed="false">
      <c r="A2989" s="4" t="s">
        <v>21</v>
      </c>
      <c r="B2989" s="4" t="s">
        <v>13</v>
      </c>
      <c r="C2989" s="4" t="n">
        <v>3</v>
      </c>
      <c r="D2989" s="5" t="n">
        <v>29.75</v>
      </c>
      <c r="E2989" s="6" t="n">
        <f aca="false">DATE(2024,11,19)</f>
        <v>45615</v>
      </c>
      <c r="F2989" s="7" t="n">
        <f aca="false">C2989*D2989</f>
        <v>89.25</v>
      </c>
      <c r="G2989" s="7" t="n">
        <f aca="false">ROUND(F2989*0.2,2)</f>
        <v>17.85</v>
      </c>
      <c r="H2989" s="4" t="str">
        <f aca="false">IF(F2989&gt;500,"Yüksek",IF(F2989&gt;100,"Orta","Düşük"))</f>
        <v>Düşük</v>
      </c>
    </row>
    <row r="2990" customFormat="false" ht="12.8" hidden="false" customHeight="false" outlineLevel="0" collapsed="false">
      <c r="A2990" s="4" t="s">
        <v>22</v>
      </c>
      <c r="B2990" s="4" t="s">
        <v>15</v>
      </c>
      <c r="C2990" s="4" t="n">
        <v>10</v>
      </c>
      <c r="D2990" s="5" t="n">
        <v>32.5</v>
      </c>
      <c r="E2990" s="6" t="n">
        <f aca="false">DATE(2024,12,20)</f>
        <v>45646</v>
      </c>
      <c r="F2990" s="7" t="n">
        <f aca="false">C2990*D2990</f>
        <v>325</v>
      </c>
      <c r="G2990" s="7" t="n">
        <f aca="false">ROUND(F2990*0.2,2)</f>
        <v>65</v>
      </c>
      <c r="H2990" s="4" t="str">
        <f aca="false">IF(F2990&gt;500,"Yüksek",IF(F2990&gt;100,"Orta","Düşük"))</f>
        <v>Orta</v>
      </c>
    </row>
    <row r="2991" customFormat="false" ht="12.8" hidden="false" customHeight="false" outlineLevel="0" collapsed="false">
      <c r="A2991" s="4" t="s">
        <v>23</v>
      </c>
      <c r="B2991" s="4" t="s">
        <v>17</v>
      </c>
      <c r="C2991" s="4" t="n">
        <v>17</v>
      </c>
      <c r="D2991" s="5" t="n">
        <v>35.25</v>
      </c>
      <c r="E2991" s="6" t="n">
        <f aca="false">DATE(2024,1,21)</f>
        <v>45312</v>
      </c>
      <c r="F2991" s="7" t="n">
        <f aca="false">C2991*D2991</f>
        <v>599.25</v>
      </c>
      <c r="G2991" s="7" t="n">
        <f aca="false">ROUND(F2991*0.2,2)</f>
        <v>119.85</v>
      </c>
      <c r="H2991" s="4" t="str">
        <f aca="false">IF(F2991&gt;500,"Yüksek",IF(F2991&gt;100,"Orta","Düşük"))</f>
        <v>Yüksek</v>
      </c>
    </row>
    <row r="2992" customFormat="false" ht="12.8" hidden="false" customHeight="false" outlineLevel="0" collapsed="false">
      <c r="A2992" s="4" t="s">
        <v>24</v>
      </c>
      <c r="B2992" s="4" t="s">
        <v>19</v>
      </c>
      <c r="C2992" s="4" t="n">
        <v>24</v>
      </c>
      <c r="D2992" s="5" t="n">
        <v>38</v>
      </c>
      <c r="E2992" s="6" t="n">
        <f aca="false">DATE(2024,2,22)</f>
        <v>45344</v>
      </c>
      <c r="F2992" s="7" t="n">
        <f aca="false">C2992*D2992</f>
        <v>912</v>
      </c>
      <c r="G2992" s="7" t="n">
        <f aca="false">ROUND(F2992*0.2,2)</f>
        <v>182.4</v>
      </c>
      <c r="H2992" s="4" t="str">
        <f aca="false">IF(F2992&gt;500,"Yüksek",IF(F2992&gt;100,"Orta","Düşük"))</f>
        <v>Yüksek</v>
      </c>
    </row>
    <row r="2993" customFormat="false" ht="12.8" hidden="false" customHeight="false" outlineLevel="0" collapsed="false">
      <c r="A2993" s="4" t="s">
        <v>10</v>
      </c>
      <c r="B2993" s="4" t="s">
        <v>11</v>
      </c>
      <c r="C2993" s="4" t="n">
        <v>31</v>
      </c>
      <c r="D2993" s="5" t="n">
        <v>5</v>
      </c>
      <c r="E2993" s="6" t="n">
        <f aca="false">DATE(2024,3,23)</f>
        <v>45374</v>
      </c>
      <c r="F2993" s="7" t="n">
        <f aca="false">C2993*D2993</f>
        <v>155</v>
      </c>
      <c r="G2993" s="7" t="n">
        <f aca="false">ROUND(F2993*0.2,2)</f>
        <v>31</v>
      </c>
      <c r="H2993" s="4" t="str">
        <f aca="false">IF(F2993&gt;500,"Yüksek",IF(F2993&gt;100,"Orta","Düşük"))</f>
        <v>Orta</v>
      </c>
    </row>
    <row r="2994" customFormat="false" ht="12.8" hidden="false" customHeight="false" outlineLevel="0" collapsed="false">
      <c r="A2994" s="4" t="s">
        <v>12</v>
      </c>
      <c r="B2994" s="4" t="s">
        <v>13</v>
      </c>
      <c r="C2994" s="4" t="n">
        <v>38</v>
      </c>
      <c r="D2994" s="5" t="n">
        <v>7.75</v>
      </c>
      <c r="E2994" s="6" t="n">
        <f aca="false">DATE(2024,4,24)</f>
        <v>45406</v>
      </c>
      <c r="F2994" s="7" t="n">
        <f aca="false">C2994*D2994</f>
        <v>294.5</v>
      </c>
      <c r="G2994" s="7" t="n">
        <f aca="false">ROUND(F2994*0.2,2)</f>
        <v>58.9</v>
      </c>
      <c r="H2994" s="4" t="str">
        <f aca="false">IF(F2994&gt;500,"Yüksek",IF(F2994&gt;100,"Orta","Düşük"))</f>
        <v>Orta</v>
      </c>
    </row>
    <row r="2995" customFormat="false" ht="12.8" hidden="false" customHeight="false" outlineLevel="0" collapsed="false">
      <c r="A2995" s="4" t="s">
        <v>14</v>
      </c>
      <c r="B2995" s="4" t="s">
        <v>15</v>
      </c>
      <c r="C2995" s="4" t="n">
        <v>45</v>
      </c>
      <c r="D2995" s="5" t="n">
        <v>10.5</v>
      </c>
      <c r="E2995" s="6" t="n">
        <f aca="false">DATE(2024,5,25)</f>
        <v>45437</v>
      </c>
      <c r="F2995" s="7" t="n">
        <f aca="false">C2995*D2995</f>
        <v>472.5</v>
      </c>
      <c r="G2995" s="7" t="n">
        <f aca="false">ROUND(F2995*0.2,2)</f>
        <v>94.5</v>
      </c>
      <c r="H2995" s="4" t="str">
        <f aca="false">IF(F2995&gt;500,"Yüksek",IF(F2995&gt;100,"Orta","Düşük"))</f>
        <v>Orta</v>
      </c>
    </row>
    <row r="2996" customFormat="false" ht="12.8" hidden="false" customHeight="false" outlineLevel="0" collapsed="false">
      <c r="A2996" s="4" t="s">
        <v>16</v>
      </c>
      <c r="B2996" s="4" t="s">
        <v>17</v>
      </c>
      <c r="C2996" s="4" t="n">
        <v>2</v>
      </c>
      <c r="D2996" s="5" t="n">
        <v>13.25</v>
      </c>
      <c r="E2996" s="6" t="n">
        <f aca="false">DATE(2024,6,26)</f>
        <v>45469</v>
      </c>
      <c r="F2996" s="7" t="n">
        <f aca="false">C2996*D2996</f>
        <v>26.5</v>
      </c>
      <c r="G2996" s="7" t="n">
        <f aca="false">ROUND(F2996*0.2,2)</f>
        <v>5.3</v>
      </c>
      <c r="H2996" s="4" t="str">
        <f aca="false">IF(F2996&gt;500,"Yüksek",IF(F2996&gt;100,"Orta","Düşük"))</f>
        <v>Düşük</v>
      </c>
    </row>
    <row r="2997" customFormat="false" ht="12.8" hidden="false" customHeight="false" outlineLevel="0" collapsed="false">
      <c r="A2997" s="4" t="s">
        <v>18</v>
      </c>
      <c r="B2997" s="4" t="s">
        <v>19</v>
      </c>
      <c r="C2997" s="4" t="n">
        <v>9</v>
      </c>
      <c r="D2997" s="5" t="n">
        <v>16</v>
      </c>
      <c r="E2997" s="6" t="n">
        <f aca="false">DATE(2024,7,27)</f>
        <v>45500</v>
      </c>
      <c r="F2997" s="7" t="n">
        <f aca="false">C2997*D2997</f>
        <v>144</v>
      </c>
      <c r="G2997" s="7" t="n">
        <f aca="false">ROUND(F2997*0.2,2)</f>
        <v>28.8</v>
      </c>
      <c r="H2997" s="4" t="str">
        <f aca="false">IF(F2997&gt;500,"Yüksek",IF(F2997&gt;100,"Orta","Düşük"))</f>
        <v>Orta</v>
      </c>
    </row>
    <row r="2998" customFormat="false" ht="12.8" hidden="false" customHeight="false" outlineLevel="0" collapsed="false">
      <c r="A2998" s="4" t="s">
        <v>20</v>
      </c>
      <c r="B2998" s="4" t="s">
        <v>11</v>
      </c>
      <c r="C2998" s="4" t="n">
        <v>16</v>
      </c>
      <c r="D2998" s="5" t="n">
        <v>18.75</v>
      </c>
      <c r="E2998" s="6" t="n">
        <f aca="false">DATE(2024,8,28)</f>
        <v>45532</v>
      </c>
      <c r="F2998" s="7" t="n">
        <f aca="false">C2998*D2998</f>
        <v>300</v>
      </c>
      <c r="G2998" s="7" t="n">
        <f aca="false">ROUND(F2998*0.2,2)</f>
        <v>60</v>
      </c>
      <c r="H2998" s="4" t="str">
        <f aca="false">IF(F2998&gt;500,"Yüksek",IF(F2998&gt;100,"Orta","Düşük"))</f>
        <v>Orta</v>
      </c>
    </row>
    <row r="2999" customFormat="false" ht="12.8" hidden="false" customHeight="false" outlineLevel="0" collapsed="false">
      <c r="A2999" s="4" t="s">
        <v>21</v>
      </c>
      <c r="B2999" s="4" t="s">
        <v>13</v>
      </c>
      <c r="C2999" s="4" t="n">
        <v>23</v>
      </c>
      <c r="D2999" s="5" t="n">
        <v>21.5</v>
      </c>
      <c r="E2999" s="6" t="n">
        <f aca="false">DATE(2024,9,1)</f>
        <v>45536</v>
      </c>
      <c r="F2999" s="7" t="n">
        <f aca="false">C2999*D2999</f>
        <v>494.5</v>
      </c>
      <c r="G2999" s="7" t="n">
        <f aca="false">ROUND(F2999*0.2,2)</f>
        <v>98.9</v>
      </c>
      <c r="H2999" s="4" t="str">
        <f aca="false">IF(F2999&gt;500,"Yüksek",IF(F2999&gt;100,"Orta","Düşük"))</f>
        <v>Orta</v>
      </c>
    </row>
    <row r="3000" customFormat="false" ht="12.8" hidden="false" customHeight="false" outlineLevel="0" collapsed="false">
      <c r="A3000" s="4" t="s">
        <v>22</v>
      </c>
      <c r="B3000" s="4" t="s">
        <v>15</v>
      </c>
      <c r="C3000" s="4" t="n">
        <v>30</v>
      </c>
      <c r="D3000" s="5" t="n">
        <v>24.25</v>
      </c>
      <c r="E3000" s="6" t="n">
        <f aca="false">DATE(2024,10,2)</f>
        <v>45567</v>
      </c>
      <c r="F3000" s="7" t="n">
        <f aca="false">C3000*D3000</f>
        <v>727.5</v>
      </c>
      <c r="G3000" s="7" t="n">
        <f aca="false">ROUND(F3000*0.2,2)</f>
        <v>145.5</v>
      </c>
      <c r="H3000" s="4" t="str">
        <f aca="false">IF(F3000&gt;500,"Yüksek",IF(F3000&gt;100,"Orta","Düşük"))</f>
        <v>Yüksek</v>
      </c>
    </row>
    <row r="3001" customFormat="false" ht="12.8" hidden="false" customHeight="false" outlineLevel="0" collapsed="false">
      <c r="A3001" s="4" t="s">
        <v>23</v>
      </c>
      <c r="B3001" s="4" t="s">
        <v>17</v>
      </c>
      <c r="C3001" s="4" t="n">
        <v>37</v>
      </c>
      <c r="D3001" s="5" t="n">
        <v>27</v>
      </c>
      <c r="E3001" s="6" t="n">
        <f aca="false">DATE(2024,11,3)</f>
        <v>45599</v>
      </c>
      <c r="F3001" s="7" t="n">
        <f aca="false">C3001*D3001</f>
        <v>999</v>
      </c>
      <c r="G3001" s="7" t="n">
        <f aca="false">ROUND(F3001*0.2,2)</f>
        <v>199.8</v>
      </c>
      <c r="H3001" s="4" t="str">
        <f aca="false">IF(F3001&gt;500,"Yüksek",IF(F3001&gt;100,"Orta","Düşük"))</f>
        <v>Yüksek</v>
      </c>
    </row>
    <row r="3002" customFormat="false" ht="12.8" hidden="false" customHeight="false" outlineLevel="0" collapsed="false">
      <c r="A3002" s="4" t="s">
        <v>24</v>
      </c>
      <c r="B3002" s="4" t="s">
        <v>19</v>
      </c>
      <c r="C3002" s="4" t="n">
        <v>44</v>
      </c>
      <c r="D3002" s="5" t="n">
        <v>29.75</v>
      </c>
      <c r="E3002" s="6" t="n">
        <f aca="false">DATE(2024,12,4)</f>
        <v>45630</v>
      </c>
      <c r="F3002" s="7" t="n">
        <f aca="false">C3002*D3002</f>
        <v>1309</v>
      </c>
      <c r="G3002" s="7" t="n">
        <f aca="false">ROUND(F3002*0.2,2)</f>
        <v>261.8</v>
      </c>
      <c r="H3002" s="4" t="str">
        <f aca="false">IF(F3002&gt;500,"Yüksek",IF(F3002&gt;100,"Orta","Düşük"))</f>
        <v>Yüksek</v>
      </c>
    </row>
    <row r="3003" customFormat="false" ht="12.8" hidden="false" customHeight="false" outlineLevel="0" collapsed="false">
      <c r="A3003" s="8" t="s">
        <v>25</v>
      </c>
      <c r="B3003" s="8"/>
      <c r="C3003" s="8" t="n">
        <f aca="false">SUM(C3:C3002)</f>
        <v>76500</v>
      </c>
      <c r="D3003" s="8"/>
      <c r="E3003" s="8"/>
      <c r="F3003" s="9" t="n">
        <f aca="false">SUM(F3:F3002)</f>
        <v>1643677.5</v>
      </c>
      <c r="G3003" s="9" t="n">
        <f aca="false">SUBTOTAL(9,G3:G3002)</f>
        <v>328735.5</v>
      </c>
      <c r="H3003" s="8"/>
    </row>
    <row r="3004" customFormat="false" ht="12.8" hidden="false" customHeight="false" outlineLevel="0" collapsed="false">
      <c r="A3004" s="0" t="s">
        <v>26</v>
      </c>
      <c r="F3004" s="10" t="n">
        <f aca="false">AVERAGE(F3:F3002)</f>
        <v>547.8925</v>
      </c>
      <c r="G3004" s="10"/>
    </row>
    <row r="3005" customFormat="false" ht="12.8" hidden="false" customHeight="false" outlineLevel="0" collapsed="false">
      <c r="A3005" s="0" t="s">
        <v>27</v>
      </c>
      <c r="F3005" s="10" t="n">
        <f aca="false">SUMIF(A3:A3002,"Çay",C3:C3002)</f>
        <v>6300</v>
      </c>
      <c r="G3005" s="10"/>
    </row>
    <row r="3006" customFormat="false" ht="12.8" hidden="false" customHeight="false" outlineLevel="0" collapsed="false">
      <c r="A3006" s="0" t="s">
        <v>28</v>
      </c>
      <c r="F3006" s="10" t="n">
        <f aca="false">COUNTIF(H3:H3002,"Yüksek")</f>
        <v>1336</v>
      </c>
      <c r="G3006" s="10"/>
    </row>
    <row r="3007" customFormat="false" ht="12.8" hidden="false" customHeight="false" outlineLevel="0" collapsed="false">
      <c r="A3007" s="0" t="s">
        <v>29</v>
      </c>
      <c r="F3007" s="0" t="n">
        <f aca="false">MAX(F3:F3002)</f>
        <v>1900</v>
      </c>
    </row>
  </sheetData>
  <mergeCells count="1">
    <mergeCell ref="A1:H1"/>
  </mergeCells>
  <conditionalFormatting sqref="F3:F3002">
    <cfRule type="cellIs" priority="2" operator="greaterThan" aboveAverage="0" equalAverage="0" bottom="0" percent="0" rank="0" text="" dxfId="4">
      <formula>500</formula>
    </cfRule>
  </conditionalFormatting>
  <dataValidations count="1">
    <dataValidation allowBlank="true" errorStyle="stop" operator="equal" showDropDown="false" showErrorMessage="false" showInputMessage="false" sqref="I3:I30" type="list">
      <formula1>"Evet,Hayır"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30</v>
      </c>
      <c r="B1" s="10" t="n">
        <f aca="false">Satışlar!F3003</f>
        <v>1643677.5</v>
      </c>
    </row>
    <row r="2" customFormat="false" ht="12.8" hidden="false" customHeight="false" outlineLevel="0" collapsed="false">
      <c r="A2" s="0" t="s">
        <v>31</v>
      </c>
      <c r="B2" s="11" t="n">
        <f aca="false">B1*1.2</f>
        <v>1972413</v>
      </c>
    </row>
    <row r="3" customFormat="false" ht="12.8" hidden="false" customHeight="false" outlineLevel="0" collapsed="false">
      <c r="A3" s="0" t="s">
        <v>32</v>
      </c>
      <c r="B3" s="11" t="n">
        <f aca="false">VLOOKUP("Kahve",Satışlar!A3:F3002,6,0)</f>
        <v>291.5</v>
      </c>
    </row>
    <row r="4" customFormat="false" ht="12.8" hidden="false" customHeight="false" outlineLevel="0" collapsed="false">
      <c r="A4" s="0" t="s">
        <v>33</v>
      </c>
      <c r="B4" s="11" t="str">
        <f aca="false">INDEX(Satışlar!B3:B3002,MATCH("Süt",Satışlar!A3:A3002,0))</f>
        <v>Çanakkale</v>
      </c>
    </row>
    <row r="5" customFormat="false" ht="12.8" hidden="false" customHeight="false" outlineLevel="0" collapsed="false">
      <c r="A5" s="0" t="s">
        <v>34</v>
      </c>
      <c r="B5" s="11" t="str">
        <f aca="false">CONCATENATE("Toplam: ",TEXT(B1,"0.00"))</f>
        <v>Toplam: 1643677.50</v>
      </c>
    </row>
    <row r="6" customFormat="false" ht="12.8" hidden="false" customHeight="false" outlineLevel="0" collapsed="false">
      <c r="A6" s="0" t="s">
        <v>35</v>
      </c>
      <c r="B6" s="11" t="str">
        <f aca="false">UPPER("istanbul")</f>
        <v>ISTANBUL</v>
      </c>
    </row>
    <row r="7" customFormat="false" ht="12.8" hidden="false" customHeight="false" outlineLevel="0" collapsed="false">
      <c r="A7" s="0" t="s">
        <v>36</v>
      </c>
      <c r="B7" s="11" t="n">
        <f aca="false">DATE(2024,12,31)-DATE(2024,1,1)</f>
        <v>365</v>
      </c>
    </row>
    <row r="8" customFormat="false" ht="12.8" hidden="false" customHeight="false" outlineLevel="0" collapsed="false">
      <c r="A8" s="0" t="s">
        <v>37</v>
      </c>
      <c r="B8" s="11" t="n">
        <f aca="false">SUMPRODUCT(Satışlar!C3:C22,Satışlar!D3:D22)</f>
        <v>9779.25</v>
      </c>
    </row>
    <row r="9" customFormat="false" ht="12.8" hidden="false" customHeight="false" outlineLevel="0" collapsed="false">
      <c r="A9" s="0" t="s">
        <v>38</v>
      </c>
      <c r="B9" s="11" t="n">
        <f aca="false">IFERROR(1/0,-1)</f>
        <v>-1</v>
      </c>
    </row>
    <row r="10" customFormat="false" ht="12.8" hidden="false" customHeight="false" outlineLevel="0" collapsed="false">
      <c r="A10" s="0" t="s">
        <v>39</v>
      </c>
      <c r="B10" s="11" t="n">
        <f aca="false">AVERAGE(Fiyatlar)</f>
        <v>21.48625</v>
      </c>
    </row>
    <row r="11" customFormat="false" ht="12.8" hidden="false" customHeight="false" outlineLevel="0" collapsed="false">
      <c r="A11" s="0" t="s">
        <v>40</v>
      </c>
      <c r="B11" s="11" t="n">
        <f aca="false">ROUNDUP(PI()*1000,2)</f>
        <v>3141.6</v>
      </c>
    </row>
    <row r="12" customFormat="false" ht="12.8" hidden="false" customHeight="false" outlineLevel="0" collapsed="false">
      <c r="A12" s="0" t="s">
        <v>41</v>
      </c>
      <c r="B12" s="12" t="b">
        <f aca="false">AND(B1&gt;0,OR(B2&lt;0,TRUE()))</f>
        <v>1</v>
      </c>
    </row>
    <row r="13" customFormat="false" ht="12.8" hidden="false" customHeight="false" outlineLevel="0" collapsed="false">
      <c r="A13" s="0" t="s">
        <v>42</v>
      </c>
      <c r="B13" s="11" t="n">
        <f aca="false">MONTH(DATE(2024,7,4))</f>
        <v>7</v>
      </c>
    </row>
    <row r="14" customFormat="false" ht="12.8" hidden="false" customHeight="false" outlineLevel="0" collapsed="false">
      <c r="A14" s="0" t="s">
        <v>43</v>
      </c>
      <c r="B14" s="11" t="e">
        <f aca="false">1/0</f>
        <v>#DIV/0!</v>
      </c>
    </row>
    <row r="15" customFormat="false" ht="12.8" hidden="false" customHeight="false" outlineLevel="0" collapsed="false">
      <c r="A15" s="0" t="s">
        <v>44</v>
      </c>
      <c r="B15" s="11" t="e">
        <f aca="false">VLOOKUP("Yok",Satışlar!A3:F10,2,0)</f>
        <v>#N/A</v>
      </c>
    </row>
    <row r="16" customFormat="false" ht="12.8" hidden="false" customHeight="false" outlineLevel="0" collapsed="false">
      <c r="A16" s="0" t="s">
        <v>45</v>
      </c>
      <c r="B16" s="11" t="n">
        <f aca="false">STDEV(Satışlar!F3:F3002)</f>
        <v>432.105987110551</v>
      </c>
    </row>
    <row r="17" customFormat="false" ht="12.8" hidden="false" customHeight="false" outlineLevel="0" collapsed="false">
      <c r="A17" s="0" t="s">
        <v>46</v>
      </c>
      <c r="B17" s="11" t="n">
        <f aca="false">MEDIAN(Satışlar!C3:C3002)</f>
        <v>25.5</v>
      </c>
    </row>
    <row r="18" customFormat="false" ht="12.8" hidden="false" customHeight="false" outlineLevel="0" collapsed="false">
      <c r="A18" s="0" t="s">
        <v>47</v>
      </c>
      <c r="B18" s="12" t="b">
        <f aca="false">TRUE()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f aca="false">A200</f>
        <v>631.601785182995</v>
      </c>
    </row>
    <row r="2" customFormat="false" ht="12.8" hidden="false" customHeight="false" outlineLevel="0" collapsed="false">
      <c r="A2" s="0" t="n">
        <f aca="false">A1*1.01+1</f>
        <v>2.01</v>
      </c>
      <c r="C2" s="13" t="s">
        <v>48</v>
      </c>
      <c r="D2" s="13"/>
      <c r="E2" s="13"/>
    </row>
    <row r="3" customFormat="false" ht="12.8" hidden="false" customHeight="false" outlineLevel="0" collapsed="false">
      <c r="A3" s="0" t="n">
        <f aca="false">A2*1.01+1</f>
        <v>3.0301</v>
      </c>
      <c r="C3" s="13"/>
      <c r="D3" s="13"/>
      <c r="E3" s="13"/>
    </row>
    <row r="4" customFormat="false" ht="12.8" hidden="false" customHeight="false" outlineLevel="0" collapsed="false">
      <c r="A4" s="0" t="n">
        <f aca="false">A3*1.01+1</f>
        <v>4.060401</v>
      </c>
      <c r="C4" s="13"/>
      <c r="D4" s="13"/>
      <c r="E4" s="13"/>
    </row>
    <row r="5" customFormat="false" ht="12.8" hidden="false" customHeight="false" outlineLevel="0" collapsed="false">
      <c r="A5" s="0" t="n">
        <f aca="false">A4*1.01+1</f>
        <v>5.10100501</v>
      </c>
    </row>
    <row r="6" customFormat="false" ht="12.8" hidden="false" customHeight="false" outlineLevel="0" collapsed="false">
      <c r="A6" s="0" t="n">
        <f aca="false">A5*1.01+1</f>
        <v>6.1520150601</v>
      </c>
      <c r="C6" s="13" t="s">
        <v>49</v>
      </c>
    </row>
    <row r="7" customFormat="false" ht="12.8" hidden="false" customHeight="false" outlineLevel="0" collapsed="false">
      <c r="A7" s="0" t="n">
        <f aca="false">A6*1.01+1</f>
        <v>7.213535210701</v>
      </c>
      <c r="C7" s="13"/>
    </row>
    <row r="8" customFormat="false" ht="12.8" hidden="false" customHeight="false" outlineLevel="0" collapsed="false">
      <c r="A8" s="0" t="n">
        <f aca="false">A7*1.01+1</f>
        <v>8.28567056280801</v>
      </c>
      <c r="C8" s="13"/>
    </row>
    <row r="9" customFormat="false" ht="12.8" hidden="false" customHeight="false" outlineLevel="0" collapsed="false">
      <c r="A9" s="0" t="n">
        <f aca="false">A8*1.01+1</f>
        <v>9.36852726843609</v>
      </c>
      <c r="C9" s="13"/>
    </row>
    <row r="10" customFormat="false" ht="12.8" hidden="false" customHeight="false" outlineLevel="0" collapsed="false">
      <c r="A10" s="0" t="n">
        <f aca="false">A9*1.01+1</f>
        <v>10.4622125411205</v>
      </c>
    </row>
    <row r="11" customFormat="false" ht="12.8" hidden="false" customHeight="false" outlineLevel="0" collapsed="false">
      <c r="A11" s="0" t="n">
        <f aca="false">A10*1.01+1</f>
        <v>11.5668346665317</v>
      </c>
    </row>
    <row r="12" customFormat="false" ht="12.8" hidden="false" customHeight="false" outlineLevel="0" collapsed="false">
      <c r="A12" s="0" t="n">
        <f aca="false">A11*1.01+1</f>
        <v>12.682503013197</v>
      </c>
    </row>
    <row r="13" customFormat="false" ht="12.8" hidden="false" customHeight="false" outlineLevel="0" collapsed="false">
      <c r="A13" s="0" t="n">
        <f aca="false">A12*1.01+1</f>
        <v>13.8093280433289</v>
      </c>
    </row>
    <row r="14" customFormat="false" ht="12.8" hidden="false" customHeight="false" outlineLevel="0" collapsed="false">
      <c r="A14" s="0" t="n">
        <f aca="false">A13*1.01+1</f>
        <v>14.9474213237622</v>
      </c>
    </row>
    <row r="15" customFormat="false" ht="12.8" hidden="false" customHeight="false" outlineLevel="0" collapsed="false">
      <c r="A15" s="0" t="n">
        <f aca="false">A14*1.01+1</f>
        <v>16.0968955369999</v>
      </c>
    </row>
    <row r="16" customFormat="false" ht="12.8" hidden="false" customHeight="false" outlineLevel="0" collapsed="false">
      <c r="A16" s="0" t="n">
        <f aca="false">A15*1.01+1</f>
        <v>17.2578644923699</v>
      </c>
    </row>
    <row r="17" customFormat="false" ht="12.8" hidden="false" customHeight="false" outlineLevel="0" collapsed="false">
      <c r="A17" s="0" t="n">
        <f aca="false">A16*1.01+1</f>
        <v>18.4304431372936</v>
      </c>
    </row>
    <row r="18" customFormat="false" ht="12.8" hidden="false" customHeight="false" outlineLevel="0" collapsed="false">
      <c r="A18" s="0" t="n">
        <f aca="false">A17*1.01+1</f>
        <v>19.6147475686665</v>
      </c>
    </row>
    <row r="19" customFormat="false" ht="12.8" hidden="false" customHeight="false" outlineLevel="0" collapsed="false">
      <c r="A19" s="0" t="n">
        <f aca="false">A18*1.01+1</f>
        <v>20.8108950443532</v>
      </c>
    </row>
    <row r="20" customFormat="false" ht="12.8" hidden="false" customHeight="false" outlineLevel="0" collapsed="false">
      <c r="A20" s="0" t="n">
        <f aca="false">A19*1.01+1</f>
        <v>22.0190039947967</v>
      </c>
    </row>
    <row r="21" customFormat="false" ht="12.8" hidden="false" customHeight="false" outlineLevel="0" collapsed="false">
      <c r="A21" s="0" t="n">
        <f aca="false">A20*1.01+1</f>
        <v>23.2391940347447</v>
      </c>
    </row>
    <row r="22" customFormat="false" ht="12.8" hidden="false" customHeight="false" outlineLevel="0" collapsed="false">
      <c r="A22" s="0" t="n">
        <f aca="false">A21*1.01+1</f>
        <v>24.4715859750921</v>
      </c>
    </row>
    <row r="23" customFormat="false" ht="12.8" hidden="false" customHeight="false" outlineLevel="0" collapsed="false">
      <c r="A23" s="0" t="n">
        <f aca="false">A22*1.01+1</f>
        <v>25.716301834843</v>
      </c>
    </row>
    <row r="24" customFormat="false" ht="12.8" hidden="false" customHeight="false" outlineLevel="0" collapsed="false">
      <c r="A24" s="0" t="n">
        <f aca="false">A23*1.01+1</f>
        <v>26.9734648531915</v>
      </c>
    </row>
    <row r="25" customFormat="false" ht="12.8" hidden="false" customHeight="false" outlineLevel="0" collapsed="false">
      <c r="A25" s="0" t="n">
        <f aca="false">A24*1.01+1</f>
        <v>28.2431995017234</v>
      </c>
    </row>
    <row r="26" customFormat="false" ht="12.8" hidden="false" customHeight="false" outlineLevel="0" collapsed="false">
      <c r="A26" s="0" t="n">
        <f aca="false">A25*1.01+1</f>
        <v>29.5256314967406</v>
      </c>
    </row>
    <row r="27" customFormat="false" ht="12.8" hidden="false" customHeight="false" outlineLevel="0" collapsed="false">
      <c r="A27" s="0" t="n">
        <f aca="false">A26*1.01+1</f>
        <v>30.820887811708</v>
      </c>
    </row>
    <row r="28" customFormat="false" ht="12.8" hidden="false" customHeight="false" outlineLevel="0" collapsed="false">
      <c r="A28" s="0" t="n">
        <f aca="false">A27*1.01+1</f>
        <v>32.1290966898251</v>
      </c>
    </row>
    <row r="29" customFormat="false" ht="12.8" hidden="false" customHeight="false" outlineLevel="0" collapsed="false">
      <c r="A29" s="0" t="n">
        <f aca="false">A28*1.01+1</f>
        <v>33.4503876567233</v>
      </c>
    </row>
    <row r="30" customFormat="false" ht="12.8" hidden="false" customHeight="false" outlineLevel="0" collapsed="false">
      <c r="A30" s="0" t="n">
        <f aca="false">A29*1.01+1</f>
        <v>34.7848915332906</v>
      </c>
    </row>
    <row r="31" customFormat="false" ht="12.8" hidden="false" customHeight="false" outlineLevel="0" collapsed="false">
      <c r="A31" s="0" t="n">
        <f aca="false">A30*1.01+1</f>
        <v>36.1327404486235</v>
      </c>
    </row>
    <row r="32" customFormat="false" ht="12.8" hidden="false" customHeight="false" outlineLevel="0" collapsed="false">
      <c r="A32" s="0" t="n">
        <f aca="false">A31*1.01+1</f>
        <v>37.4940678531097</v>
      </c>
    </row>
    <row r="33" customFormat="false" ht="12.8" hidden="false" customHeight="false" outlineLevel="0" collapsed="false">
      <c r="A33" s="0" t="n">
        <f aca="false">A32*1.01+1</f>
        <v>38.8690085316408</v>
      </c>
    </row>
    <row r="34" customFormat="false" ht="12.8" hidden="false" customHeight="false" outlineLevel="0" collapsed="false">
      <c r="A34" s="0" t="n">
        <f aca="false">A33*1.01+1</f>
        <v>40.2576986169572</v>
      </c>
    </row>
    <row r="35" customFormat="false" ht="12.8" hidden="false" customHeight="false" outlineLevel="0" collapsed="false">
      <c r="A35" s="0" t="n">
        <f aca="false">A34*1.01+1</f>
        <v>41.6602756031268</v>
      </c>
    </row>
    <row r="36" customFormat="false" ht="12.8" hidden="false" customHeight="false" outlineLevel="0" collapsed="false">
      <c r="A36" s="0" t="n">
        <f aca="false">A35*1.01+1</f>
        <v>43.0768783591581</v>
      </c>
    </row>
    <row r="37" customFormat="false" ht="12.8" hidden="false" customHeight="false" outlineLevel="0" collapsed="false">
      <c r="A37" s="0" t="n">
        <f aca="false">A36*1.01+1</f>
        <v>44.5076471427496</v>
      </c>
    </row>
    <row r="38" customFormat="false" ht="12.8" hidden="false" customHeight="false" outlineLevel="0" collapsed="false">
      <c r="A38" s="0" t="n">
        <f aca="false">A37*1.01+1</f>
        <v>45.9527236141771</v>
      </c>
    </row>
    <row r="39" customFormat="false" ht="12.8" hidden="false" customHeight="false" outlineLevel="0" collapsed="false">
      <c r="A39" s="0" t="n">
        <f aca="false">A38*1.01+1</f>
        <v>47.4122508503189</v>
      </c>
    </row>
    <row r="40" customFormat="false" ht="12.8" hidden="false" customHeight="false" outlineLevel="0" collapsed="false">
      <c r="A40" s="0" t="n">
        <f aca="false">A39*1.01+1</f>
        <v>48.8863733588221</v>
      </c>
    </row>
    <row r="41" customFormat="false" ht="12.8" hidden="false" customHeight="false" outlineLevel="0" collapsed="false">
      <c r="A41" s="0" t="n">
        <f aca="false">A40*1.01+1</f>
        <v>50.3752370924103</v>
      </c>
    </row>
    <row r="42" customFormat="false" ht="12.8" hidden="false" customHeight="false" outlineLevel="0" collapsed="false">
      <c r="A42" s="0" t="n">
        <f aca="false">A41*1.01+1</f>
        <v>51.8789894633344</v>
      </c>
    </row>
    <row r="43" customFormat="false" ht="12.8" hidden="false" customHeight="false" outlineLevel="0" collapsed="false">
      <c r="A43" s="0" t="n">
        <f aca="false">A42*1.01+1</f>
        <v>53.3977793579678</v>
      </c>
    </row>
    <row r="44" customFormat="false" ht="12.8" hidden="false" customHeight="false" outlineLevel="0" collapsed="false">
      <c r="A44" s="0" t="n">
        <f aca="false">A43*1.01+1</f>
        <v>54.9317571515474</v>
      </c>
    </row>
    <row r="45" customFormat="false" ht="12.8" hidden="false" customHeight="false" outlineLevel="0" collapsed="false">
      <c r="A45" s="0" t="n">
        <f aca="false">A44*1.01+1</f>
        <v>56.4810747230629</v>
      </c>
    </row>
    <row r="46" customFormat="false" ht="12.8" hidden="false" customHeight="false" outlineLevel="0" collapsed="false">
      <c r="A46" s="0" t="n">
        <f aca="false">A45*1.01+1</f>
        <v>58.0458854702936</v>
      </c>
    </row>
    <row r="47" customFormat="false" ht="12.8" hidden="false" customHeight="false" outlineLevel="0" collapsed="false">
      <c r="A47" s="0" t="n">
        <f aca="false">A46*1.01+1</f>
        <v>59.6263443249965</v>
      </c>
    </row>
    <row r="48" customFormat="false" ht="12.8" hidden="false" customHeight="false" outlineLevel="0" collapsed="false">
      <c r="A48" s="0" t="n">
        <f aca="false">A47*1.01+1</f>
        <v>61.2226077682465</v>
      </c>
    </row>
    <row r="49" customFormat="false" ht="12.8" hidden="false" customHeight="false" outlineLevel="0" collapsed="false">
      <c r="A49" s="0" t="n">
        <f aca="false">A48*1.01+1</f>
        <v>62.8348338459289</v>
      </c>
    </row>
    <row r="50" customFormat="false" ht="12.8" hidden="false" customHeight="false" outlineLevel="0" collapsed="false">
      <c r="A50" s="0" t="n">
        <f aca="false">A49*1.01+1</f>
        <v>64.4631821843882</v>
      </c>
    </row>
    <row r="51" customFormat="false" ht="12.8" hidden="false" customHeight="false" outlineLevel="0" collapsed="false">
      <c r="A51" s="0" t="n">
        <f aca="false">A50*1.01+1</f>
        <v>66.1078140062321</v>
      </c>
    </row>
    <row r="52" customFormat="false" ht="12.8" hidden="false" customHeight="false" outlineLevel="0" collapsed="false">
      <c r="A52" s="0" t="n">
        <f aca="false">A51*1.01+1</f>
        <v>67.7688921462944</v>
      </c>
    </row>
    <row r="53" customFormat="false" ht="12.8" hidden="false" customHeight="false" outlineLevel="0" collapsed="false">
      <c r="A53" s="0" t="n">
        <f aca="false">A52*1.01+1</f>
        <v>69.4465810677574</v>
      </c>
    </row>
    <row r="54" customFormat="false" ht="12.8" hidden="false" customHeight="false" outlineLevel="0" collapsed="false">
      <c r="A54" s="0" t="n">
        <f aca="false">A53*1.01+1</f>
        <v>71.1410468784349</v>
      </c>
    </row>
    <row r="55" customFormat="false" ht="12.8" hidden="false" customHeight="false" outlineLevel="0" collapsed="false">
      <c r="A55" s="0" t="n">
        <f aca="false">A54*1.01+1</f>
        <v>72.8524573472193</v>
      </c>
    </row>
    <row r="56" customFormat="false" ht="12.8" hidden="false" customHeight="false" outlineLevel="0" collapsed="false">
      <c r="A56" s="0" t="n">
        <f aca="false">A55*1.01+1</f>
        <v>74.5809819206915</v>
      </c>
    </row>
    <row r="57" customFormat="false" ht="12.8" hidden="false" customHeight="false" outlineLevel="0" collapsed="false">
      <c r="A57" s="0" t="n">
        <f aca="false">A56*1.01+1</f>
        <v>76.3267917398984</v>
      </c>
    </row>
    <row r="58" customFormat="false" ht="12.8" hidden="false" customHeight="false" outlineLevel="0" collapsed="false">
      <c r="A58" s="0" t="n">
        <f aca="false">A57*1.01+1</f>
        <v>78.0900596572974</v>
      </c>
    </row>
    <row r="59" customFormat="false" ht="12.8" hidden="false" customHeight="false" outlineLevel="0" collapsed="false">
      <c r="A59" s="0" t="n">
        <f aca="false">A58*1.01+1</f>
        <v>79.8709602538704</v>
      </c>
    </row>
    <row r="60" customFormat="false" ht="12.8" hidden="false" customHeight="false" outlineLevel="0" collapsed="false">
      <c r="A60" s="0" t="n">
        <f aca="false">A59*1.01+1</f>
        <v>81.6696698564091</v>
      </c>
    </row>
    <row r="61" customFormat="false" ht="12.8" hidden="false" customHeight="false" outlineLevel="0" collapsed="false">
      <c r="A61" s="0" t="n">
        <f aca="false">A60*1.01+1</f>
        <v>83.4863665549732</v>
      </c>
    </row>
    <row r="62" customFormat="false" ht="12.8" hidden="false" customHeight="false" outlineLevel="0" collapsed="false">
      <c r="A62" s="0" t="n">
        <f aca="false">A61*1.01+1</f>
        <v>85.3212302205229</v>
      </c>
    </row>
    <row r="63" customFormat="false" ht="12.8" hidden="false" customHeight="false" outlineLevel="0" collapsed="false">
      <c r="A63" s="0" t="n">
        <f aca="false">A62*1.01+1</f>
        <v>87.1744425227281</v>
      </c>
    </row>
    <row r="64" customFormat="false" ht="12.8" hidden="false" customHeight="false" outlineLevel="0" collapsed="false">
      <c r="A64" s="0" t="n">
        <f aca="false">A63*1.01+1</f>
        <v>89.0461869479554</v>
      </c>
    </row>
    <row r="65" customFormat="false" ht="12.8" hidden="false" customHeight="false" outlineLevel="0" collapsed="false">
      <c r="A65" s="0" t="n">
        <f aca="false">A64*1.01+1</f>
        <v>90.9366488174349</v>
      </c>
    </row>
    <row r="66" customFormat="false" ht="12.8" hidden="false" customHeight="false" outlineLevel="0" collapsed="false">
      <c r="A66" s="0" t="n">
        <f aca="false">A65*1.01+1</f>
        <v>92.8460153056093</v>
      </c>
    </row>
    <row r="67" customFormat="false" ht="12.8" hidden="false" customHeight="false" outlineLevel="0" collapsed="false">
      <c r="A67" s="0" t="n">
        <f aca="false">A66*1.01+1</f>
        <v>94.7744754586654</v>
      </c>
    </row>
    <row r="68" customFormat="false" ht="12.8" hidden="false" customHeight="false" outlineLevel="0" collapsed="false">
      <c r="A68" s="0" t="n">
        <f aca="false">A67*1.01+1</f>
        <v>96.722220213252</v>
      </c>
    </row>
    <row r="69" customFormat="false" ht="12.8" hidden="false" customHeight="false" outlineLevel="0" collapsed="false">
      <c r="A69" s="0" t="n">
        <f aca="false">A68*1.01+1</f>
        <v>98.6894424153846</v>
      </c>
    </row>
    <row r="70" customFormat="false" ht="12.8" hidden="false" customHeight="false" outlineLevel="0" collapsed="false">
      <c r="A70" s="0" t="n">
        <f aca="false">A69*1.01+1</f>
        <v>100.676336839538</v>
      </c>
    </row>
    <row r="71" customFormat="false" ht="12.8" hidden="false" customHeight="false" outlineLevel="0" collapsed="false">
      <c r="A71" s="0" t="n">
        <f aca="false">A70*1.01+1</f>
        <v>102.683100207934</v>
      </c>
    </row>
    <row r="72" customFormat="false" ht="12.8" hidden="false" customHeight="false" outlineLevel="0" collapsed="false">
      <c r="A72" s="0" t="n">
        <f aca="false">A71*1.01+1</f>
        <v>104.709931210013</v>
      </c>
    </row>
    <row r="73" customFormat="false" ht="12.8" hidden="false" customHeight="false" outlineLevel="0" collapsed="false">
      <c r="A73" s="0" t="n">
        <f aca="false">A72*1.01+1</f>
        <v>106.757030522113</v>
      </c>
    </row>
    <row r="74" customFormat="false" ht="12.8" hidden="false" customHeight="false" outlineLevel="0" collapsed="false">
      <c r="A74" s="0" t="n">
        <f aca="false">A73*1.01+1</f>
        <v>108.824600827334</v>
      </c>
    </row>
    <row r="75" customFormat="false" ht="12.8" hidden="false" customHeight="false" outlineLevel="0" collapsed="false">
      <c r="A75" s="0" t="n">
        <f aca="false">A74*1.01+1</f>
        <v>110.912846835608</v>
      </c>
    </row>
    <row r="76" customFormat="false" ht="12.8" hidden="false" customHeight="false" outlineLevel="0" collapsed="false">
      <c r="A76" s="0" t="n">
        <f aca="false">A75*1.01+1</f>
        <v>113.021975303964</v>
      </c>
    </row>
    <row r="77" customFormat="false" ht="12.8" hidden="false" customHeight="false" outlineLevel="0" collapsed="false">
      <c r="A77" s="0" t="n">
        <f aca="false">A76*1.01+1</f>
        <v>115.152195057003</v>
      </c>
    </row>
    <row r="78" customFormat="false" ht="12.8" hidden="false" customHeight="false" outlineLevel="0" collapsed="false">
      <c r="A78" s="0" t="n">
        <f aca="false">A77*1.01+1</f>
        <v>117.303717007573</v>
      </c>
    </row>
    <row r="79" customFormat="false" ht="12.8" hidden="false" customHeight="false" outlineLevel="0" collapsed="false">
      <c r="A79" s="0" t="n">
        <f aca="false">A78*1.01+1</f>
        <v>119.476754177649</v>
      </c>
    </row>
    <row r="80" customFormat="false" ht="12.8" hidden="false" customHeight="false" outlineLevel="0" collapsed="false">
      <c r="A80" s="0" t="n">
        <f aca="false">A79*1.01+1</f>
        <v>121.671521719426</v>
      </c>
    </row>
    <row r="81" customFormat="false" ht="12.8" hidden="false" customHeight="false" outlineLevel="0" collapsed="false">
      <c r="A81" s="0" t="n">
        <f aca="false">A80*1.01+1</f>
        <v>123.88823693662</v>
      </c>
    </row>
    <row r="82" customFormat="false" ht="12.8" hidden="false" customHeight="false" outlineLevel="0" collapsed="false">
      <c r="A82" s="0" t="n">
        <f aca="false">A81*1.01+1</f>
        <v>126.127119305986</v>
      </c>
    </row>
    <row r="83" customFormat="false" ht="12.8" hidden="false" customHeight="false" outlineLevel="0" collapsed="false">
      <c r="A83" s="0" t="n">
        <f aca="false">A82*1.01+1</f>
        <v>128.388390499046</v>
      </c>
    </row>
    <row r="84" customFormat="false" ht="12.8" hidden="false" customHeight="false" outlineLevel="0" collapsed="false">
      <c r="A84" s="0" t="n">
        <f aca="false">A83*1.01+1</f>
        <v>130.672274404037</v>
      </c>
    </row>
    <row r="85" customFormat="false" ht="12.8" hidden="false" customHeight="false" outlineLevel="0" collapsed="false">
      <c r="A85" s="0" t="n">
        <f aca="false">A84*1.01+1</f>
        <v>132.978997148077</v>
      </c>
    </row>
    <row r="86" customFormat="false" ht="12.8" hidden="false" customHeight="false" outlineLevel="0" collapsed="false">
      <c r="A86" s="0" t="n">
        <f aca="false">A85*1.01+1</f>
        <v>135.308787119558</v>
      </c>
    </row>
    <row r="87" customFormat="false" ht="12.8" hidden="false" customHeight="false" outlineLevel="0" collapsed="false">
      <c r="A87" s="0" t="n">
        <f aca="false">A86*1.01+1</f>
        <v>137.661874990753</v>
      </c>
    </row>
    <row r="88" customFormat="false" ht="12.8" hidden="false" customHeight="false" outlineLevel="0" collapsed="false">
      <c r="A88" s="0" t="n">
        <f aca="false">A87*1.01+1</f>
        <v>140.038493740661</v>
      </c>
    </row>
    <row r="89" customFormat="false" ht="12.8" hidden="false" customHeight="false" outlineLevel="0" collapsed="false">
      <c r="A89" s="0" t="n">
        <f aca="false">A88*1.01+1</f>
        <v>142.438878678067</v>
      </c>
    </row>
    <row r="90" customFormat="false" ht="12.8" hidden="false" customHeight="false" outlineLevel="0" collapsed="false">
      <c r="A90" s="0" t="n">
        <f aca="false">A89*1.01+1</f>
        <v>144.863267464848</v>
      </c>
    </row>
    <row r="91" customFormat="false" ht="12.8" hidden="false" customHeight="false" outlineLevel="0" collapsed="false">
      <c r="A91" s="0" t="n">
        <f aca="false">A90*1.01+1</f>
        <v>147.311900139497</v>
      </c>
    </row>
    <row r="92" customFormat="false" ht="12.8" hidden="false" customHeight="false" outlineLevel="0" collapsed="false">
      <c r="A92" s="0" t="n">
        <f aca="false">A91*1.01+1</f>
        <v>149.785019140891</v>
      </c>
    </row>
    <row r="93" customFormat="false" ht="12.8" hidden="false" customHeight="false" outlineLevel="0" collapsed="false">
      <c r="A93" s="0" t="n">
        <f aca="false">A92*1.01+1</f>
        <v>152.2828693323</v>
      </c>
    </row>
    <row r="94" customFormat="false" ht="12.8" hidden="false" customHeight="false" outlineLevel="0" collapsed="false">
      <c r="A94" s="0" t="n">
        <f aca="false">A93*1.01+1</f>
        <v>154.805698025623</v>
      </c>
    </row>
    <row r="95" customFormat="false" ht="12.8" hidden="false" customHeight="false" outlineLevel="0" collapsed="false">
      <c r="A95" s="0" t="n">
        <f aca="false">A94*1.01+1</f>
        <v>157.35375500588</v>
      </c>
    </row>
    <row r="96" customFormat="false" ht="12.8" hidden="false" customHeight="false" outlineLevel="0" collapsed="false">
      <c r="A96" s="0" t="n">
        <f aca="false">A95*1.01+1</f>
        <v>159.927292555938</v>
      </c>
    </row>
    <row r="97" customFormat="false" ht="12.8" hidden="false" customHeight="false" outlineLevel="0" collapsed="false">
      <c r="A97" s="0" t="n">
        <f aca="false">A96*1.01+1</f>
        <v>162.526565481498</v>
      </c>
    </row>
    <row r="98" customFormat="false" ht="12.8" hidden="false" customHeight="false" outlineLevel="0" collapsed="false">
      <c r="A98" s="0" t="n">
        <f aca="false">A97*1.01+1</f>
        <v>165.151831136313</v>
      </c>
    </row>
    <row r="99" customFormat="false" ht="12.8" hidden="false" customHeight="false" outlineLevel="0" collapsed="false">
      <c r="A99" s="0" t="n">
        <f aca="false">A98*1.01+1</f>
        <v>167.803349447676</v>
      </c>
    </row>
    <row r="100" customFormat="false" ht="12.8" hidden="false" customHeight="false" outlineLevel="0" collapsed="false">
      <c r="A100" s="0" t="n">
        <f aca="false">A99*1.01+1</f>
        <v>170.481382942153</v>
      </c>
    </row>
    <row r="101" customFormat="false" ht="12.8" hidden="false" customHeight="false" outlineLevel="0" collapsed="false">
      <c r="A101" s="0" t="n">
        <f aca="false">A100*1.01+1</f>
        <v>173.186196771574</v>
      </c>
    </row>
    <row r="102" customFormat="false" ht="12.8" hidden="false" customHeight="false" outlineLevel="0" collapsed="false">
      <c r="A102" s="0" t="n">
        <f aca="false">A101*1.01+1</f>
        <v>175.91805873929</v>
      </c>
    </row>
    <row r="103" customFormat="false" ht="12.8" hidden="false" customHeight="false" outlineLevel="0" collapsed="false">
      <c r="A103" s="0" t="n">
        <f aca="false">A102*1.01+1</f>
        <v>178.677239326683</v>
      </c>
    </row>
    <row r="104" customFormat="false" ht="12.8" hidden="false" customHeight="false" outlineLevel="0" collapsed="false">
      <c r="A104" s="0" t="n">
        <f aca="false">A103*1.01+1</f>
        <v>181.46401171995</v>
      </c>
    </row>
    <row r="105" customFormat="false" ht="12.8" hidden="false" customHeight="false" outlineLevel="0" collapsed="false">
      <c r="A105" s="0" t="n">
        <f aca="false">A104*1.01+1</f>
        <v>184.278651837149</v>
      </c>
    </row>
    <row r="106" customFormat="false" ht="12.8" hidden="false" customHeight="false" outlineLevel="0" collapsed="false">
      <c r="A106" s="0" t="n">
        <f aca="false">A105*1.01+1</f>
        <v>187.121438355521</v>
      </c>
    </row>
    <row r="107" customFormat="false" ht="12.8" hidden="false" customHeight="false" outlineLevel="0" collapsed="false">
      <c r="A107" s="0" t="n">
        <f aca="false">A106*1.01+1</f>
        <v>189.992652739076</v>
      </c>
    </row>
    <row r="108" customFormat="false" ht="12.8" hidden="false" customHeight="false" outlineLevel="0" collapsed="false">
      <c r="A108" s="0" t="n">
        <f aca="false">A107*1.01+1</f>
        <v>192.892579266467</v>
      </c>
    </row>
    <row r="109" customFormat="false" ht="12.8" hidden="false" customHeight="false" outlineLevel="0" collapsed="false">
      <c r="A109" s="0" t="n">
        <f aca="false">A108*1.01+1</f>
        <v>195.821505059131</v>
      </c>
    </row>
    <row r="110" customFormat="false" ht="12.8" hidden="false" customHeight="false" outlineLevel="0" collapsed="false">
      <c r="A110" s="0" t="n">
        <f aca="false">A109*1.01+1</f>
        <v>198.779720109723</v>
      </c>
    </row>
    <row r="111" customFormat="false" ht="12.8" hidden="false" customHeight="false" outlineLevel="0" collapsed="false">
      <c r="A111" s="0" t="n">
        <f aca="false">A110*1.01+1</f>
        <v>201.76751731082</v>
      </c>
    </row>
    <row r="112" customFormat="false" ht="12.8" hidden="false" customHeight="false" outlineLevel="0" collapsed="false">
      <c r="A112" s="0" t="n">
        <f aca="false">A111*1.01+1</f>
        <v>204.785192483928</v>
      </c>
    </row>
    <row r="113" customFormat="false" ht="12.8" hidden="false" customHeight="false" outlineLevel="0" collapsed="false">
      <c r="A113" s="0" t="n">
        <f aca="false">A112*1.01+1</f>
        <v>207.833044408767</v>
      </c>
    </row>
    <row r="114" customFormat="false" ht="12.8" hidden="false" customHeight="false" outlineLevel="0" collapsed="false">
      <c r="A114" s="0" t="n">
        <f aca="false">A113*1.01+1</f>
        <v>210.911374852855</v>
      </c>
    </row>
    <row r="115" customFormat="false" ht="12.8" hidden="false" customHeight="false" outlineLevel="0" collapsed="false">
      <c r="A115" s="0" t="n">
        <f aca="false">A114*1.01+1</f>
        <v>214.020488601384</v>
      </c>
    </row>
    <row r="116" customFormat="false" ht="12.8" hidden="false" customHeight="false" outlineLevel="0" collapsed="false">
      <c r="A116" s="0" t="n">
        <f aca="false">A115*1.01+1</f>
        <v>217.160693487397</v>
      </c>
    </row>
    <row r="117" customFormat="false" ht="12.8" hidden="false" customHeight="false" outlineLevel="0" collapsed="false">
      <c r="A117" s="0" t="n">
        <f aca="false">A116*1.01+1</f>
        <v>220.332300422271</v>
      </c>
    </row>
    <row r="118" customFormat="false" ht="12.8" hidden="false" customHeight="false" outlineLevel="0" collapsed="false">
      <c r="A118" s="0" t="n">
        <f aca="false">A117*1.01+1</f>
        <v>223.535623426494</v>
      </c>
    </row>
    <row r="119" customFormat="false" ht="12.8" hidden="false" customHeight="false" outlineLevel="0" collapsed="false">
      <c r="A119" s="0" t="n">
        <f aca="false">A118*1.01+1</f>
        <v>226.770979660759</v>
      </c>
    </row>
    <row r="120" customFormat="false" ht="12.8" hidden="false" customHeight="false" outlineLevel="0" collapsed="false">
      <c r="A120" s="0" t="n">
        <f aca="false">A119*1.01+1</f>
        <v>230.038689457367</v>
      </c>
    </row>
    <row r="121" customFormat="false" ht="12.8" hidden="false" customHeight="false" outlineLevel="0" collapsed="false">
      <c r="A121" s="0" t="n">
        <f aca="false">A120*1.01+1</f>
        <v>233.33907635194</v>
      </c>
    </row>
    <row r="122" customFormat="false" ht="12.8" hidden="false" customHeight="false" outlineLevel="0" collapsed="false">
      <c r="A122" s="0" t="n">
        <f aca="false">A121*1.01+1</f>
        <v>236.67246711546</v>
      </c>
    </row>
    <row r="123" customFormat="false" ht="12.8" hidden="false" customHeight="false" outlineLevel="0" collapsed="false">
      <c r="A123" s="0" t="n">
        <f aca="false">A122*1.01+1</f>
        <v>240.039191786614</v>
      </c>
    </row>
    <row r="124" customFormat="false" ht="12.8" hidden="false" customHeight="false" outlineLevel="0" collapsed="false">
      <c r="A124" s="0" t="n">
        <f aca="false">A123*1.01+1</f>
        <v>243.43958370448</v>
      </c>
    </row>
    <row r="125" customFormat="false" ht="12.8" hidden="false" customHeight="false" outlineLevel="0" collapsed="false">
      <c r="A125" s="0" t="n">
        <f aca="false">A124*1.01+1</f>
        <v>246.873979541525</v>
      </c>
    </row>
    <row r="126" customFormat="false" ht="12.8" hidden="false" customHeight="false" outlineLevel="0" collapsed="false">
      <c r="A126" s="0" t="n">
        <f aca="false">A125*1.01+1</f>
        <v>250.342719336941</v>
      </c>
    </row>
    <row r="127" customFormat="false" ht="12.8" hidden="false" customHeight="false" outlineLevel="0" collapsed="false">
      <c r="A127" s="0" t="n">
        <f aca="false">A126*1.01+1</f>
        <v>253.84614653031</v>
      </c>
    </row>
    <row r="128" customFormat="false" ht="12.8" hidden="false" customHeight="false" outlineLevel="0" collapsed="false">
      <c r="A128" s="0" t="n">
        <f aca="false">A127*1.01+1</f>
        <v>257.384607995613</v>
      </c>
    </row>
    <row r="129" customFormat="false" ht="12.8" hidden="false" customHeight="false" outlineLevel="0" collapsed="false">
      <c r="A129" s="0" t="n">
        <f aca="false">A128*1.01+1</f>
        <v>260.958454075569</v>
      </c>
    </row>
    <row r="130" customFormat="false" ht="12.8" hidden="false" customHeight="false" outlineLevel="0" collapsed="false">
      <c r="A130" s="0" t="n">
        <f aca="false">A129*1.01+1</f>
        <v>264.568038616325</v>
      </c>
    </row>
    <row r="131" customFormat="false" ht="12.8" hidden="false" customHeight="false" outlineLevel="0" collapsed="false">
      <c r="A131" s="0" t="n">
        <f aca="false">A130*1.01+1</f>
        <v>268.213719002488</v>
      </c>
    </row>
    <row r="132" customFormat="false" ht="12.8" hidden="false" customHeight="false" outlineLevel="0" collapsed="false">
      <c r="A132" s="0" t="n">
        <f aca="false">A131*1.01+1</f>
        <v>271.895856192513</v>
      </c>
    </row>
    <row r="133" customFormat="false" ht="12.8" hidden="false" customHeight="false" outlineLevel="0" collapsed="false">
      <c r="A133" s="0" t="n">
        <f aca="false">A132*1.01+1</f>
        <v>275.614814754438</v>
      </c>
    </row>
    <row r="134" customFormat="false" ht="12.8" hidden="false" customHeight="false" outlineLevel="0" collapsed="false">
      <c r="A134" s="0" t="n">
        <f aca="false">A133*1.01+1</f>
        <v>279.370962901983</v>
      </c>
    </row>
    <row r="135" customFormat="false" ht="12.8" hidden="false" customHeight="false" outlineLevel="0" collapsed="false">
      <c r="A135" s="0" t="n">
        <f aca="false">A134*1.01+1</f>
        <v>283.164672531002</v>
      </c>
    </row>
    <row r="136" customFormat="false" ht="12.8" hidden="false" customHeight="false" outlineLevel="0" collapsed="false">
      <c r="A136" s="0" t="n">
        <f aca="false">A135*1.01+1</f>
        <v>286.996319256312</v>
      </c>
    </row>
    <row r="137" customFormat="false" ht="12.8" hidden="false" customHeight="false" outlineLevel="0" collapsed="false">
      <c r="A137" s="0" t="n">
        <f aca="false">A136*1.01+1</f>
        <v>290.866282448876</v>
      </c>
    </row>
    <row r="138" customFormat="false" ht="12.8" hidden="false" customHeight="false" outlineLevel="0" collapsed="false">
      <c r="A138" s="0" t="n">
        <f aca="false">A137*1.01+1</f>
        <v>294.774945273364</v>
      </c>
    </row>
    <row r="139" customFormat="false" ht="12.8" hidden="false" customHeight="false" outlineLevel="0" collapsed="false">
      <c r="A139" s="0" t="n">
        <f aca="false">A138*1.01+1</f>
        <v>298.722694726098</v>
      </c>
    </row>
    <row r="140" customFormat="false" ht="12.8" hidden="false" customHeight="false" outlineLevel="0" collapsed="false">
      <c r="A140" s="0" t="n">
        <f aca="false">A139*1.01+1</f>
        <v>302.709921673359</v>
      </c>
    </row>
    <row r="141" customFormat="false" ht="12.8" hidden="false" customHeight="false" outlineLevel="0" collapsed="false">
      <c r="A141" s="0" t="n">
        <f aca="false">A140*1.01+1</f>
        <v>306.737020890093</v>
      </c>
    </row>
    <row r="142" customFormat="false" ht="12.8" hidden="false" customHeight="false" outlineLevel="0" collapsed="false">
      <c r="A142" s="0" t="n">
        <f aca="false">A141*1.01+1</f>
        <v>310.804391098993</v>
      </c>
    </row>
    <row r="143" customFormat="false" ht="12.8" hidden="false" customHeight="false" outlineLevel="0" collapsed="false">
      <c r="A143" s="0" t="n">
        <f aca="false">A142*1.01+1</f>
        <v>314.912435009983</v>
      </c>
    </row>
    <row r="144" customFormat="false" ht="12.8" hidden="false" customHeight="false" outlineLevel="0" collapsed="false">
      <c r="A144" s="0" t="n">
        <f aca="false">A143*1.01+1</f>
        <v>319.061559360083</v>
      </c>
    </row>
    <row r="145" customFormat="false" ht="12.8" hidden="false" customHeight="false" outlineLevel="0" collapsed="false">
      <c r="A145" s="0" t="n">
        <f aca="false">A144*1.01+1</f>
        <v>323.252174953684</v>
      </c>
    </row>
    <row r="146" customFormat="false" ht="12.8" hidden="false" customHeight="false" outlineLevel="0" collapsed="false">
      <c r="A146" s="0" t="n">
        <f aca="false">A145*1.01+1</f>
        <v>327.484696703221</v>
      </c>
    </row>
    <row r="147" customFormat="false" ht="12.8" hidden="false" customHeight="false" outlineLevel="0" collapsed="false">
      <c r="A147" s="0" t="n">
        <f aca="false">A146*1.01+1</f>
        <v>331.759543670253</v>
      </c>
    </row>
    <row r="148" customFormat="false" ht="12.8" hidden="false" customHeight="false" outlineLevel="0" collapsed="false">
      <c r="A148" s="0" t="n">
        <f aca="false">A147*1.01+1</f>
        <v>336.077139106956</v>
      </c>
    </row>
    <row r="149" customFormat="false" ht="12.8" hidden="false" customHeight="false" outlineLevel="0" collapsed="false">
      <c r="A149" s="0" t="n">
        <f aca="false">A148*1.01+1</f>
        <v>340.437910498025</v>
      </c>
    </row>
    <row r="150" customFormat="false" ht="12.8" hidden="false" customHeight="false" outlineLevel="0" collapsed="false">
      <c r="A150" s="0" t="n">
        <f aca="false">A149*1.01+1</f>
        <v>344.842289603005</v>
      </c>
    </row>
    <row r="151" customFormat="false" ht="12.8" hidden="false" customHeight="false" outlineLevel="0" collapsed="false">
      <c r="A151" s="0" t="n">
        <f aca="false">A150*1.01+1</f>
        <v>349.290712499035</v>
      </c>
    </row>
    <row r="152" customFormat="false" ht="12.8" hidden="false" customHeight="false" outlineLevel="0" collapsed="false">
      <c r="A152" s="0" t="n">
        <f aca="false">A151*1.01+1</f>
        <v>353.783619624026</v>
      </c>
    </row>
    <row r="153" customFormat="false" ht="12.8" hidden="false" customHeight="false" outlineLevel="0" collapsed="false">
      <c r="A153" s="0" t="n">
        <f aca="false">A152*1.01+1</f>
        <v>358.321455820266</v>
      </c>
    </row>
    <row r="154" customFormat="false" ht="12.8" hidden="false" customHeight="false" outlineLevel="0" collapsed="false">
      <c r="A154" s="0" t="n">
        <f aca="false">A153*1.01+1</f>
        <v>362.904670378469</v>
      </c>
    </row>
    <row r="155" customFormat="false" ht="12.8" hidden="false" customHeight="false" outlineLevel="0" collapsed="false">
      <c r="A155" s="0" t="n">
        <f aca="false">A154*1.01+1</f>
        <v>367.533717082254</v>
      </c>
    </row>
    <row r="156" customFormat="false" ht="12.8" hidden="false" customHeight="false" outlineLevel="0" collapsed="false">
      <c r="A156" s="0" t="n">
        <f aca="false">A155*1.01+1</f>
        <v>372.209054253076</v>
      </c>
    </row>
    <row r="157" customFormat="false" ht="12.8" hidden="false" customHeight="false" outlineLevel="0" collapsed="false">
      <c r="A157" s="0" t="n">
        <f aca="false">A156*1.01+1</f>
        <v>376.931144795607</v>
      </c>
    </row>
    <row r="158" customFormat="false" ht="12.8" hidden="false" customHeight="false" outlineLevel="0" collapsed="false">
      <c r="A158" s="0" t="n">
        <f aca="false">A157*1.01+1</f>
        <v>381.700456243563</v>
      </c>
    </row>
    <row r="159" customFormat="false" ht="12.8" hidden="false" customHeight="false" outlineLevel="0" collapsed="false">
      <c r="A159" s="0" t="n">
        <f aca="false">A158*1.01+1</f>
        <v>386.517460805998</v>
      </c>
    </row>
    <row r="160" customFormat="false" ht="12.8" hidden="false" customHeight="false" outlineLevel="0" collapsed="false">
      <c r="A160" s="0" t="n">
        <f aca="false">A159*1.01+1</f>
        <v>391.382635414058</v>
      </c>
    </row>
    <row r="161" customFormat="false" ht="12.8" hidden="false" customHeight="false" outlineLevel="0" collapsed="false">
      <c r="A161" s="0" t="n">
        <f aca="false">A160*1.01+1</f>
        <v>396.296461768199</v>
      </c>
    </row>
    <row r="162" customFormat="false" ht="12.8" hidden="false" customHeight="false" outlineLevel="0" collapsed="false">
      <c r="A162" s="0" t="n">
        <f aca="false">A161*1.01+1</f>
        <v>401.259426385881</v>
      </c>
    </row>
    <row r="163" customFormat="false" ht="12.8" hidden="false" customHeight="false" outlineLevel="0" collapsed="false">
      <c r="A163" s="0" t="n">
        <f aca="false">A162*1.01+1</f>
        <v>406.27202064974</v>
      </c>
    </row>
    <row r="164" customFormat="false" ht="12.8" hidden="false" customHeight="false" outlineLevel="0" collapsed="false">
      <c r="A164" s="0" t="n">
        <f aca="false">A163*1.01+1</f>
        <v>411.334740856237</v>
      </c>
    </row>
    <row r="165" customFormat="false" ht="12.8" hidden="false" customHeight="false" outlineLevel="0" collapsed="false">
      <c r="A165" s="0" t="n">
        <f aca="false">A164*1.01+1</f>
        <v>416.4480882648</v>
      </c>
    </row>
    <row r="166" customFormat="false" ht="12.8" hidden="false" customHeight="false" outlineLevel="0" collapsed="false">
      <c r="A166" s="0" t="n">
        <f aca="false">A165*1.01+1</f>
        <v>421.612569147448</v>
      </c>
    </row>
    <row r="167" customFormat="false" ht="12.8" hidden="false" customHeight="false" outlineLevel="0" collapsed="false">
      <c r="A167" s="0" t="n">
        <f aca="false">A166*1.01+1</f>
        <v>426.828694838922</v>
      </c>
    </row>
    <row r="168" customFormat="false" ht="12.8" hidden="false" customHeight="false" outlineLevel="0" collapsed="false">
      <c r="A168" s="0" t="n">
        <f aca="false">A167*1.01+1</f>
        <v>432.096981787311</v>
      </c>
    </row>
    <row r="169" customFormat="false" ht="12.8" hidden="false" customHeight="false" outlineLevel="0" collapsed="false">
      <c r="A169" s="0" t="n">
        <f aca="false">A168*1.01+1</f>
        <v>437.417951605184</v>
      </c>
    </row>
    <row r="170" customFormat="false" ht="12.8" hidden="false" customHeight="false" outlineLevel="0" collapsed="false">
      <c r="A170" s="0" t="n">
        <f aca="false">A169*1.01+1</f>
        <v>442.792131121236</v>
      </c>
    </row>
    <row r="171" customFormat="false" ht="12.8" hidden="false" customHeight="false" outlineLevel="0" collapsed="false">
      <c r="A171" s="0" t="n">
        <f aca="false">A170*1.01+1</f>
        <v>448.220052432449</v>
      </c>
    </row>
    <row r="172" customFormat="false" ht="12.8" hidden="false" customHeight="false" outlineLevel="0" collapsed="false">
      <c r="A172" s="0" t="n">
        <f aca="false">A171*1.01+1</f>
        <v>453.702252956773</v>
      </c>
    </row>
    <row r="173" customFormat="false" ht="12.8" hidden="false" customHeight="false" outlineLevel="0" collapsed="false">
      <c r="A173" s="0" t="n">
        <f aca="false">A172*1.01+1</f>
        <v>459.239275486341</v>
      </c>
    </row>
    <row r="174" customFormat="false" ht="12.8" hidden="false" customHeight="false" outlineLevel="0" collapsed="false">
      <c r="A174" s="0" t="n">
        <f aca="false">A173*1.01+1</f>
        <v>464.831668241204</v>
      </c>
    </row>
    <row r="175" customFormat="false" ht="12.8" hidden="false" customHeight="false" outlineLevel="0" collapsed="false">
      <c r="A175" s="0" t="n">
        <f aca="false">A174*1.01+1</f>
        <v>470.479984923616</v>
      </c>
    </row>
    <row r="176" customFormat="false" ht="12.8" hidden="false" customHeight="false" outlineLevel="0" collapsed="false">
      <c r="A176" s="0" t="n">
        <f aca="false">A175*1.01+1</f>
        <v>476.184784772852</v>
      </c>
    </row>
    <row r="177" customFormat="false" ht="12.8" hidden="false" customHeight="false" outlineLevel="0" collapsed="false">
      <c r="A177" s="0" t="n">
        <f aca="false">A176*1.01+1</f>
        <v>481.946632620581</v>
      </c>
    </row>
    <row r="178" customFormat="false" ht="12.8" hidden="false" customHeight="false" outlineLevel="0" collapsed="false">
      <c r="A178" s="0" t="n">
        <f aca="false">A177*1.01+1</f>
        <v>487.766098946787</v>
      </c>
    </row>
    <row r="179" customFormat="false" ht="12.8" hidden="false" customHeight="false" outlineLevel="0" collapsed="false">
      <c r="A179" s="0" t="n">
        <f aca="false">A178*1.01+1</f>
        <v>493.643759936255</v>
      </c>
    </row>
    <row r="180" customFormat="false" ht="12.8" hidden="false" customHeight="false" outlineLevel="0" collapsed="false">
      <c r="A180" s="0" t="n">
        <f aca="false">A179*1.01+1</f>
        <v>499.580197535617</v>
      </c>
    </row>
    <row r="181" customFormat="false" ht="12.8" hidden="false" customHeight="false" outlineLevel="0" collapsed="false">
      <c r="A181" s="0" t="n">
        <f aca="false">A180*1.01+1</f>
        <v>505.575999510973</v>
      </c>
    </row>
    <row r="182" customFormat="false" ht="12.8" hidden="false" customHeight="false" outlineLevel="0" collapsed="false">
      <c r="A182" s="0" t="n">
        <f aca="false">A181*1.01+1</f>
        <v>511.631759506083</v>
      </c>
    </row>
    <row r="183" customFormat="false" ht="12.8" hidden="false" customHeight="false" outlineLevel="0" collapsed="false">
      <c r="A183" s="0" t="n">
        <f aca="false">A182*1.01+1</f>
        <v>517.748077101144</v>
      </c>
    </row>
    <row r="184" customFormat="false" ht="12.8" hidden="false" customHeight="false" outlineLevel="0" collapsed="false">
      <c r="A184" s="0" t="n">
        <f aca="false">A183*1.01+1</f>
        <v>523.925557872155</v>
      </c>
    </row>
    <row r="185" customFormat="false" ht="12.8" hidden="false" customHeight="false" outlineLevel="0" collapsed="false">
      <c r="A185" s="0" t="n">
        <f aca="false">A184*1.01+1</f>
        <v>530.164813450877</v>
      </c>
    </row>
    <row r="186" customFormat="false" ht="12.8" hidden="false" customHeight="false" outlineLevel="0" collapsed="false">
      <c r="A186" s="0" t="n">
        <f aca="false">A185*1.01+1</f>
        <v>536.466461585386</v>
      </c>
    </row>
    <row r="187" customFormat="false" ht="12.8" hidden="false" customHeight="false" outlineLevel="0" collapsed="false">
      <c r="A187" s="0" t="n">
        <f aca="false">A186*1.01+1</f>
        <v>542.83112620124</v>
      </c>
    </row>
    <row r="188" customFormat="false" ht="12.8" hidden="false" customHeight="false" outlineLevel="0" collapsed="false">
      <c r="A188" s="0" t="n">
        <f aca="false">A187*1.01+1</f>
        <v>549.259437463252</v>
      </c>
    </row>
    <row r="189" customFormat="false" ht="12.8" hidden="false" customHeight="false" outlineLevel="0" collapsed="false">
      <c r="A189" s="0" t="n">
        <f aca="false">A188*1.01+1</f>
        <v>555.752031837885</v>
      </c>
    </row>
    <row r="190" customFormat="false" ht="12.8" hidden="false" customHeight="false" outlineLevel="0" collapsed="false">
      <c r="A190" s="0" t="n">
        <f aca="false">A189*1.01+1</f>
        <v>562.309552156263</v>
      </c>
    </row>
    <row r="191" customFormat="false" ht="12.8" hidden="false" customHeight="false" outlineLevel="0" collapsed="false">
      <c r="A191" s="0" t="n">
        <f aca="false">A190*1.01+1</f>
        <v>568.932647677826</v>
      </c>
    </row>
    <row r="192" customFormat="false" ht="12.8" hidden="false" customHeight="false" outlineLevel="0" collapsed="false">
      <c r="A192" s="0" t="n">
        <f aca="false">A191*1.01+1</f>
        <v>575.621974154604</v>
      </c>
    </row>
    <row r="193" customFormat="false" ht="12.8" hidden="false" customHeight="false" outlineLevel="0" collapsed="false">
      <c r="A193" s="0" t="n">
        <f aca="false">A192*1.01+1</f>
        <v>582.37819389615</v>
      </c>
    </row>
    <row r="194" customFormat="false" ht="12.8" hidden="false" customHeight="false" outlineLevel="0" collapsed="false">
      <c r="A194" s="0" t="n">
        <f aca="false">A193*1.01+1</f>
        <v>589.201975835112</v>
      </c>
    </row>
    <row r="195" customFormat="false" ht="12.8" hidden="false" customHeight="false" outlineLevel="0" collapsed="false">
      <c r="A195" s="0" t="n">
        <f aca="false">A194*1.01+1</f>
        <v>596.093995593463</v>
      </c>
    </row>
    <row r="196" customFormat="false" ht="12.8" hidden="false" customHeight="false" outlineLevel="0" collapsed="false">
      <c r="A196" s="0" t="n">
        <f aca="false">A195*1.01+1</f>
        <v>603.054935549397</v>
      </c>
    </row>
    <row r="197" customFormat="false" ht="12.8" hidden="false" customHeight="false" outlineLevel="0" collapsed="false">
      <c r="A197" s="0" t="n">
        <f aca="false">A196*1.01+1</f>
        <v>610.085484904892</v>
      </c>
    </row>
    <row r="198" customFormat="false" ht="12.8" hidden="false" customHeight="false" outlineLevel="0" collapsed="false">
      <c r="A198" s="0" t="n">
        <f aca="false">A197*1.01+1</f>
        <v>617.18633975394</v>
      </c>
    </row>
    <row r="199" customFormat="false" ht="12.8" hidden="false" customHeight="false" outlineLevel="0" collapsed="false">
      <c r="A199" s="0" t="n">
        <f aca="false">A198*1.01+1</f>
        <v>624.35820315148</v>
      </c>
    </row>
    <row r="200" customFormat="false" ht="12.8" hidden="false" customHeight="false" outlineLevel="0" collapsed="false">
      <c r="A200" s="0" t="n">
        <f aca="false">A199*1.01+1</f>
        <v>631.601785182995</v>
      </c>
    </row>
  </sheetData>
  <mergeCells count="2">
    <mergeCell ref="C2:E4"/>
    <mergeCell ref="C6:C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2026-10-14T08:38:30Z</dcterms:modified>
  <cp:revision>1</cp:revision>
  <dc:subject/>
  <dc:title>Derlem lo-buyuk</dc:title>
</cp:coreProperties>
</file>