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tışlar" sheetId="1" state="visible" r:id="rId3"/>
    <sheet name="Özet" sheetId="2" state="visible" r:id="rId4"/>
    <sheet name="Zincir" sheetId="3" state="visible" r:id="rId5"/>
  </sheets>
  <definedNames>
    <definedName function="false" hidden="false" name="Fiyatlar" vbProcedure="false">Satışlar!$D$3:$D$52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Ürün adı (açıklama)</t>
        </r>
      </text>
    </comment>
  </commentList>
</comments>
</file>

<file path=xl/sharedStrings.xml><?xml version="1.0" encoding="utf-8"?>
<sst xmlns="http://schemas.openxmlformats.org/spreadsheetml/2006/main" count="135" uniqueCount="50">
  <si>
    <t xml:space="preserve">2024 Satış Raporu — İĞÜŞÖÇ</t>
  </si>
  <si>
    <t xml:space="preserve">Ürün</t>
  </si>
  <si>
    <t xml:space="preserve">Şehir</t>
  </si>
  <si>
    <t xml:space="preserve">Adet</t>
  </si>
  <si>
    <t xml:space="preserve">Fiyat</t>
  </si>
  <si>
    <t xml:space="preserve">Tarih</t>
  </si>
  <si>
    <t xml:space="preserve">Tutar</t>
  </si>
  <si>
    <t xml:space="preserve">KDV</t>
  </si>
  <si>
    <t xml:space="preserve">Durum</t>
  </si>
  <si>
    <t xml:space="preserve">Döndürülmüş ve kaydırılmış uzun başlık metni</t>
  </si>
  <si>
    <t xml:space="preserve">Çay</t>
  </si>
  <si>
    <t xml:space="preserve">İstanbul</t>
  </si>
  <si>
    <t xml:space="preserve">Şeker</t>
  </si>
  <si>
    <t xml:space="preserve">Ankara</t>
  </si>
  <si>
    <t xml:space="preserve">Ğofret</t>
  </si>
  <si>
    <t xml:space="preserve">İzmir</t>
  </si>
  <si>
    <t xml:space="preserve">Kahve</t>
  </si>
  <si>
    <t xml:space="preserve">Bursa</t>
  </si>
  <si>
    <t xml:space="preserve">Süt</t>
  </si>
  <si>
    <t xml:space="preserve">Çanakkale</t>
  </si>
  <si>
    <t xml:space="preserve">Peynir</t>
  </si>
  <si>
    <t xml:space="preserve">Zeytin</t>
  </si>
  <si>
    <t xml:space="preserve">Ekmek</t>
  </si>
  <si>
    <t xml:space="preserve">Bal</t>
  </si>
  <si>
    <t xml:space="preserve">Un</t>
  </si>
  <si>
    <t xml:space="preserve">Toplam</t>
  </si>
  <si>
    <t xml:space="preserve">Ortalama</t>
  </si>
  <si>
    <t xml:space="preserve">Çay adedi</t>
  </si>
  <si>
    <t xml:space="preserve">Yüksek sayısı</t>
  </si>
  <si>
    <t xml:space="preserve">En büyük</t>
  </si>
  <si>
    <t xml:space="preserve">Genel toplam</t>
  </si>
  <si>
    <t xml:space="preserve">KDV dahil</t>
  </si>
  <si>
    <t xml:space="preserve">Ürün araması</t>
  </si>
  <si>
    <t xml:space="preserve">INDEX/MATCH</t>
  </si>
  <si>
    <t xml:space="preserve">Metin</t>
  </si>
  <si>
    <t xml:space="preserve">Büyük harf</t>
  </si>
  <si>
    <t xml:space="preserve">Tarih farkı</t>
  </si>
  <si>
    <t xml:space="preserve">SUMPRODUCT</t>
  </si>
  <si>
    <t xml:space="preserve">IFERROR</t>
  </si>
  <si>
    <t xml:space="preserve">Ortalama (adlı)</t>
  </si>
  <si>
    <t xml:space="preserve">Yuvarla</t>
  </si>
  <si>
    <t xml:space="preserve">Mantık</t>
  </si>
  <si>
    <t xml:space="preserve">Ay adı</t>
  </si>
  <si>
    <t xml:space="preserve">Bölü sıfır</t>
  </si>
  <si>
    <t xml:space="preserve">Bulunamadı</t>
  </si>
  <si>
    <t xml:space="preserve">Std sapma</t>
  </si>
  <si>
    <t xml:space="preserve">Medyan</t>
  </si>
  <si>
    <t xml:space="preserve">Mantıksal değer</t>
  </si>
  <si>
    <t xml:space="preserve">3x3 birleşik</t>
  </si>
  <si>
    <t xml:space="preserve">Dikey birleşik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</si>
</sst>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9]#,##0.00&quot; TL&quot;"/>
    <numFmt numFmtId="166" formatCode="[$-409]dd\.mm\.yyyy"/>
    <numFmt numFmtId="167" formatCode="[$-409]#,##0.00"/>
    <numFmt numFmtId="168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2"/>
    </font>
    <font>
      <b val="true"/>
      <sz val="10"/>
      <color rgb="FFFFFFFF"/>
      <name val="Arial"/>
      <family val="2"/>
    </font>
    <font>
      <b val="true"/>
      <sz val="10"/>
      <name val="Arial"/>
      <family val="2"/>
    </font>
    <font>
      <sz val="1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4586"/>
      </patternFill>
    </fill>
    <fill>
      <patternFill patternType="solid">
        <fgColor rgb="FFDDEBF7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404040"/>
      </left>
      <right style="hair">
        <color rgb="FF404040"/>
      </right>
      <top style="hair">
        <color rgb="FF404040"/>
      </top>
      <bottom style="hair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45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DDDD"/>
          <bgColor rgb="FF000000"/>
        </patternFill>
      </fill>
    </dxf>
    <dxf>
      <font>
        <b val="1"/>
      </font>
      <fill>
        <patternFill>
          <bgColor rgb="FFDDDDDD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Grafik1 başlığı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Satışlar!$D$2</c:f>
              <c:strCache>
                <c:ptCount val="1"/>
                <c:pt idx="0">
                  <c:v>Fiyat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Satışlar!$C$3:$C$12</c:f>
              <c:strCache>
                <c:ptCount val="10"/>
                <c:pt idx="0">
                  <c:v>1</c:v>
                </c:pt>
                <c:pt idx="1">
                  <c:v>8</c:v>
                </c:pt>
                <c:pt idx="2">
                  <c:v>15</c:v>
                </c:pt>
                <c:pt idx="3">
                  <c:v>22</c:v>
                </c:pt>
                <c:pt idx="4">
                  <c:v>29</c:v>
                </c:pt>
                <c:pt idx="5">
                  <c:v>36</c:v>
                </c:pt>
                <c:pt idx="6">
                  <c:v>43</c:v>
                </c:pt>
                <c:pt idx="7">
                  <c:v>50</c:v>
                </c:pt>
                <c:pt idx="8">
                  <c:v>7</c:v>
                </c:pt>
                <c:pt idx="9">
                  <c:v>14</c:v>
                </c:pt>
              </c:strCache>
            </c:strRef>
          </c:cat>
          <c:val>
            <c:numRef>
              <c:f>Satışlar!$D$3:$D$12</c:f>
              <c:numCache>
                <c:formatCode>[$-409]#,##0.00" TL"</c:formatCode>
                <c:ptCount val="10"/>
                <c:pt idx="0">
                  <c:v>5</c:v>
                </c:pt>
                <c:pt idx="1">
                  <c:v>7.75</c:v>
                </c:pt>
                <c:pt idx="2">
                  <c:v>10.5</c:v>
                </c:pt>
                <c:pt idx="3">
                  <c:v>13.25</c:v>
                </c:pt>
                <c:pt idx="4">
                  <c:v>16</c:v>
                </c:pt>
                <c:pt idx="5">
                  <c:v>18.75</c:v>
                </c:pt>
                <c:pt idx="6">
                  <c:v>21.5</c:v>
                </c:pt>
                <c:pt idx="7">
                  <c:v>24.25</c:v>
                </c:pt>
                <c:pt idx="8">
                  <c:v>27</c:v>
                </c:pt>
                <c:pt idx="9">
                  <c:v>29.75</c:v>
                </c:pt>
              </c:numCache>
            </c:numRef>
          </c:val>
        </c:ser>
        <c:gapWidth val="100"/>
        <c:overlap val="0"/>
        <c:axId val="90129879"/>
        <c:axId val="63771883"/>
      </c:barChart>
      <c:catAx>
        <c:axId val="90129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3771883"/>
        <c:crosses val="autoZero"/>
        <c:auto val="1"/>
        <c:lblAlgn val="ctr"/>
        <c:lblOffset val="100"/>
        <c:noMultiLvlLbl val="0"/>
      </c:catAx>
      <c:valAx>
        <c:axId val="637718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-409]#,##0.00&quot; TL&quot;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0129879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Cizgi başlığı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Satışlar!$G$2</c:f>
              <c:strCache>
                <c:ptCount val="1"/>
                <c:pt idx="0">
                  <c:v>KDV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Satışlar!$F$3:$F$20</c:f>
              <c:strCache>
                <c:ptCount val="18"/>
                <c:pt idx="0">
                  <c:v>5.00</c:v>
                </c:pt>
                <c:pt idx="1">
                  <c:v>62.00</c:v>
                </c:pt>
                <c:pt idx="2">
                  <c:v>157.50</c:v>
                </c:pt>
                <c:pt idx="3">
                  <c:v>291.50</c:v>
                </c:pt>
                <c:pt idx="4">
                  <c:v>464.00</c:v>
                </c:pt>
                <c:pt idx="5">
                  <c:v>675.00</c:v>
                </c:pt>
                <c:pt idx="6">
                  <c:v>924.50</c:v>
                </c:pt>
                <c:pt idx="7">
                  <c:v>1,212.50</c:v>
                </c:pt>
                <c:pt idx="8">
                  <c:v>189.00</c:v>
                </c:pt>
                <c:pt idx="9">
                  <c:v>416.50</c:v>
                </c:pt>
                <c:pt idx="10">
                  <c:v>682.50</c:v>
                </c:pt>
                <c:pt idx="11">
                  <c:v>987.00</c:v>
                </c:pt>
                <c:pt idx="12">
                  <c:v>1,330.00</c:v>
                </c:pt>
                <c:pt idx="13">
                  <c:v>210.00</c:v>
                </c:pt>
                <c:pt idx="14">
                  <c:v>379.75</c:v>
                </c:pt>
                <c:pt idx="15">
                  <c:v>63.00</c:v>
                </c:pt>
                <c:pt idx="16">
                  <c:v>172.25</c:v>
                </c:pt>
                <c:pt idx="17">
                  <c:v>320.00</c:v>
                </c:pt>
              </c:strCache>
            </c:strRef>
          </c:cat>
          <c:val>
            <c:numRef>
              <c:f>Satışlar!$G$3:$G$20</c:f>
              <c:numCache>
                <c:formatCode>[$-409]#,##0.00</c:formatCode>
                <c:ptCount val="18"/>
                <c:pt idx="0">
                  <c:v>1</c:v>
                </c:pt>
                <c:pt idx="1">
                  <c:v>12.4</c:v>
                </c:pt>
                <c:pt idx="2">
                  <c:v>31.5</c:v>
                </c:pt>
                <c:pt idx="3">
                  <c:v>58.3</c:v>
                </c:pt>
                <c:pt idx="4">
                  <c:v>92.8</c:v>
                </c:pt>
                <c:pt idx="5">
                  <c:v>135</c:v>
                </c:pt>
                <c:pt idx="6">
                  <c:v>184.9</c:v>
                </c:pt>
                <c:pt idx="7">
                  <c:v>242.5</c:v>
                </c:pt>
                <c:pt idx="8">
                  <c:v>37.8</c:v>
                </c:pt>
                <c:pt idx="9">
                  <c:v>83.3</c:v>
                </c:pt>
                <c:pt idx="10">
                  <c:v>136.5</c:v>
                </c:pt>
                <c:pt idx="11">
                  <c:v>197.4</c:v>
                </c:pt>
                <c:pt idx="12">
                  <c:v>266</c:v>
                </c:pt>
                <c:pt idx="13">
                  <c:v>42</c:v>
                </c:pt>
                <c:pt idx="14">
                  <c:v>75.95</c:v>
                </c:pt>
                <c:pt idx="15">
                  <c:v>12.6</c:v>
                </c:pt>
                <c:pt idx="16">
                  <c:v>34.45</c:v>
                </c:pt>
                <c:pt idx="17">
                  <c:v>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150601"/>
        <c:axId val="54367774"/>
      </c:lineChart>
      <c:catAx>
        <c:axId val="75150601"/>
        <c:scaling>
          <c:orientation val="minMax"/>
        </c:scaling>
        <c:delete val="0"/>
        <c:axPos val="b"/>
        <c:numFmt formatCode="[$-409]#,##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4367774"/>
        <c:crosses val="autoZero"/>
        <c:auto val="1"/>
        <c:lblAlgn val="ctr"/>
        <c:lblOffset val="100"/>
        <c:noMultiLvlLbl val="0"/>
      </c:catAx>
      <c:valAx>
        <c:axId val="543677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-409]#,##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5150601"/>
        <c:crosses val="autoZero"/>
        <c:crossBetween val="midCat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Pasta başlığı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Özet!$B$1</c:f>
              <c:strCache>
                <c:ptCount val="1"/>
                <c:pt idx="0">
                  <c:v>26,430.75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Özet!$A$2:$A$3</c:f>
              <c:strCache>
                <c:ptCount val="2"/>
                <c:pt idx="0">
                  <c:v>KDV dahil</c:v>
                </c:pt>
                <c:pt idx="1">
                  <c:v>Ürün araması</c:v>
                </c:pt>
              </c:strCache>
            </c:strRef>
          </c:cat>
          <c:val>
            <c:numRef>
              <c:f>Özet!$B$2:$B$3</c:f>
              <c:numCache>
                <c:formatCode>[$-409]General</c:formatCode>
                <c:ptCount val="2"/>
                <c:pt idx="0">
                  <c:v>31716.9</c:v>
                </c:pt>
                <c:pt idx="1">
                  <c:v>291.5</c:v>
                </c:pt>
              </c:numCache>
            </c:numRef>
          </c:val>
        </c:ser>
        <c:firstSliceAng val="0"/>
      </c:pieChart>
      <c:spPr>
        <a:solidFill>
          <a:srgbClr val="d9d9d9"/>
        </a:solidFill>
        <a:ln w="0">
          <a:noFill/>
        </a:ln>
      </c:spPr>
    </c:plotArea>
    <c:plotVisOnly val="0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576360</xdr:colOff>
      <xdr:row>1</xdr:row>
      <xdr:rowOff>36000</xdr:rowOff>
    </xdr:from>
    <xdr:to>
      <xdr:col>14</xdr:col>
      <xdr:colOff>39960</xdr:colOff>
      <xdr:row>14</xdr:row>
      <xdr:rowOff>27000</xdr:rowOff>
    </xdr:to>
    <xdr:graphicFrame>
      <xdr:nvGraphicFramePr>
        <xdr:cNvPr id="0" name=""/>
        <xdr:cNvGraphicFramePr/>
      </xdr:nvGraphicFramePr>
      <xdr:xfrm>
        <a:off x="7200000" y="36000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576360</xdr:colOff>
      <xdr:row>17</xdr:row>
      <xdr:rowOff>79560</xdr:rowOff>
    </xdr:from>
    <xdr:to>
      <xdr:col>14</xdr:col>
      <xdr:colOff>39960</xdr:colOff>
      <xdr:row>34</xdr:row>
      <xdr:rowOff>15840</xdr:rowOff>
    </xdr:to>
    <xdr:graphicFrame>
      <xdr:nvGraphicFramePr>
        <xdr:cNvPr id="1" name=""/>
        <xdr:cNvGraphicFramePr/>
      </xdr:nvGraphicFramePr>
      <xdr:xfrm>
        <a:off x="7200000" y="360000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441720</xdr:colOff>
      <xdr:row>2</xdr:row>
      <xdr:rowOff>34920</xdr:rowOff>
    </xdr:from>
    <xdr:to>
      <xdr:col>8</xdr:col>
      <xdr:colOff>697320</xdr:colOff>
      <xdr:row>18</xdr:row>
      <xdr:rowOff>133560</xdr:rowOff>
    </xdr:to>
    <xdr:graphicFrame>
      <xdr:nvGraphicFramePr>
        <xdr:cNvPr id="2" name=""/>
        <xdr:cNvGraphicFramePr/>
      </xdr:nvGraphicFramePr>
      <xdr:xfrm>
        <a:off x="2880000" y="36000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Veri" displayName="Veri" ref="A2:H52" headerRowCount="1" totalsRowCount="0" totalsRowShown="0">
  <autoFilter ref="A2:H52"/>
  <tableColumns count="8">
    <tableColumn id="1" name="Ürün"/>
    <tableColumn id="2" name="Şehir"/>
    <tableColumn id="3" name="Adet"/>
    <tableColumn id="4" name="Fiyat"/>
    <tableColumn id="5" name="Tarih"/>
    <tableColumn id="6" name="Tutar"/>
    <tableColumn id="7" name="KDV"/>
    <tableColumn id="8" name="Durum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34"/>
    <col collapsed="false" customWidth="true" hidden="false" outlineLevel="0" max="2" min="2" style="0" width="15.32"/>
    <col collapsed="false" customWidth="true" hidden="false" outlineLevel="0" max="3" min="3" style="0" width="9.19"/>
    <col collapsed="false" customWidth="true" hidden="false" outlineLevel="0" max="5" min="4" style="0" width="13.28"/>
    <col collapsed="false" customWidth="true" hidden="false" outlineLevel="0" max="6" min="6" style="0" width="14.3"/>
    <col collapsed="false" customWidth="true" hidden="false" outlineLevel="0" max="7" min="7" style="0" width="12.26"/>
    <col collapsed="false" customWidth="true" hidden="false" outlineLevel="0" max="8" min="8" style="0" width="11.24"/>
    <col collapsed="false" customWidth="false" hidden="true" outlineLevel="0" max="11" min="11" style="0" width="11.5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59.7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J2" s="3" t="s">
        <v>9</v>
      </c>
    </row>
    <row r="3" customFormat="false" ht="12.8" hidden="false" customHeight="false" outlineLevel="0" collapsed="false">
      <c r="A3" s="4" t="s">
        <v>10</v>
      </c>
      <c r="B3" s="4" t="s">
        <v>11</v>
      </c>
      <c r="C3" s="4" t="n">
        <v>1</v>
      </c>
      <c r="D3" s="5" t="n">
        <v>5</v>
      </c>
      <c r="E3" s="6" t="n">
        <f aca="false">DATE(2024,1,1)</f>
        <v>45292</v>
      </c>
      <c r="F3" s="7" t="n">
        <f aca="false">C3*D3</f>
        <v>5</v>
      </c>
      <c r="G3" s="7" t="n">
        <f aca="false">ROUND(F3*0.2,2)</f>
        <v>1</v>
      </c>
      <c r="H3" s="4" t="str">
        <f aca="false">IF(F3&gt;500,"Yüksek",IF(F3&gt;100,"Orta","Düşük"))</f>
        <v>Düşük</v>
      </c>
    </row>
    <row r="4" customFormat="false" ht="12.8" hidden="false" customHeight="false" outlineLevel="0" collapsed="false">
      <c r="A4" s="4" t="s">
        <v>12</v>
      </c>
      <c r="B4" s="4" t="s">
        <v>13</v>
      </c>
      <c r="C4" s="4" t="n">
        <v>8</v>
      </c>
      <c r="D4" s="5" t="n">
        <v>7.75</v>
      </c>
      <c r="E4" s="6" t="n">
        <f aca="false">DATE(2024,2,2)</f>
        <v>45324</v>
      </c>
      <c r="F4" s="7" t="n">
        <f aca="false">C4*D4</f>
        <v>62</v>
      </c>
      <c r="G4" s="7" t="n">
        <f aca="false">ROUND(F4*0.2,2)</f>
        <v>12.4</v>
      </c>
      <c r="H4" s="4" t="str">
        <f aca="false">IF(F4&gt;500,"Yüksek",IF(F4&gt;100,"Orta","Düşük"))</f>
        <v>Düşük</v>
      </c>
    </row>
    <row r="5" customFormat="false" ht="12.8" hidden="false" customHeight="false" outlineLevel="0" collapsed="false">
      <c r="A5" s="4" t="s">
        <v>14</v>
      </c>
      <c r="B5" s="4" t="s">
        <v>15</v>
      </c>
      <c r="C5" s="4" t="n">
        <v>15</v>
      </c>
      <c r="D5" s="5" t="n">
        <v>10.5</v>
      </c>
      <c r="E5" s="6" t="n">
        <f aca="false">DATE(2024,3,3)</f>
        <v>45354</v>
      </c>
      <c r="F5" s="7" t="n">
        <f aca="false">C5*D5</f>
        <v>157.5</v>
      </c>
      <c r="G5" s="7" t="n">
        <f aca="false">ROUND(F5*0.2,2)</f>
        <v>31.5</v>
      </c>
      <c r="H5" s="4" t="str">
        <f aca="false">IF(F5&gt;500,"Yüksek",IF(F5&gt;100,"Orta","Düşük"))</f>
        <v>Orta</v>
      </c>
    </row>
    <row r="6" customFormat="false" ht="12.8" hidden="false" customHeight="false" outlineLevel="0" collapsed="false">
      <c r="A6" s="4" t="s">
        <v>16</v>
      </c>
      <c r="B6" s="4" t="s">
        <v>17</v>
      </c>
      <c r="C6" s="4" t="n">
        <v>22</v>
      </c>
      <c r="D6" s="5" t="n">
        <v>13.25</v>
      </c>
      <c r="E6" s="6" t="n">
        <f aca="false">DATE(2024,4,4)</f>
        <v>45386</v>
      </c>
      <c r="F6" s="7" t="n">
        <f aca="false">C6*D6</f>
        <v>291.5</v>
      </c>
      <c r="G6" s="7" t="n">
        <f aca="false">ROUND(F6*0.2,2)</f>
        <v>58.3</v>
      </c>
      <c r="H6" s="4" t="str">
        <f aca="false">IF(F6&gt;500,"Yüksek",IF(F6&gt;100,"Orta","Düşük"))</f>
        <v>Orta</v>
      </c>
    </row>
    <row r="7" customFormat="false" ht="12.8" hidden="false" customHeight="false" outlineLevel="0" collapsed="false">
      <c r="A7" s="4" t="s">
        <v>18</v>
      </c>
      <c r="B7" s="4" t="s">
        <v>19</v>
      </c>
      <c r="C7" s="4" t="n">
        <v>29</v>
      </c>
      <c r="D7" s="5" t="n">
        <v>16</v>
      </c>
      <c r="E7" s="6" t="n">
        <f aca="false">DATE(2024,5,5)</f>
        <v>45417</v>
      </c>
      <c r="F7" s="7" t="n">
        <f aca="false">C7*D7</f>
        <v>464</v>
      </c>
      <c r="G7" s="7" t="n">
        <f aca="false">ROUND(F7*0.2,2)</f>
        <v>92.8</v>
      </c>
      <c r="H7" s="4" t="str">
        <f aca="false">IF(F7&gt;500,"Yüksek",IF(F7&gt;100,"Orta","Düşük"))</f>
        <v>Orta</v>
      </c>
    </row>
    <row r="8" customFormat="false" ht="12.8" hidden="false" customHeight="false" outlineLevel="0" collapsed="false">
      <c r="A8" s="4" t="s">
        <v>20</v>
      </c>
      <c r="B8" s="4" t="s">
        <v>11</v>
      </c>
      <c r="C8" s="4" t="n">
        <v>36</v>
      </c>
      <c r="D8" s="5" t="n">
        <v>18.75</v>
      </c>
      <c r="E8" s="6" t="n">
        <f aca="false">DATE(2024,6,6)</f>
        <v>45449</v>
      </c>
      <c r="F8" s="7" t="n">
        <f aca="false">C8*D8</f>
        <v>675</v>
      </c>
      <c r="G8" s="7" t="n">
        <f aca="false">ROUND(F8*0.2,2)</f>
        <v>135</v>
      </c>
      <c r="H8" s="4" t="str">
        <f aca="false">IF(F8&gt;500,"Yüksek",IF(F8&gt;100,"Orta","Düşük"))</f>
        <v>Yüksek</v>
      </c>
    </row>
    <row r="9" customFormat="false" ht="12.8" hidden="false" customHeight="false" outlineLevel="0" collapsed="false">
      <c r="A9" s="4" t="s">
        <v>21</v>
      </c>
      <c r="B9" s="4" t="s">
        <v>13</v>
      </c>
      <c r="C9" s="4" t="n">
        <v>43</v>
      </c>
      <c r="D9" s="5" t="n">
        <v>21.5</v>
      </c>
      <c r="E9" s="6" t="n">
        <f aca="false">DATE(2024,7,7)</f>
        <v>45480</v>
      </c>
      <c r="F9" s="7" t="n">
        <f aca="false">C9*D9</f>
        <v>924.5</v>
      </c>
      <c r="G9" s="7" t="n">
        <f aca="false">ROUND(F9*0.2,2)</f>
        <v>184.9</v>
      </c>
      <c r="H9" s="4" t="str">
        <f aca="false">IF(F9&gt;500,"Yüksek",IF(F9&gt;100,"Orta","Düşük"))</f>
        <v>Yüksek</v>
      </c>
    </row>
    <row r="10" customFormat="false" ht="12.8" hidden="false" customHeight="false" outlineLevel="0" collapsed="false">
      <c r="A10" s="4" t="s">
        <v>22</v>
      </c>
      <c r="B10" s="4" t="s">
        <v>15</v>
      </c>
      <c r="C10" s="4" t="n">
        <v>50</v>
      </c>
      <c r="D10" s="5" t="n">
        <v>24.25</v>
      </c>
      <c r="E10" s="6" t="n">
        <f aca="false">DATE(2024,8,8)</f>
        <v>45512</v>
      </c>
      <c r="F10" s="7" t="n">
        <f aca="false">C10*D10</f>
        <v>1212.5</v>
      </c>
      <c r="G10" s="7" t="n">
        <f aca="false">ROUND(F10*0.2,2)</f>
        <v>242.5</v>
      </c>
      <c r="H10" s="4" t="str">
        <f aca="false">IF(F10&gt;500,"Yüksek",IF(F10&gt;100,"Orta","Düşük"))</f>
        <v>Yüksek</v>
      </c>
    </row>
    <row r="11" customFormat="false" ht="12.8" hidden="false" customHeight="false" outlineLevel="0" collapsed="false">
      <c r="A11" s="4" t="s">
        <v>23</v>
      </c>
      <c r="B11" s="4" t="s">
        <v>17</v>
      </c>
      <c r="C11" s="4" t="n">
        <v>7</v>
      </c>
      <c r="D11" s="5" t="n">
        <v>27</v>
      </c>
      <c r="E11" s="6" t="n">
        <f aca="false">DATE(2024,9,9)</f>
        <v>45544</v>
      </c>
      <c r="F11" s="7" t="n">
        <f aca="false">C11*D11</f>
        <v>189</v>
      </c>
      <c r="G11" s="7" t="n">
        <f aca="false">ROUND(F11*0.2,2)</f>
        <v>37.8</v>
      </c>
      <c r="H11" s="4" t="str">
        <f aca="false">IF(F11&gt;500,"Yüksek",IF(F11&gt;100,"Orta","Düşük"))</f>
        <v>Orta</v>
      </c>
    </row>
    <row r="12" customFormat="false" ht="12.8" hidden="false" customHeight="false" outlineLevel="0" collapsed="false">
      <c r="A12" s="4" t="s">
        <v>24</v>
      </c>
      <c r="B12" s="4" t="s">
        <v>19</v>
      </c>
      <c r="C12" s="4" t="n">
        <v>14</v>
      </c>
      <c r="D12" s="5" t="n">
        <v>29.75</v>
      </c>
      <c r="E12" s="6" t="n">
        <f aca="false">DATE(2024,10,10)</f>
        <v>45575</v>
      </c>
      <c r="F12" s="7" t="n">
        <f aca="false">C12*D12</f>
        <v>416.5</v>
      </c>
      <c r="G12" s="7" t="n">
        <f aca="false">ROUND(F12*0.2,2)</f>
        <v>83.3</v>
      </c>
      <c r="H12" s="4" t="str">
        <f aca="false">IF(F12&gt;500,"Yüksek",IF(F12&gt;100,"Orta","Düşük"))</f>
        <v>Orta</v>
      </c>
    </row>
    <row r="13" customFormat="false" ht="12.8" hidden="false" customHeight="false" outlineLevel="0" collapsed="false">
      <c r="A13" s="4" t="s">
        <v>10</v>
      </c>
      <c r="B13" s="4" t="s">
        <v>11</v>
      </c>
      <c r="C13" s="4" t="n">
        <v>21</v>
      </c>
      <c r="D13" s="5" t="n">
        <v>32.5</v>
      </c>
      <c r="E13" s="6" t="n">
        <f aca="false">DATE(2024,11,11)</f>
        <v>45607</v>
      </c>
      <c r="F13" s="7" t="n">
        <f aca="false">C13*D13</f>
        <v>682.5</v>
      </c>
      <c r="G13" s="7" t="n">
        <f aca="false">ROUND(F13*0.2,2)</f>
        <v>136.5</v>
      </c>
      <c r="H13" s="4" t="str">
        <f aca="false">IF(F13&gt;500,"Yüksek",IF(F13&gt;100,"Orta","Düşük"))</f>
        <v>Yüksek</v>
      </c>
    </row>
    <row r="14" customFormat="false" ht="12.8" hidden="false" customHeight="false" outlineLevel="0" collapsed="false">
      <c r="A14" s="4" t="s">
        <v>12</v>
      </c>
      <c r="B14" s="4" t="s">
        <v>13</v>
      </c>
      <c r="C14" s="4" t="n">
        <v>28</v>
      </c>
      <c r="D14" s="5" t="n">
        <v>35.25</v>
      </c>
      <c r="E14" s="6" t="n">
        <f aca="false">DATE(2024,12,12)</f>
        <v>45638</v>
      </c>
      <c r="F14" s="7" t="n">
        <f aca="false">C14*D14</f>
        <v>987</v>
      </c>
      <c r="G14" s="7" t="n">
        <f aca="false">ROUND(F14*0.2,2)</f>
        <v>197.4</v>
      </c>
      <c r="H14" s="4" t="str">
        <f aca="false">IF(F14&gt;500,"Yüksek",IF(F14&gt;100,"Orta","Düşük"))</f>
        <v>Yüksek</v>
      </c>
    </row>
    <row r="15" customFormat="false" ht="12.8" hidden="false" customHeight="false" outlineLevel="0" collapsed="false">
      <c r="A15" s="4" t="s">
        <v>14</v>
      </c>
      <c r="B15" s="4" t="s">
        <v>15</v>
      </c>
      <c r="C15" s="4" t="n">
        <v>35</v>
      </c>
      <c r="D15" s="5" t="n">
        <v>38</v>
      </c>
      <c r="E15" s="6" t="n">
        <f aca="false">DATE(2024,1,13)</f>
        <v>45304</v>
      </c>
      <c r="F15" s="7" t="n">
        <f aca="false">C15*D15</f>
        <v>1330</v>
      </c>
      <c r="G15" s="7" t="n">
        <f aca="false">ROUND(F15*0.2,2)</f>
        <v>266</v>
      </c>
      <c r="H15" s="4" t="str">
        <f aca="false">IF(F15&gt;500,"Yüksek",IF(F15&gt;100,"Orta","Düşük"))</f>
        <v>Yüksek</v>
      </c>
    </row>
    <row r="16" customFormat="false" ht="12.8" hidden="false" customHeight="false" outlineLevel="0" collapsed="false">
      <c r="A16" s="4" t="s">
        <v>16</v>
      </c>
      <c r="B16" s="4" t="s">
        <v>17</v>
      </c>
      <c r="C16" s="4" t="n">
        <v>42</v>
      </c>
      <c r="D16" s="5" t="n">
        <v>5</v>
      </c>
      <c r="E16" s="6" t="n">
        <f aca="false">DATE(2024,2,14)</f>
        <v>45336</v>
      </c>
      <c r="F16" s="7" t="n">
        <f aca="false">C16*D16</f>
        <v>210</v>
      </c>
      <c r="G16" s="7" t="n">
        <f aca="false">ROUND(F16*0.2,2)</f>
        <v>42</v>
      </c>
      <c r="H16" s="4" t="str">
        <f aca="false">IF(F16&gt;500,"Yüksek",IF(F16&gt;100,"Orta","Düşük"))</f>
        <v>Orta</v>
      </c>
    </row>
    <row r="17" customFormat="false" ht="12.8" hidden="false" customHeight="false" outlineLevel="0" collapsed="false">
      <c r="A17" s="4" t="s">
        <v>18</v>
      </c>
      <c r="B17" s="4" t="s">
        <v>19</v>
      </c>
      <c r="C17" s="4" t="n">
        <v>49</v>
      </c>
      <c r="D17" s="5" t="n">
        <v>7.75</v>
      </c>
      <c r="E17" s="6" t="n">
        <f aca="false">DATE(2024,3,15)</f>
        <v>45366</v>
      </c>
      <c r="F17" s="7" t="n">
        <f aca="false">C17*D17</f>
        <v>379.75</v>
      </c>
      <c r="G17" s="7" t="n">
        <f aca="false">ROUND(F17*0.2,2)</f>
        <v>75.95</v>
      </c>
      <c r="H17" s="4" t="str">
        <f aca="false">IF(F17&gt;500,"Yüksek",IF(F17&gt;100,"Orta","Düşük"))</f>
        <v>Orta</v>
      </c>
    </row>
    <row r="18" customFormat="false" ht="12.8" hidden="false" customHeight="false" outlineLevel="0" collapsed="false">
      <c r="A18" s="4" t="s">
        <v>20</v>
      </c>
      <c r="B18" s="4" t="s">
        <v>11</v>
      </c>
      <c r="C18" s="4" t="n">
        <v>6</v>
      </c>
      <c r="D18" s="5" t="n">
        <v>10.5</v>
      </c>
      <c r="E18" s="6" t="n">
        <f aca="false">DATE(2024,4,16)</f>
        <v>45398</v>
      </c>
      <c r="F18" s="7" t="n">
        <f aca="false">C18*D18</f>
        <v>63</v>
      </c>
      <c r="G18" s="7" t="n">
        <f aca="false">ROUND(F18*0.2,2)</f>
        <v>12.6</v>
      </c>
      <c r="H18" s="4" t="str">
        <f aca="false">IF(F18&gt;500,"Yüksek",IF(F18&gt;100,"Orta","Düşük"))</f>
        <v>Düşük</v>
      </c>
    </row>
    <row r="19" customFormat="false" ht="12.8" hidden="false" customHeight="false" outlineLevel="0" collapsed="false">
      <c r="A19" s="4" t="s">
        <v>21</v>
      </c>
      <c r="B19" s="4" t="s">
        <v>13</v>
      </c>
      <c r="C19" s="4" t="n">
        <v>13</v>
      </c>
      <c r="D19" s="5" t="n">
        <v>13.25</v>
      </c>
      <c r="E19" s="6" t="n">
        <f aca="false">DATE(2024,5,17)</f>
        <v>45429</v>
      </c>
      <c r="F19" s="7" t="n">
        <f aca="false">C19*D19</f>
        <v>172.25</v>
      </c>
      <c r="G19" s="7" t="n">
        <f aca="false">ROUND(F19*0.2,2)</f>
        <v>34.45</v>
      </c>
      <c r="H19" s="4" t="str">
        <f aca="false">IF(F19&gt;500,"Yüksek",IF(F19&gt;100,"Orta","Düşük"))</f>
        <v>Orta</v>
      </c>
    </row>
    <row r="20" customFormat="false" ht="12.8" hidden="false" customHeight="false" outlineLevel="0" collapsed="false">
      <c r="A20" s="4" t="s">
        <v>22</v>
      </c>
      <c r="B20" s="4" t="s">
        <v>15</v>
      </c>
      <c r="C20" s="4" t="n">
        <v>20</v>
      </c>
      <c r="D20" s="5" t="n">
        <v>16</v>
      </c>
      <c r="E20" s="6" t="n">
        <f aca="false">DATE(2024,6,18)</f>
        <v>45461</v>
      </c>
      <c r="F20" s="7" t="n">
        <f aca="false">C20*D20</f>
        <v>320</v>
      </c>
      <c r="G20" s="7" t="n">
        <f aca="false">ROUND(F20*0.2,2)</f>
        <v>64</v>
      </c>
      <c r="H20" s="4" t="str">
        <f aca="false">IF(F20&gt;500,"Yüksek",IF(F20&gt;100,"Orta","Düşük"))</f>
        <v>Orta</v>
      </c>
    </row>
    <row r="21" customFormat="false" ht="12.8" hidden="false" customHeight="false" outlineLevel="0" collapsed="false">
      <c r="A21" s="4" t="s">
        <v>23</v>
      </c>
      <c r="B21" s="4" t="s">
        <v>17</v>
      </c>
      <c r="C21" s="4" t="n">
        <v>27</v>
      </c>
      <c r="D21" s="5" t="n">
        <v>18.75</v>
      </c>
      <c r="E21" s="6" t="n">
        <f aca="false">DATE(2024,7,19)</f>
        <v>45492</v>
      </c>
      <c r="F21" s="7" t="n">
        <f aca="false">C21*D21</f>
        <v>506.25</v>
      </c>
      <c r="G21" s="7" t="n">
        <f aca="false">ROUND(F21*0.2,2)</f>
        <v>101.25</v>
      </c>
      <c r="H21" s="4" t="str">
        <f aca="false">IF(F21&gt;500,"Yüksek",IF(F21&gt;100,"Orta","Düşük"))</f>
        <v>Yüksek</v>
      </c>
    </row>
    <row r="22" customFormat="false" ht="12.8" hidden="false" customHeight="false" outlineLevel="0" collapsed="false">
      <c r="A22" s="4" t="s">
        <v>24</v>
      </c>
      <c r="B22" s="4" t="s">
        <v>19</v>
      </c>
      <c r="C22" s="4" t="n">
        <v>34</v>
      </c>
      <c r="D22" s="5" t="n">
        <v>21.5</v>
      </c>
      <c r="E22" s="6" t="n">
        <f aca="false">DATE(2024,8,20)</f>
        <v>45524</v>
      </c>
      <c r="F22" s="7" t="n">
        <f aca="false">C22*D22</f>
        <v>731</v>
      </c>
      <c r="G22" s="7" t="n">
        <f aca="false">ROUND(F22*0.2,2)</f>
        <v>146.2</v>
      </c>
      <c r="H22" s="4" t="str">
        <f aca="false">IF(F22&gt;500,"Yüksek",IF(F22&gt;100,"Orta","Düşük"))</f>
        <v>Yüksek</v>
      </c>
    </row>
    <row r="23" customFormat="false" ht="12.8" hidden="false" customHeight="false" outlineLevel="0" collapsed="false">
      <c r="A23" s="4" t="s">
        <v>10</v>
      </c>
      <c r="B23" s="4" t="s">
        <v>11</v>
      </c>
      <c r="C23" s="4" t="n">
        <v>41</v>
      </c>
      <c r="D23" s="5" t="n">
        <v>24.25</v>
      </c>
      <c r="E23" s="6" t="n">
        <f aca="false">DATE(2024,9,21)</f>
        <v>45556</v>
      </c>
      <c r="F23" s="7" t="n">
        <f aca="false">C23*D23</f>
        <v>994.25</v>
      </c>
      <c r="G23" s="7" t="n">
        <f aca="false">ROUND(F23*0.2,2)</f>
        <v>198.85</v>
      </c>
      <c r="H23" s="4" t="str">
        <f aca="false">IF(F23&gt;500,"Yüksek",IF(F23&gt;100,"Orta","Düşük"))</f>
        <v>Yüksek</v>
      </c>
    </row>
    <row r="24" customFormat="false" ht="12.8" hidden="false" customHeight="false" outlineLevel="0" collapsed="false">
      <c r="A24" s="4" t="s">
        <v>12</v>
      </c>
      <c r="B24" s="4" t="s">
        <v>13</v>
      </c>
      <c r="C24" s="4" t="n">
        <v>48</v>
      </c>
      <c r="D24" s="5" t="n">
        <v>27</v>
      </c>
      <c r="E24" s="6" t="n">
        <f aca="false">DATE(2024,10,22)</f>
        <v>45587</v>
      </c>
      <c r="F24" s="7" t="n">
        <f aca="false">C24*D24</f>
        <v>1296</v>
      </c>
      <c r="G24" s="7" t="n">
        <f aca="false">ROUND(F24*0.2,2)</f>
        <v>259.2</v>
      </c>
      <c r="H24" s="4" t="str">
        <f aca="false">IF(F24&gt;500,"Yüksek",IF(F24&gt;100,"Orta","Düşük"))</f>
        <v>Yüksek</v>
      </c>
    </row>
    <row r="25" customFormat="false" ht="12.8" hidden="false" customHeight="false" outlineLevel="0" collapsed="false">
      <c r="A25" s="4" t="s">
        <v>14</v>
      </c>
      <c r="B25" s="4" t="s">
        <v>15</v>
      </c>
      <c r="C25" s="4" t="n">
        <v>5</v>
      </c>
      <c r="D25" s="5" t="n">
        <v>29.75</v>
      </c>
      <c r="E25" s="6" t="n">
        <f aca="false">DATE(2024,11,23)</f>
        <v>45619</v>
      </c>
      <c r="F25" s="7" t="n">
        <f aca="false">C25*D25</f>
        <v>148.75</v>
      </c>
      <c r="G25" s="7" t="n">
        <f aca="false">ROUND(F25*0.2,2)</f>
        <v>29.75</v>
      </c>
      <c r="H25" s="4" t="str">
        <f aca="false">IF(F25&gt;500,"Yüksek",IF(F25&gt;100,"Orta","Düşük"))</f>
        <v>Orta</v>
      </c>
    </row>
    <row r="26" customFormat="false" ht="12.8" hidden="false" customHeight="false" outlineLevel="0" collapsed="false">
      <c r="A26" s="4" t="s">
        <v>16</v>
      </c>
      <c r="B26" s="4" t="s">
        <v>17</v>
      </c>
      <c r="C26" s="4" t="n">
        <v>12</v>
      </c>
      <c r="D26" s="5" t="n">
        <v>32.5</v>
      </c>
      <c r="E26" s="6" t="n">
        <f aca="false">DATE(2024,12,24)</f>
        <v>45650</v>
      </c>
      <c r="F26" s="7" t="n">
        <f aca="false">C26*D26</f>
        <v>390</v>
      </c>
      <c r="G26" s="7" t="n">
        <f aca="false">ROUND(F26*0.2,2)</f>
        <v>78</v>
      </c>
      <c r="H26" s="4" t="str">
        <f aca="false">IF(F26&gt;500,"Yüksek",IF(F26&gt;100,"Orta","Düşük"))</f>
        <v>Orta</v>
      </c>
    </row>
    <row r="27" customFormat="false" ht="12.8" hidden="false" customHeight="false" outlineLevel="0" collapsed="false">
      <c r="A27" s="4" t="s">
        <v>18</v>
      </c>
      <c r="B27" s="4" t="s">
        <v>19</v>
      </c>
      <c r="C27" s="4" t="n">
        <v>19</v>
      </c>
      <c r="D27" s="5" t="n">
        <v>35.25</v>
      </c>
      <c r="E27" s="6" t="n">
        <f aca="false">DATE(2024,1,25)</f>
        <v>45316</v>
      </c>
      <c r="F27" s="7" t="n">
        <f aca="false">C27*D27</f>
        <v>669.75</v>
      </c>
      <c r="G27" s="7" t="n">
        <f aca="false">ROUND(F27*0.2,2)</f>
        <v>133.95</v>
      </c>
      <c r="H27" s="4" t="str">
        <f aca="false">IF(F27&gt;500,"Yüksek",IF(F27&gt;100,"Orta","Düşük"))</f>
        <v>Yüksek</v>
      </c>
    </row>
    <row r="28" customFormat="false" ht="12.8" hidden="false" customHeight="false" outlineLevel="0" collapsed="false">
      <c r="A28" s="4" t="s">
        <v>20</v>
      </c>
      <c r="B28" s="4" t="s">
        <v>11</v>
      </c>
      <c r="C28" s="4" t="n">
        <v>26</v>
      </c>
      <c r="D28" s="5" t="n">
        <v>38</v>
      </c>
      <c r="E28" s="6" t="n">
        <f aca="false">DATE(2024,2,26)</f>
        <v>45348</v>
      </c>
      <c r="F28" s="7" t="n">
        <f aca="false">C28*D28</f>
        <v>988</v>
      </c>
      <c r="G28" s="7" t="n">
        <f aca="false">ROUND(F28*0.2,2)</f>
        <v>197.6</v>
      </c>
      <c r="H28" s="4" t="str">
        <f aca="false">IF(F28&gt;500,"Yüksek",IF(F28&gt;100,"Orta","Düşük"))</f>
        <v>Yüksek</v>
      </c>
    </row>
    <row r="29" customFormat="false" ht="12.8" hidden="false" customHeight="false" outlineLevel="0" collapsed="false">
      <c r="A29" s="4" t="s">
        <v>21</v>
      </c>
      <c r="B29" s="4" t="s">
        <v>13</v>
      </c>
      <c r="C29" s="4" t="n">
        <v>33</v>
      </c>
      <c r="D29" s="5" t="n">
        <v>5</v>
      </c>
      <c r="E29" s="6" t="n">
        <f aca="false">DATE(2024,3,27)</f>
        <v>45378</v>
      </c>
      <c r="F29" s="7" t="n">
        <f aca="false">C29*D29</f>
        <v>165</v>
      </c>
      <c r="G29" s="7" t="n">
        <f aca="false">ROUND(F29*0.2,2)</f>
        <v>33</v>
      </c>
      <c r="H29" s="4" t="str">
        <f aca="false">IF(F29&gt;500,"Yüksek",IF(F29&gt;100,"Orta","Düşük"))</f>
        <v>Orta</v>
      </c>
    </row>
    <row r="30" customFormat="false" ht="12.8" hidden="false" customHeight="false" outlineLevel="0" collapsed="false">
      <c r="A30" s="4" t="s">
        <v>22</v>
      </c>
      <c r="B30" s="4" t="s">
        <v>15</v>
      </c>
      <c r="C30" s="4" t="n">
        <v>40</v>
      </c>
      <c r="D30" s="5" t="n">
        <v>7.75</v>
      </c>
      <c r="E30" s="6" t="n">
        <f aca="false">DATE(2024,4,28)</f>
        <v>45410</v>
      </c>
      <c r="F30" s="7" t="n">
        <f aca="false">C30*D30</f>
        <v>310</v>
      </c>
      <c r="G30" s="7" t="n">
        <f aca="false">ROUND(F30*0.2,2)</f>
        <v>62</v>
      </c>
      <c r="H30" s="4" t="str">
        <f aca="false">IF(F30&gt;500,"Yüksek",IF(F30&gt;100,"Orta","Düşük"))</f>
        <v>Orta</v>
      </c>
    </row>
    <row r="31" customFormat="false" ht="12.8" hidden="false" customHeight="false" outlineLevel="0" collapsed="false">
      <c r="A31" s="4" t="s">
        <v>23</v>
      </c>
      <c r="B31" s="4" t="s">
        <v>17</v>
      </c>
      <c r="C31" s="4" t="n">
        <v>47</v>
      </c>
      <c r="D31" s="5" t="n">
        <v>10.5</v>
      </c>
      <c r="E31" s="6" t="n">
        <f aca="false">DATE(2024,5,1)</f>
        <v>45413</v>
      </c>
      <c r="F31" s="7" t="n">
        <f aca="false">C31*D31</f>
        <v>493.5</v>
      </c>
      <c r="G31" s="7" t="n">
        <f aca="false">ROUND(F31*0.2,2)</f>
        <v>98.7</v>
      </c>
      <c r="H31" s="4" t="str">
        <f aca="false">IF(F31&gt;500,"Yüksek",IF(F31&gt;100,"Orta","Düşük"))</f>
        <v>Orta</v>
      </c>
    </row>
    <row r="32" customFormat="false" ht="12.8" hidden="false" customHeight="false" outlineLevel="0" collapsed="false">
      <c r="A32" s="4" t="s">
        <v>24</v>
      </c>
      <c r="B32" s="4" t="s">
        <v>19</v>
      </c>
      <c r="C32" s="4" t="n">
        <v>4</v>
      </c>
      <c r="D32" s="5" t="n">
        <v>13.25</v>
      </c>
      <c r="E32" s="6" t="n">
        <f aca="false">DATE(2024,6,2)</f>
        <v>45445</v>
      </c>
      <c r="F32" s="7" t="n">
        <f aca="false">C32*D32</f>
        <v>53</v>
      </c>
      <c r="G32" s="7" t="n">
        <f aca="false">ROUND(F32*0.2,2)</f>
        <v>10.6</v>
      </c>
      <c r="H32" s="4" t="str">
        <f aca="false">IF(F32&gt;500,"Yüksek",IF(F32&gt;100,"Orta","Düşük"))</f>
        <v>Düşük</v>
      </c>
    </row>
    <row r="33" customFormat="false" ht="12.8" hidden="false" customHeight="false" outlineLevel="0" collapsed="false">
      <c r="A33" s="4" t="s">
        <v>10</v>
      </c>
      <c r="B33" s="4" t="s">
        <v>11</v>
      </c>
      <c r="C33" s="4" t="n">
        <v>11</v>
      </c>
      <c r="D33" s="5" t="n">
        <v>16</v>
      </c>
      <c r="E33" s="6" t="n">
        <f aca="false">DATE(2024,7,3)</f>
        <v>45476</v>
      </c>
      <c r="F33" s="7" t="n">
        <f aca="false">C33*D33</f>
        <v>176</v>
      </c>
      <c r="G33" s="7" t="n">
        <f aca="false">ROUND(F33*0.2,2)</f>
        <v>35.2</v>
      </c>
      <c r="H33" s="4" t="str">
        <f aca="false">IF(F33&gt;500,"Yüksek",IF(F33&gt;100,"Orta","Düşük"))</f>
        <v>Orta</v>
      </c>
    </row>
    <row r="34" customFormat="false" ht="12.8" hidden="false" customHeight="false" outlineLevel="0" collapsed="false">
      <c r="A34" s="4" t="s">
        <v>12</v>
      </c>
      <c r="B34" s="4" t="s">
        <v>13</v>
      </c>
      <c r="C34" s="4" t="n">
        <v>18</v>
      </c>
      <c r="D34" s="5" t="n">
        <v>18.75</v>
      </c>
      <c r="E34" s="6" t="n">
        <f aca="false">DATE(2024,8,4)</f>
        <v>45508</v>
      </c>
      <c r="F34" s="7" t="n">
        <f aca="false">C34*D34</f>
        <v>337.5</v>
      </c>
      <c r="G34" s="7" t="n">
        <f aca="false">ROUND(F34*0.2,2)</f>
        <v>67.5</v>
      </c>
      <c r="H34" s="4" t="str">
        <f aca="false">IF(F34&gt;500,"Yüksek",IF(F34&gt;100,"Orta","Düşük"))</f>
        <v>Orta</v>
      </c>
    </row>
    <row r="35" customFormat="false" ht="12.8" hidden="false" customHeight="false" outlineLevel="0" collapsed="false">
      <c r="A35" s="4" t="s">
        <v>14</v>
      </c>
      <c r="B35" s="4" t="s">
        <v>15</v>
      </c>
      <c r="C35" s="4" t="n">
        <v>25</v>
      </c>
      <c r="D35" s="5" t="n">
        <v>21.5</v>
      </c>
      <c r="E35" s="6" t="n">
        <f aca="false">DATE(2024,9,5)</f>
        <v>45540</v>
      </c>
      <c r="F35" s="7" t="n">
        <f aca="false">C35*D35</f>
        <v>537.5</v>
      </c>
      <c r="G35" s="7" t="n">
        <f aca="false">ROUND(F35*0.2,2)</f>
        <v>107.5</v>
      </c>
      <c r="H35" s="4" t="str">
        <f aca="false">IF(F35&gt;500,"Yüksek",IF(F35&gt;100,"Orta","Düşük"))</f>
        <v>Yüksek</v>
      </c>
    </row>
    <row r="36" customFormat="false" ht="12.8" hidden="false" customHeight="false" outlineLevel="0" collapsed="false">
      <c r="A36" s="4" t="s">
        <v>16</v>
      </c>
      <c r="B36" s="4" t="s">
        <v>17</v>
      </c>
      <c r="C36" s="4" t="n">
        <v>32</v>
      </c>
      <c r="D36" s="5" t="n">
        <v>24.25</v>
      </c>
      <c r="E36" s="6" t="n">
        <f aca="false">DATE(2024,10,6)</f>
        <v>45571</v>
      </c>
      <c r="F36" s="7" t="n">
        <f aca="false">C36*D36</f>
        <v>776</v>
      </c>
      <c r="G36" s="7" t="n">
        <f aca="false">ROUND(F36*0.2,2)</f>
        <v>155.2</v>
      </c>
      <c r="H36" s="4" t="str">
        <f aca="false">IF(F36&gt;500,"Yüksek",IF(F36&gt;100,"Orta","Düşük"))</f>
        <v>Yüksek</v>
      </c>
    </row>
    <row r="37" customFormat="false" ht="12.8" hidden="false" customHeight="false" outlineLevel="0" collapsed="false">
      <c r="A37" s="4" t="s">
        <v>18</v>
      </c>
      <c r="B37" s="4" t="s">
        <v>19</v>
      </c>
      <c r="C37" s="4" t="n">
        <v>39</v>
      </c>
      <c r="D37" s="5" t="n">
        <v>27</v>
      </c>
      <c r="E37" s="6" t="n">
        <f aca="false">DATE(2024,11,7)</f>
        <v>45603</v>
      </c>
      <c r="F37" s="7" t="n">
        <f aca="false">C37*D37</f>
        <v>1053</v>
      </c>
      <c r="G37" s="7" t="n">
        <f aca="false">ROUND(F37*0.2,2)</f>
        <v>210.6</v>
      </c>
      <c r="H37" s="4" t="str">
        <f aca="false">IF(F37&gt;500,"Yüksek",IF(F37&gt;100,"Orta","Düşük"))</f>
        <v>Yüksek</v>
      </c>
    </row>
    <row r="38" customFormat="false" ht="12.8" hidden="false" customHeight="false" outlineLevel="0" collapsed="false">
      <c r="A38" s="4" t="s">
        <v>20</v>
      </c>
      <c r="B38" s="4" t="s">
        <v>11</v>
      </c>
      <c r="C38" s="4" t="n">
        <v>46</v>
      </c>
      <c r="D38" s="5" t="n">
        <v>29.75</v>
      </c>
      <c r="E38" s="6" t="n">
        <f aca="false">DATE(2024,12,8)</f>
        <v>45634</v>
      </c>
      <c r="F38" s="7" t="n">
        <f aca="false">C38*D38</f>
        <v>1368.5</v>
      </c>
      <c r="G38" s="7" t="n">
        <f aca="false">ROUND(F38*0.2,2)</f>
        <v>273.7</v>
      </c>
      <c r="H38" s="4" t="str">
        <f aca="false">IF(F38&gt;500,"Yüksek",IF(F38&gt;100,"Orta","Düşük"))</f>
        <v>Yüksek</v>
      </c>
    </row>
    <row r="39" customFormat="false" ht="12.8" hidden="false" customHeight="false" outlineLevel="0" collapsed="false">
      <c r="A39" s="4" t="s">
        <v>21</v>
      </c>
      <c r="B39" s="4" t="s">
        <v>13</v>
      </c>
      <c r="C39" s="4" t="n">
        <v>3</v>
      </c>
      <c r="D39" s="5" t="n">
        <v>32.5</v>
      </c>
      <c r="E39" s="6" t="n">
        <f aca="false">DATE(2024,1,9)</f>
        <v>45300</v>
      </c>
      <c r="F39" s="7" t="n">
        <f aca="false">C39*D39</f>
        <v>97.5</v>
      </c>
      <c r="G39" s="7" t="n">
        <f aca="false">ROUND(F39*0.2,2)</f>
        <v>19.5</v>
      </c>
      <c r="H39" s="4" t="str">
        <f aca="false">IF(F39&gt;500,"Yüksek",IF(F39&gt;100,"Orta","Düşük"))</f>
        <v>Düşük</v>
      </c>
    </row>
    <row r="40" customFormat="false" ht="12.8" hidden="false" customHeight="false" outlineLevel="0" collapsed="false">
      <c r="A40" s="4" t="s">
        <v>22</v>
      </c>
      <c r="B40" s="4" t="s">
        <v>15</v>
      </c>
      <c r="C40" s="4" t="n">
        <v>10</v>
      </c>
      <c r="D40" s="5" t="n">
        <v>35.25</v>
      </c>
      <c r="E40" s="6" t="n">
        <f aca="false">DATE(2024,2,10)</f>
        <v>45332</v>
      </c>
      <c r="F40" s="7" t="n">
        <f aca="false">C40*D40</f>
        <v>352.5</v>
      </c>
      <c r="G40" s="7" t="n">
        <f aca="false">ROUND(F40*0.2,2)</f>
        <v>70.5</v>
      </c>
      <c r="H40" s="4" t="str">
        <f aca="false">IF(F40&gt;500,"Yüksek",IF(F40&gt;100,"Orta","Düşük"))</f>
        <v>Orta</v>
      </c>
    </row>
    <row r="41" customFormat="false" ht="12.8" hidden="false" customHeight="false" outlineLevel="0" collapsed="false">
      <c r="A41" s="4" t="s">
        <v>23</v>
      </c>
      <c r="B41" s="4" t="s">
        <v>17</v>
      </c>
      <c r="C41" s="4" t="n">
        <v>17</v>
      </c>
      <c r="D41" s="5" t="n">
        <v>38</v>
      </c>
      <c r="E41" s="6" t="n">
        <f aca="false">DATE(2024,3,11)</f>
        <v>45362</v>
      </c>
      <c r="F41" s="7" t="n">
        <f aca="false">C41*D41</f>
        <v>646</v>
      </c>
      <c r="G41" s="7" t="n">
        <f aca="false">ROUND(F41*0.2,2)</f>
        <v>129.2</v>
      </c>
      <c r="H41" s="4" t="str">
        <f aca="false">IF(F41&gt;500,"Yüksek",IF(F41&gt;100,"Orta","Düşük"))</f>
        <v>Yüksek</v>
      </c>
    </row>
    <row r="42" customFormat="false" ht="12.8" hidden="false" customHeight="false" outlineLevel="0" collapsed="false">
      <c r="A42" s="4" t="s">
        <v>24</v>
      </c>
      <c r="B42" s="4" t="s">
        <v>19</v>
      </c>
      <c r="C42" s="4" t="n">
        <v>24</v>
      </c>
      <c r="D42" s="5" t="n">
        <v>5</v>
      </c>
      <c r="E42" s="6" t="n">
        <f aca="false">DATE(2024,4,12)</f>
        <v>45394</v>
      </c>
      <c r="F42" s="7" t="n">
        <f aca="false">C42*D42</f>
        <v>120</v>
      </c>
      <c r="G42" s="7" t="n">
        <f aca="false">ROUND(F42*0.2,2)</f>
        <v>24</v>
      </c>
      <c r="H42" s="4" t="str">
        <f aca="false">IF(F42&gt;500,"Yüksek",IF(F42&gt;100,"Orta","Düşük"))</f>
        <v>Orta</v>
      </c>
    </row>
    <row r="43" customFormat="false" ht="12.8" hidden="false" customHeight="false" outlineLevel="0" collapsed="false">
      <c r="A43" s="4" t="s">
        <v>10</v>
      </c>
      <c r="B43" s="4" t="s">
        <v>11</v>
      </c>
      <c r="C43" s="4" t="n">
        <v>31</v>
      </c>
      <c r="D43" s="5" t="n">
        <v>7.75</v>
      </c>
      <c r="E43" s="6" t="n">
        <f aca="false">DATE(2024,5,13)</f>
        <v>45425</v>
      </c>
      <c r="F43" s="7" t="n">
        <f aca="false">C43*D43</f>
        <v>240.25</v>
      </c>
      <c r="G43" s="7" t="n">
        <f aca="false">ROUND(F43*0.2,2)</f>
        <v>48.05</v>
      </c>
      <c r="H43" s="4" t="str">
        <f aca="false">IF(F43&gt;500,"Yüksek",IF(F43&gt;100,"Orta","Düşük"))</f>
        <v>Orta</v>
      </c>
    </row>
    <row r="44" customFormat="false" ht="12.8" hidden="false" customHeight="false" outlineLevel="0" collapsed="false">
      <c r="A44" s="4" t="s">
        <v>12</v>
      </c>
      <c r="B44" s="4" t="s">
        <v>13</v>
      </c>
      <c r="C44" s="4" t="n">
        <v>38</v>
      </c>
      <c r="D44" s="5" t="n">
        <v>10.5</v>
      </c>
      <c r="E44" s="6" t="n">
        <f aca="false">DATE(2024,6,14)</f>
        <v>45457</v>
      </c>
      <c r="F44" s="7" t="n">
        <f aca="false">C44*D44</f>
        <v>399</v>
      </c>
      <c r="G44" s="7" t="n">
        <f aca="false">ROUND(F44*0.2,2)</f>
        <v>79.8</v>
      </c>
      <c r="H44" s="4" t="str">
        <f aca="false">IF(F44&gt;500,"Yüksek",IF(F44&gt;100,"Orta","Düşük"))</f>
        <v>Orta</v>
      </c>
    </row>
    <row r="45" customFormat="false" ht="12.8" hidden="false" customHeight="false" outlineLevel="0" collapsed="false">
      <c r="A45" s="4" t="s">
        <v>14</v>
      </c>
      <c r="B45" s="4" t="s">
        <v>15</v>
      </c>
      <c r="C45" s="4" t="n">
        <v>45</v>
      </c>
      <c r="D45" s="5" t="n">
        <v>13.25</v>
      </c>
      <c r="E45" s="6" t="n">
        <f aca="false">DATE(2024,7,15)</f>
        <v>45488</v>
      </c>
      <c r="F45" s="7" t="n">
        <f aca="false">C45*D45</f>
        <v>596.25</v>
      </c>
      <c r="G45" s="7" t="n">
        <f aca="false">ROUND(F45*0.2,2)</f>
        <v>119.25</v>
      </c>
      <c r="H45" s="4" t="str">
        <f aca="false">IF(F45&gt;500,"Yüksek",IF(F45&gt;100,"Orta","Düşük"))</f>
        <v>Yüksek</v>
      </c>
    </row>
    <row r="46" customFormat="false" ht="12.8" hidden="false" customHeight="false" outlineLevel="0" collapsed="false">
      <c r="A46" s="4" t="s">
        <v>16</v>
      </c>
      <c r="B46" s="4" t="s">
        <v>17</v>
      </c>
      <c r="C46" s="4" t="n">
        <v>2</v>
      </c>
      <c r="D46" s="5" t="n">
        <v>16</v>
      </c>
      <c r="E46" s="6" t="n">
        <f aca="false">DATE(2024,8,16)</f>
        <v>45520</v>
      </c>
      <c r="F46" s="7" t="n">
        <f aca="false">C46*D46</f>
        <v>32</v>
      </c>
      <c r="G46" s="7" t="n">
        <f aca="false">ROUND(F46*0.2,2)</f>
        <v>6.4</v>
      </c>
      <c r="H46" s="4" t="str">
        <f aca="false">IF(F46&gt;500,"Yüksek",IF(F46&gt;100,"Orta","Düşük"))</f>
        <v>Düşük</v>
      </c>
    </row>
    <row r="47" customFormat="false" ht="12.8" hidden="false" customHeight="false" outlineLevel="0" collapsed="false">
      <c r="A47" s="4" t="s">
        <v>18</v>
      </c>
      <c r="B47" s="4" t="s">
        <v>19</v>
      </c>
      <c r="C47" s="4" t="n">
        <v>9</v>
      </c>
      <c r="D47" s="5" t="n">
        <v>18.75</v>
      </c>
      <c r="E47" s="6" t="n">
        <f aca="false">DATE(2024,9,17)</f>
        <v>45552</v>
      </c>
      <c r="F47" s="7" t="n">
        <f aca="false">C47*D47</f>
        <v>168.75</v>
      </c>
      <c r="G47" s="7" t="n">
        <f aca="false">ROUND(F47*0.2,2)</f>
        <v>33.75</v>
      </c>
      <c r="H47" s="4" t="str">
        <f aca="false">IF(F47&gt;500,"Yüksek",IF(F47&gt;100,"Orta","Düşük"))</f>
        <v>Orta</v>
      </c>
    </row>
    <row r="48" customFormat="false" ht="12.8" hidden="false" customHeight="false" outlineLevel="0" collapsed="false">
      <c r="A48" s="4" t="s">
        <v>20</v>
      </c>
      <c r="B48" s="4" t="s">
        <v>11</v>
      </c>
      <c r="C48" s="4" t="n">
        <v>16</v>
      </c>
      <c r="D48" s="5" t="n">
        <v>21.5</v>
      </c>
      <c r="E48" s="6" t="n">
        <f aca="false">DATE(2024,10,18)</f>
        <v>45583</v>
      </c>
      <c r="F48" s="7" t="n">
        <f aca="false">C48*D48</f>
        <v>344</v>
      </c>
      <c r="G48" s="7" t="n">
        <f aca="false">ROUND(F48*0.2,2)</f>
        <v>68.8</v>
      </c>
      <c r="H48" s="4" t="str">
        <f aca="false">IF(F48&gt;500,"Yüksek",IF(F48&gt;100,"Orta","Düşük"))</f>
        <v>Orta</v>
      </c>
    </row>
    <row r="49" customFormat="false" ht="12.8" hidden="false" customHeight="false" outlineLevel="0" collapsed="false">
      <c r="A49" s="4" t="s">
        <v>21</v>
      </c>
      <c r="B49" s="4" t="s">
        <v>13</v>
      </c>
      <c r="C49" s="4" t="n">
        <v>23</v>
      </c>
      <c r="D49" s="5" t="n">
        <v>24.25</v>
      </c>
      <c r="E49" s="6" t="n">
        <f aca="false">DATE(2024,11,19)</f>
        <v>45615</v>
      </c>
      <c r="F49" s="7" t="n">
        <f aca="false">C49*D49</f>
        <v>557.75</v>
      </c>
      <c r="G49" s="7" t="n">
        <f aca="false">ROUND(F49*0.2,2)</f>
        <v>111.55</v>
      </c>
      <c r="H49" s="4" t="str">
        <f aca="false">IF(F49&gt;500,"Yüksek",IF(F49&gt;100,"Orta","Düşük"))</f>
        <v>Yüksek</v>
      </c>
    </row>
    <row r="50" customFormat="false" ht="12.8" hidden="false" customHeight="false" outlineLevel="0" collapsed="false">
      <c r="A50" s="4" t="s">
        <v>22</v>
      </c>
      <c r="B50" s="4" t="s">
        <v>15</v>
      </c>
      <c r="C50" s="4" t="n">
        <v>30</v>
      </c>
      <c r="D50" s="5" t="n">
        <v>27</v>
      </c>
      <c r="E50" s="6" t="n">
        <f aca="false">DATE(2024,12,20)</f>
        <v>45646</v>
      </c>
      <c r="F50" s="7" t="n">
        <f aca="false">C50*D50</f>
        <v>810</v>
      </c>
      <c r="G50" s="7" t="n">
        <f aca="false">ROUND(F50*0.2,2)</f>
        <v>162</v>
      </c>
      <c r="H50" s="4" t="str">
        <f aca="false">IF(F50&gt;500,"Yüksek",IF(F50&gt;100,"Orta","Düşük"))</f>
        <v>Yüksek</v>
      </c>
    </row>
    <row r="51" customFormat="false" ht="12.8" hidden="false" customHeight="false" outlineLevel="0" collapsed="false">
      <c r="A51" s="4" t="s">
        <v>23</v>
      </c>
      <c r="B51" s="4" t="s">
        <v>17</v>
      </c>
      <c r="C51" s="4" t="n">
        <v>37</v>
      </c>
      <c r="D51" s="5" t="n">
        <v>29.75</v>
      </c>
      <c r="E51" s="6" t="n">
        <f aca="false">DATE(2024,1,21)</f>
        <v>45312</v>
      </c>
      <c r="F51" s="7" t="n">
        <f aca="false">C51*D51</f>
        <v>1100.75</v>
      </c>
      <c r="G51" s="7" t="n">
        <f aca="false">ROUND(F51*0.2,2)</f>
        <v>220.15</v>
      </c>
      <c r="H51" s="4" t="str">
        <f aca="false">IF(F51&gt;500,"Yüksek",IF(F51&gt;100,"Orta","Düşük"))</f>
        <v>Yüksek</v>
      </c>
    </row>
    <row r="52" customFormat="false" ht="12.8" hidden="false" customHeight="false" outlineLevel="0" collapsed="false">
      <c r="A52" s="4" t="s">
        <v>24</v>
      </c>
      <c r="B52" s="4" t="s">
        <v>19</v>
      </c>
      <c r="C52" s="4" t="n">
        <v>44</v>
      </c>
      <c r="D52" s="5" t="n">
        <v>32.5</v>
      </c>
      <c r="E52" s="6" t="n">
        <f aca="false">DATE(2024,2,22)</f>
        <v>45344</v>
      </c>
      <c r="F52" s="7" t="n">
        <f aca="false">C52*D52</f>
        <v>1430</v>
      </c>
      <c r="G52" s="7" t="n">
        <f aca="false">ROUND(F52*0.2,2)</f>
        <v>286</v>
      </c>
      <c r="H52" s="4" t="str">
        <f aca="false">IF(F52&gt;500,"Yüksek",IF(F52&gt;100,"Orta","Düşük"))</f>
        <v>Yüksek</v>
      </c>
    </row>
    <row r="53" customFormat="false" ht="12.8" hidden="false" customHeight="false" outlineLevel="0" collapsed="false">
      <c r="A53" s="8" t="s">
        <v>25</v>
      </c>
      <c r="B53" s="8"/>
      <c r="C53" s="8" t="n">
        <f aca="false">SUM(C3:C52)</f>
        <v>1275</v>
      </c>
      <c r="D53" s="8"/>
      <c r="E53" s="8"/>
      <c r="F53" s="9" t="n">
        <f aca="false">SUM(F3:F52)</f>
        <v>26430.75</v>
      </c>
      <c r="G53" s="9" t="n">
        <f aca="false">SUBTOTAL(9,G3:G52)</f>
        <v>5286.15</v>
      </c>
      <c r="H53" s="8"/>
    </row>
    <row r="54" customFormat="false" ht="12.8" hidden="false" customHeight="false" outlineLevel="0" collapsed="false">
      <c r="A54" s="0" t="s">
        <v>26</v>
      </c>
      <c r="F54" s="10" t="n">
        <f aca="false">AVERAGE(F3:F52)</f>
        <v>528.615</v>
      </c>
      <c r="G54" s="10"/>
    </row>
    <row r="55" customFormat="false" ht="12.8" hidden="false" customHeight="false" outlineLevel="0" collapsed="false">
      <c r="A55" s="0" t="s">
        <v>27</v>
      </c>
      <c r="F55" s="10" t="n">
        <f aca="false">SUMIF(A3:A52,"Çay",C3:C52)</f>
        <v>105</v>
      </c>
      <c r="G55" s="10"/>
    </row>
    <row r="56" customFormat="false" ht="12.8" hidden="false" customHeight="false" outlineLevel="0" collapsed="false">
      <c r="A56" s="0" t="s">
        <v>28</v>
      </c>
      <c r="F56" s="10" t="n">
        <f aca="false">COUNTIF(H3:H52,"Yüksek")</f>
        <v>22</v>
      </c>
      <c r="G56" s="10"/>
    </row>
    <row r="57" customFormat="false" ht="12.8" hidden="false" customHeight="false" outlineLevel="0" collapsed="false">
      <c r="A57" s="0" t="s">
        <v>29</v>
      </c>
      <c r="F57" s="0" t="n">
        <f aca="false">MAX(F3:F52)</f>
        <v>1430</v>
      </c>
    </row>
  </sheetData>
  <mergeCells count="1">
    <mergeCell ref="A1:H1"/>
  </mergeCells>
  <conditionalFormatting sqref="F3:F52">
    <cfRule type="cellIs" priority="2" operator="greaterThan" aboveAverage="0" equalAverage="0" bottom="0" percent="0" rank="0" text="" dxfId="4">
      <formula>500</formula>
    </cfRule>
  </conditionalFormatting>
  <dataValidations count="1">
    <dataValidation allowBlank="true" errorStyle="stop" operator="equal" showDropDown="false" showErrorMessage="false" showInputMessage="false" sqref="I3:I30" type="list">
      <formula1>"Evet,Hayır"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  <legacyDrawing r:id="rId3"/>
  <tableParts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30</v>
      </c>
      <c r="B1" s="10" t="n">
        <f aca="false">Satışlar!F53</f>
        <v>26430.75</v>
      </c>
    </row>
    <row r="2" customFormat="false" ht="12.8" hidden="false" customHeight="false" outlineLevel="0" collapsed="false">
      <c r="A2" s="0" t="s">
        <v>31</v>
      </c>
      <c r="B2" s="11" t="n">
        <f aca="false">B1*1.2</f>
        <v>31716.9</v>
      </c>
    </row>
    <row r="3" customFormat="false" ht="12.8" hidden="false" customHeight="false" outlineLevel="0" collapsed="false">
      <c r="A3" s="0" t="s">
        <v>32</v>
      </c>
      <c r="B3" s="11" t="n">
        <f aca="false">VLOOKUP("Kahve",Satışlar!A3:F52,6,0)</f>
        <v>291.5</v>
      </c>
    </row>
    <row r="4" customFormat="false" ht="12.8" hidden="false" customHeight="false" outlineLevel="0" collapsed="false">
      <c r="A4" s="0" t="s">
        <v>33</v>
      </c>
      <c r="B4" s="11" t="str">
        <f aca="false">INDEX(Satışlar!B3:B52,MATCH("Süt",Satışlar!A3:A52,0))</f>
        <v>Çanakkale</v>
      </c>
    </row>
    <row r="5" customFormat="false" ht="12.8" hidden="false" customHeight="false" outlineLevel="0" collapsed="false">
      <c r="A5" s="0" t="s">
        <v>34</v>
      </c>
      <c r="B5" s="11" t="str">
        <f aca="false">CONCATENATE("Toplam: ",TEXT(B1,"0.00"))</f>
        <v>Toplam: 26430.75</v>
      </c>
    </row>
    <row r="6" customFormat="false" ht="12.8" hidden="false" customHeight="false" outlineLevel="0" collapsed="false">
      <c r="A6" s="0" t="s">
        <v>35</v>
      </c>
      <c r="B6" s="11" t="str">
        <f aca="false">UPPER("istanbul")</f>
        <v>ISTANBUL</v>
      </c>
    </row>
    <row r="7" customFormat="false" ht="12.8" hidden="false" customHeight="false" outlineLevel="0" collapsed="false">
      <c r="A7" s="0" t="s">
        <v>36</v>
      </c>
      <c r="B7" s="11" t="n">
        <f aca="false">DATE(2024,12,31)-DATE(2024,1,1)</f>
        <v>365</v>
      </c>
    </row>
    <row r="8" customFormat="false" ht="12.8" hidden="false" customHeight="false" outlineLevel="0" collapsed="false">
      <c r="A8" s="0" t="s">
        <v>37</v>
      </c>
      <c r="B8" s="11" t="n">
        <f aca="false">SUMPRODUCT(Satışlar!C3:C22,Satışlar!D3:D22)</f>
        <v>9779.25</v>
      </c>
    </row>
    <row r="9" customFormat="false" ht="12.8" hidden="false" customHeight="false" outlineLevel="0" collapsed="false">
      <c r="A9" s="0" t="s">
        <v>38</v>
      </c>
      <c r="B9" s="11" t="n">
        <f aca="false">IFERROR(1/0,-1)</f>
        <v>-1</v>
      </c>
    </row>
    <row r="10" customFormat="false" ht="12.8" hidden="false" customHeight="false" outlineLevel="0" collapsed="false">
      <c r="A10" s="0" t="s">
        <v>39</v>
      </c>
      <c r="B10" s="11" t="n">
        <f aca="false">AVERAGE(Fiyatlar)</f>
        <v>20.895</v>
      </c>
    </row>
    <row r="11" customFormat="false" ht="12.8" hidden="false" customHeight="false" outlineLevel="0" collapsed="false">
      <c r="A11" s="0" t="s">
        <v>40</v>
      </c>
      <c r="B11" s="11" t="n">
        <f aca="false">ROUNDUP(PI()*1000,2)</f>
        <v>3141.6</v>
      </c>
    </row>
    <row r="12" customFormat="false" ht="12.8" hidden="false" customHeight="false" outlineLevel="0" collapsed="false">
      <c r="A12" s="0" t="s">
        <v>41</v>
      </c>
      <c r="B12" s="12" t="b">
        <f aca="false">AND(B1&gt;0,OR(B2&lt;0,TRUE()))</f>
        <v>1</v>
      </c>
    </row>
    <row r="13" customFormat="false" ht="12.8" hidden="false" customHeight="false" outlineLevel="0" collapsed="false">
      <c r="A13" s="0" t="s">
        <v>42</v>
      </c>
      <c r="B13" s="11" t="n">
        <f aca="false">MONTH(DATE(2024,7,4))</f>
        <v>7</v>
      </c>
    </row>
    <row r="14" customFormat="false" ht="12.8" hidden="false" customHeight="false" outlineLevel="0" collapsed="false">
      <c r="A14" s="0" t="s">
        <v>43</v>
      </c>
      <c r="B14" s="11" t="e">
        <f aca="false">1/0</f>
        <v>#DIV/0!</v>
      </c>
    </row>
    <row r="15" customFormat="false" ht="12.8" hidden="false" customHeight="false" outlineLevel="0" collapsed="false">
      <c r="A15" s="0" t="s">
        <v>44</v>
      </c>
      <c r="B15" s="11" t="e">
        <f aca="false">VLOOKUP("Yok",Satışlar!A3:F10,2,0)</f>
        <v>#N/A</v>
      </c>
    </row>
    <row r="16" customFormat="false" ht="12.8" hidden="false" customHeight="false" outlineLevel="0" collapsed="false">
      <c r="A16" s="0" t="s">
        <v>45</v>
      </c>
      <c r="B16" s="11" t="n">
        <f aca="false">STDEV(Satışlar!F3:F52)</f>
        <v>399.862585484574</v>
      </c>
    </row>
    <row r="17" customFormat="false" ht="12.8" hidden="false" customHeight="false" outlineLevel="0" collapsed="false">
      <c r="A17" s="0" t="s">
        <v>46</v>
      </c>
      <c r="B17" s="11" t="n">
        <f aca="false">MEDIAN(Satışlar!C3:C52)</f>
        <v>25.5</v>
      </c>
    </row>
    <row r="18" customFormat="false" ht="12.8" hidden="false" customHeight="false" outlineLevel="0" collapsed="false">
      <c r="A18" s="0" t="s">
        <v>47</v>
      </c>
      <c r="B18" s="12" t="b">
        <f aca="false">TRUE()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1</v>
      </c>
      <c r="B1" s="0" t="n">
        <f aca="false">A200</f>
        <v>631.601785182995</v>
      </c>
    </row>
    <row r="2" customFormat="false" ht="12.8" hidden="false" customHeight="false" outlineLevel="0" collapsed="false">
      <c r="A2" s="0" t="n">
        <f aca="false">A1*1.01+1</f>
        <v>2.01</v>
      </c>
      <c r="C2" s="13" t="s">
        <v>48</v>
      </c>
      <c r="D2" s="13"/>
      <c r="E2" s="13"/>
    </row>
    <row r="3" customFormat="false" ht="12.8" hidden="false" customHeight="false" outlineLevel="0" collapsed="false">
      <c r="A3" s="0" t="n">
        <f aca="false">A2*1.01+1</f>
        <v>3.0301</v>
      </c>
      <c r="C3" s="13"/>
      <c r="D3" s="13"/>
      <c r="E3" s="13"/>
    </row>
    <row r="4" customFormat="false" ht="12.8" hidden="false" customHeight="false" outlineLevel="0" collapsed="false">
      <c r="A4" s="0" t="n">
        <f aca="false">A3*1.01+1</f>
        <v>4.060401</v>
      </c>
      <c r="C4" s="13"/>
      <c r="D4" s="13"/>
      <c r="E4" s="13"/>
    </row>
    <row r="5" customFormat="false" ht="12.8" hidden="false" customHeight="false" outlineLevel="0" collapsed="false">
      <c r="A5" s="0" t="n">
        <f aca="false">A4*1.01+1</f>
        <v>5.10100501</v>
      </c>
    </row>
    <row r="6" customFormat="false" ht="12.8" hidden="false" customHeight="false" outlineLevel="0" collapsed="false">
      <c r="A6" s="0" t="n">
        <f aca="false">A5*1.01+1</f>
        <v>6.1520150601</v>
      </c>
      <c r="C6" s="13" t="s">
        <v>49</v>
      </c>
    </row>
    <row r="7" customFormat="false" ht="12.8" hidden="false" customHeight="false" outlineLevel="0" collapsed="false">
      <c r="A7" s="0" t="n">
        <f aca="false">A6*1.01+1</f>
        <v>7.213535210701</v>
      </c>
      <c r="C7" s="13"/>
    </row>
    <row r="8" customFormat="false" ht="12.8" hidden="false" customHeight="false" outlineLevel="0" collapsed="false">
      <c r="A8" s="0" t="n">
        <f aca="false">A7*1.01+1</f>
        <v>8.28567056280801</v>
      </c>
      <c r="C8" s="13"/>
    </row>
    <row r="9" customFormat="false" ht="12.8" hidden="false" customHeight="false" outlineLevel="0" collapsed="false">
      <c r="A9" s="0" t="n">
        <f aca="false">A8*1.01+1</f>
        <v>9.36852726843609</v>
      </c>
      <c r="C9" s="13"/>
    </row>
    <row r="10" customFormat="false" ht="12.8" hidden="false" customHeight="false" outlineLevel="0" collapsed="false">
      <c r="A10" s="0" t="n">
        <f aca="false">A9*1.01+1</f>
        <v>10.4622125411205</v>
      </c>
    </row>
    <row r="11" customFormat="false" ht="12.8" hidden="false" customHeight="false" outlineLevel="0" collapsed="false">
      <c r="A11" s="0" t="n">
        <f aca="false">A10*1.01+1</f>
        <v>11.5668346665317</v>
      </c>
    </row>
    <row r="12" customFormat="false" ht="12.8" hidden="false" customHeight="false" outlineLevel="0" collapsed="false">
      <c r="A12" s="0" t="n">
        <f aca="false">A11*1.01+1</f>
        <v>12.682503013197</v>
      </c>
    </row>
    <row r="13" customFormat="false" ht="12.8" hidden="false" customHeight="false" outlineLevel="0" collapsed="false">
      <c r="A13" s="0" t="n">
        <f aca="false">A12*1.01+1</f>
        <v>13.8093280433289</v>
      </c>
    </row>
    <row r="14" customFormat="false" ht="12.8" hidden="false" customHeight="false" outlineLevel="0" collapsed="false">
      <c r="A14" s="0" t="n">
        <f aca="false">A13*1.01+1</f>
        <v>14.9474213237622</v>
      </c>
    </row>
    <row r="15" customFormat="false" ht="12.8" hidden="false" customHeight="false" outlineLevel="0" collapsed="false">
      <c r="A15" s="0" t="n">
        <f aca="false">A14*1.01+1</f>
        <v>16.0968955369999</v>
      </c>
    </row>
    <row r="16" customFormat="false" ht="12.8" hidden="false" customHeight="false" outlineLevel="0" collapsed="false">
      <c r="A16" s="0" t="n">
        <f aca="false">A15*1.01+1</f>
        <v>17.2578644923699</v>
      </c>
    </row>
    <row r="17" customFormat="false" ht="12.8" hidden="false" customHeight="false" outlineLevel="0" collapsed="false">
      <c r="A17" s="0" t="n">
        <f aca="false">A16*1.01+1</f>
        <v>18.4304431372936</v>
      </c>
    </row>
    <row r="18" customFormat="false" ht="12.8" hidden="false" customHeight="false" outlineLevel="0" collapsed="false">
      <c r="A18" s="0" t="n">
        <f aca="false">A17*1.01+1</f>
        <v>19.6147475686665</v>
      </c>
    </row>
    <row r="19" customFormat="false" ht="12.8" hidden="false" customHeight="false" outlineLevel="0" collapsed="false">
      <c r="A19" s="0" t="n">
        <f aca="false">A18*1.01+1</f>
        <v>20.8108950443532</v>
      </c>
    </row>
    <row r="20" customFormat="false" ht="12.8" hidden="false" customHeight="false" outlineLevel="0" collapsed="false">
      <c r="A20" s="0" t="n">
        <f aca="false">A19*1.01+1</f>
        <v>22.0190039947967</v>
      </c>
    </row>
    <row r="21" customFormat="false" ht="12.8" hidden="false" customHeight="false" outlineLevel="0" collapsed="false">
      <c r="A21" s="0" t="n">
        <f aca="false">A20*1.01+1</f>
        <v>23.2391940347447</v>
      </c>
    </row>
    <row r="22" customFormat="false" ht="12.8" hidden="false" customHeight="false" outlineLevel="0" collapsed="false">
      <c r="A22" s="0" t="n">
        <f aca="false">A21*1.01+1</f>
        <v>24.4715859750921</v>
      </c>
    </row>
    <row r="23" customFormat="false" ht="12.8" hidden="false" customHeight="false" outlineLevel="0" collapsed="false">
      <c r="A23" s="0" t="n">
        <f aca="false">A22*1.01+1</f>
        <v>25.716301834843</v>
      </c>
    </row>
    <row r="24" customFormat="false" ht="12.8" hidden="false" customHeight="false" outlineLevel="0" collapsed="false">
      <c r="A24" s="0" t="n">
        <f aca="false">A23*1.01+1</f>
        <v>26.9734648531915</v>
      </c>
    </row>
    <row r="25" customFormat="false" ht="12.8" hidden="false" customHeight="false" outlineLevel="0" collapsed="false">
      <c r="A25" s="0" t="n">
        <f aca="false">A24*1.01+1</f>
        <v>28.2431995017234</v>
      </c>
    </row>
    <row r="26" customFormat="false" ht="12.8" hidden="false" customHeight="false" outlineLevel="0" collapsed="false">
      <c r="A26" s="0" t="n">
        <f aca="false">A25*1.01+1</f>
        <v>29.5256314967406</v>
      </c>
    </row>
    <row r="27" customFormat="false" ht="12.8" hidden="false" customHeight="false" outlineLevel="0" collapsed="false">
      <c r="A27" s="0" t="n">
        <f aca="false">A26*1.01+1</f>
        <v>30.820887811708</v>
      </c>
    </row>
    <row r="28" customFormat="false" ht="12.8" hidden="false" customHeight="false" outlineLevel="0" collapsed="false">
      <c r="A28" s="0" t="n">
        <f aca="false">A27*1.01+1</f>
        <v>32.1290966898251</v>
      </c>
    </row>
    <row r="29" customFormat="false" ht="12.8" hidden="false" customHeight="false" outlineLevel="0" collapsed="false">
      <c r="A29" s="0" t="n">
        <f aca="false">A28*1.01+1</f>
        <v>33.4503876567233</v>
      </c>
    </row>
    <row r="30" customFormat="false" ht="12.8" hidden="false" customHeight="false" outlineLevel="0" collapsed="false">
      <c r="A30" s="0" t="n">
        <f aca="false">A29*1.01+1</f>
        <v>34.7848915332906</v>
      </c>
    </row>
    <row r="31" customFormat="false" ht="12.8" hidden="false" customHeight="false" outlineLevel="0" collapsed="false">
      <c r="A31" s="0" t="n">
        <f aca="false">A30*1.01+1</f>
        <v>36.1327404486235</v>
      </c>
    </row>
    <row r="32" customFormat="false" ht="12.8" hidden="false" customHeight="false" outlineLevel="0" collapsed="false">
      <c r="A32" s="0" t="n">
        <f aca="false">A31*1.01+1</f>
        <v>37.4940678531097</v>
      </c>
    </row>
    <row r="33" customFormat="false" ht="12.8" hidden="false" customHeight="false" outlineLevel="0" collapsed="false">
      <c r="A33" s="0" t="n">
        <f aca="false">A32*1.01+1</f>
        <v>38.8690085316408</v>
      </c>
    </row>
    <row r="34" customFormat="false" ht="12.8" hidden="false" customHeight="false" outlineLevel="0" collapsed="false">
      <c r="A34" s="0" t="n">
        <f aca="false">A33*1.01+1</f>
        <v>40.2576986169572</v>
      </c>
    </row>
    <row r="35" customFormat="false" ht="12.8" hidden="false" customHeight="false" outlineLevel="0" collapsed="false">
      <c r="A35" s="0" t="n">
        <f aca="false">A34*1.01+1</f>
        <v>41.6602756031268</v>
      </c>
    </row>
    <row r="36" customFormat="false" ht="12.8" hidden="false" customHeight="false" outlineLevel="0" collapsed="false">
      <c r="A36" s="0" t="n">
        <f aca="false">A35*1.01+1</f>
        <v>43.0768783591581</v>
      </c>
    </row>
    <row r="37" customFormat="false" ht="12.8" hidden="false" customHeight="false" outlineLevel="0" collapsed="false">
      <c r="A37" s="0" t="n">
        <f aca="false">A36*1.01+1</f>
        <v>44.5076471427496</v>
      </c>
    </row>
    <row r="38" customFormat="false" ht="12.8" hidden="false" customHeight="false" outlineLevel="0" collapsed="false">
      <c r="A38" s="0" t="n">
        <f aca="false">A37*1.01+1</f>
        <v>45.9527236141771</v>
      </c>
    </row>
    <row r="39" customFormat="false" ht="12.8" hidden="false" customHeight="false" outlineLevel="0" collapsed="false">
      <c r="A39" s="0" t="n">
        <f aca="false">A38*1.01+1</f>
        <v>47.4122508503189</v>
      </c>
    </row>
    <row r="40" customFormat="false" ht="12.8" hidden="false" customHeight="false" outlineLevel="0" collapsed="false">
      <c r="A40" s="0" t="n">
        <f aca="false">A39*1.01+1</f>
        <v>48.8863733588221</v>
      </c>
    </row>
    <row r="41" customFormat="false" ht="12.8" hidden="false" customHeight="false" outlineLevel="0" collapsed="false">
      <c r="A41" s="0" t="n">
        <f aca="false">A40*1.01+1</f>
        <v>50.3752370924103</v>
      </c>
    </row>
    <row r="42" customFormat="false" ht="12.8" hidden="false" customHeight="false" outlineLevel="0" collapsed="false">
      <c r="A42" s="0" t="n">
        <f aca="false">A41*1.01+1</f>
        <v>51.8789894633344</v>
      </c>
    </row>
    <row r="43" customFormat="false" ht="12.8" hidden="false" customHeight="false" outlineLevel="0" collapsed="false">
      <c r="A43" s="0" t="n">
        <f aca="false">A42*1.01+1</f>
        <v>53.3977793579678</v>
      </c>
    </row>
    <row r="44" customFormat="false" ht="12.8" hidden="false" customHeight="false" outlineLevel="0" collapsed="false">
      <c r="A44" s="0" t="n">
        <f aca="false">A43*1.01+1</f>
        <v>54.9317571515474</v>
      </c>
    </row>
    <row r="45" customFormat="false" ht="12.8" hidden="false" customHeight="false" outlineLevel="0" collapsed="false">
      <c r="A45" s="0" t="n">
        <f aca="false">A44*1.01+1</f>
        <v>56.4810747230629</v>
      </c>
    </row>
    <row r="46" customFormat="false" ht="12.8" hidden="false" customHeight="false" outlineLevel="0" collapsed="false">
      <c r="A46" s="0" t="n">
        <f aca="false">A45*1.01+1</f>
        <v>58.0458854702936</v>
      </c>
    </row>
    <row r="47" customFormat="false" ht="12.8" hidden="false" customHeight="false" outlineLevel="0" collapsed="false">
      <c r="A47" s="0" t="n">
        <f aca="false">A46*1.01+1</f>
        <v>59.6263443249965</v>
      </c>
    </row>
    <row r="48" customFormat="false" ht="12.8" hidden="false" customHeight="false" outlineLevel="0" collapsed="false">
      <c r="A48" s="0" t="n">
        <f aca="false">A47*1.01+1</f>
        <v>61.2226077682465</v>
      </c>
    </row>
    <row r="49" customFormat="false" ht="12.8" hidden="false" customHeight="false" outlineLevel="0" collapsed="false">
      <c r="A49" s="0" t="n">
        <f aca="false">A48*1.01+1</f>
        <v>62.8348338459289</v>
      </c>
    </row>
    <row r="50" customFormat="false" ht="12.8" hidden="false" customHeight="false" outlineLevel="0" collapsed="false">
      <c r="A50" s="0" t="n">
        <f aca="false">A49*1.01+1</f>
        <v>64.4631821843882</v>
      </c>
    </row>
    <row r="51" customFormat="false" ht="12.8" hidden="false" customHeight="false" outlineLevel="0" collapsed="false">
      <c r="A51" s="0" t="n">
        <f aca="false">A50*1.01+1</f>
        <v>66.1078140062321</v>
      </c>
    </row>
    <row r="52" customFormat="false" ht="12.8" hidden="false" customHeight="false" outlineLevel="0" collapsed="false">
      <c r="A52" s="0" t="n">
        <f aca="false">A51*1.01+1</f>
        <v>67.7688921462944</v>
      </c>
    </row>
    <row r="53" customFormat="false" ht="12.8" hidden="false" customHeight="false" outlineLevel="0" collapsed="false">
      <c r="A53" s="0" t="n">
        <f aca="false">A52*1.01+1</f>
        <v>69.4465810677574</v>
      </c>
    </row>
    <row r="54" customFormat="false" ht="12.8" hidden="false" customHeight="false" outlineLevel="0" collapsed="false">
      <c r="A54" s="0" t="n">
        <f aca="false">A53*1.01+1</f>
        <v>71.1410468784349</v>
      </c>
    </row>
    <row r="55" customFormat="false" ht="12.8" hidden="false" customHeight="false" outlineLevel="0" collapsed="false">
      <c r="A55" s="0" t="n">
        <f aca="false">A54*1.01+1</f>
        <v>72.8524573472193</v>
      </c>
    </row>
    <row r="56" customFormat="false" ht="12.8" hidden="false" customHeight="false" outlineLevel="0" collapsed="false">
      <c r="A56" s="0" t="n">
        <f aca="false">A55*1.01+1</f>
        <v>74.5809819206915</v>
      </c>
    </row>
    <row r="57" customFormat="false" ht="12.8" hidden="false" customHeight="false" outlineLevel="0" collapsed="false">
      <c r="A57" s="0" t="n">
        <f aca="false">A56*1.01+1</f>
        <v>76.3267917398984</v>
      </c>
    </row>
    <row r="58" customFormat="false" ht="12.8" hidden="false" customHeight="false" outlineLevel="0" collapsed="false">
      <c r="A58" s="0" t="n">
        <f aca="false">A57*1.01+1</f>
        <v>78.0900596572974</v>
      </c>
    </row>
    <row r="59" customFormat="false" ht="12.8" hidden="false" customHeight="false" outlineLevel="0" collapsed="false">
      <c r="A59" s="0" t="n">
        <f aca="false">A58*1.01+1</f>
        <v>79.8709602538704</v>
      </c>
    </row>
    <row r="60" customFormat="false" ht="12.8" hidden="false" customHeight="false" outlineLevel="0" collapsed="false">
      <c r="A60" s="0" t="n">
        <f aca="false">A59*1.01+1</f>
        <v>81.6696698564091</v>
      </c>
    </row>
    <row r="61" customFormat="false" ht="12.8" hidden="false" customHeight="false" outlineLevel="0" collapsed="false">
      <c r="A61" s="0" t="n">
        <f aca="false">A60*1.01+1</f>
        <v>83.4863665549732</v>
      </c>
    </row>
    <row r="62" customFormat="false" ht="12.8" hidden="false" customHeight="false" outlineLevel="0" collapsed="false">
      <c r="A62" s="0" t="n">
        <f aca="false">A61*1.01+1</f>
        <v>85.3212302205229</v>
      </c>
    </row>
    <row r="63" customFormat="false" ht="12.8" hidden="false" customHeight="false" outlineLevel="0" collapsed="false">
      <c r="A63" s="0" t="n">
        <f aca="false">A62*1.01+1</f>
        <v>87.1744425227281</v>
      </c>
    </row>
    <row r="64" customFormat="false" ht="12.8" hidden="false" customHeight="false" outlineLevel="0" collapsed="false">
      <c r="A64" s="0" t="n">
        <f aca="false">A63*1.01+1</f>
        <v>89.0461869479554</v>
      </c>
    </row>
    <row r="65" customFormat="false" ht="12.8" hidden="false" customHeight="false" outlineLevel="0" collapsed="false">
      <c r="A65" s="0" t="n">
        <f aca="false">A64*1.01+1</f>
        <v>90.9366488174349</v>
      </c>
    </row>
    <row r="66" customFormat="false" ht="12.8" hidden="false" customHeight="false" outlineLevel="0" collapsed="false">
      <c r="A66" s="0" t="n">
        <f aca="false">A65*1.01+1</f>
        <v>92.8460153056093</v>
      </c>
    </row>
    <row r="67" customFormat="false" ht="12.8" hidden="false" customHeight="false" outlineLevel="0" collapsed="false">
      <c r="A67" s="0" t="n">
        <f aca="false">A66*1.01+1</f>
        <v>94.7744754586654</v>
      </c>
    </row>
    <row r="68" customFormat="false" ht="12.8" hidden="false" customHeight="false" outlineLevel="0" collapsed="false">
      <c r="A68" s="0" t="n">
        <f aca="false">A67*1.01+1</f>
        <v>96.722220213252</v>
      </c>
    </row>
    <row r="69" customFormat="false" ht="12.8" hidden="false" customHeight="false" outlineLevel="0" collapsed="false">
      <c r="A69" s="0" t="n">
        <f aca="false">A68*1.01+1</f>
        <v>98.6894424153846</v>
      </c>
    </row>
    <row r="70" customFormat="false" ht="12.8" hidden="false" customHeight="false" outlineLevel="0" collapsed="false">
      <c r="A70" s="0" t="n">
        <f aca="false">A69*1.01+1</f>
        <v>100.676336839538</v>
      </c>
    </row>
    <row r="71" customFormat="false" ht="12.8" hidden="false" customHeight="false" outlineLevel="0" collapsed="false">
      <c r="A71" s="0" t="n">
        <f aca="false">A70*1.01+1</f>
        <v>102.683100207934</v>
      </c>
    </row>
    <row r="72" customFormat="false" ht="12.8" hidden="false" customHeight="false" outlineLevel="0" collapsed="false">
      <c r="A72" s="0" t="n">
        <f aca="false">A71*1.01+1</f>
        <v>104.709931210013</v>
      </c>
    </row>
    <row r="73" customFormat="false" ht="12.8" hidden="false" customHeight="false" outlineLevel="0" collapsed="false">
      <c r="A73" s="0" t="n">
        <f aca="false">A72*1.01+1</f>
        <v>106.757030522113</v>
      </c>
    </row>
    <row r="74" customFormat="false" ht="12.8" hidden="false" customHeight="false" outlineLevel="0" collapsed="false">
      <c r="A74" s="0" t="n">
        <f aca="false">A73*1.01+1</f>
        <v>108.824600827334</v>
      </c>
    </row>
    <row r="75" customFormat="false" ht="12.8" hidden="false" customHeight="false" outlineLevel="0" collapsed="false">
      <c r="A75" s="0" t="n">
        <f aca="false">A74*1.01+1</f>
        <v>110.912846835608</v>
      </c>
    </row>
    <row r="76" customFormat="false" ht="12.8" hidden="false" customHeight="false" outlineLevel="0" collapsed="false">
      <c r="A76" s="0" t="n">
        <f aca="false">A75*1.01+1</f>
        <v>113.021975303964</v>
      </c>
    </row>
    <row r="77" customFormat="false" ht="12.8" hidden="false" customHeight="false" outlineLevel="0" collapsed="false">
      <c r="A77" s="0" t="n">
        <f aca="false">A76*1.01+1</f>
        <v>115.152195057003</v>
      </c>
    </row>
    <row r="78" customFormat="false" ht="12.8" hidden="false" customHeight="false" outlineLevel="0" collapsed="false">
      <c r="A78" s="0" t="n">
        <f aca="false">A77*1.01+1</f>
        <v>117.303717007573</v>
      </c>
    </row>
    <row r="79" customFormat="false" ht="12.8" hidden="false" customHeight="false" outlineLevel="0" collapsed="false">
      <c r="A79" s="0" t="n">
        <f aca="false">A78*1.01+1</f>
        <v>119.476754177649</v>
      </c>
    </row>
    <row r="80" customFormat="false" ht="12.8" hidden="false" customHeight="false" outlineLevel="0" collapsed="false">
      <c r="A80" s="0" t="n">
        <f aca="false">A79*1.01+1</f>
        <v>121.671521719426</v>
      </c>
    </row>
    <row r="81" customFormat="false" ht="12.8" hidden="false" customHeight="false" outlineLevel="0" collapsed="false">
      <c r="A81" s="0" t="n">
        <f aca="false">A80*1.01+1</f>
        <v>123.88823693662</v>
      </c>
    </row>
    <row r="82" customFormat="false" ht="12.8" hidden="false" customHeight="false" outlineLevel="0" collapsed="false">
      <c r="A82" s="0" t="n">
        <f aca="false">A81*1.01+1</f>
        <v>126.127119305986</v>
      </c>
    </row>
    <row r="83" customFormat="false" ht="12.8" hidden="false" customHeight="false" outlineLevel="0" collapsed="false">
      <c r="A83" s="0" t="n">
        <f aca="false">A82*1.01+1</f>
        <v>128.388390499046</v>
      </c>
    </row>
    <row r="84" customFormat="false" ht="12.8" hidden="false" customHeight="false" outlineLevel="0" collapsed="false">
      <c r="A84" s="0" t="n">
        <f aca="false">A83*1.01+1</f>
        <v>130.672274404037</v>
      </c>
    </row>
    <row r="85" customFormat="false" ht="12.8" hidden="false" customHeight="false" outlineLevel="0" collapsed="false">
      <c r="A85" s="0" t="n">
        <f aca="false">A84*1.01+1</f>
        <v>132.978997148077</v>
      </c>
    </row>
    <row r="86" customFormat="false" ht="12.8" hidden="false" customHeight="false" outlineLevel="0" collapsed="false">
      <c r="A86" s="0" t="n">
        <f aca="false">A85*1.01+1</f>
        <v>135.308787119558</v>
      </c>
    </row>
    <row r="87" customFormat="false" ht="12.8" hidden="false" customHeight="false" outlineLevel="0" collapsed="false">
      <c r="A87" s="0" t="n">
        <f aca="false">A86*1.01+1</f>
        <v>137.661874990753</v>
      </c>
    </row>
    <row r="88" customFormat="false" ht="12.8" hidden="false" customHeight="false" outlineLevel="0" collapsed="false">
      <c r="A88" s="0" t="n">
        <f aca="false">A87*1.01+1</f>
        <v>140.038493740661</v>
      </c>
    </row>
    <row r="89" customFormat="false" ht="12.8" hidden="false" customHeight="false" outlineLevel="0" collapsed="false">
      <c r="A89" s="0" t="n">
        <f aca="false">A88*1.01+1</f>
        <v>142.438878678067</v>
      </c>
    </row>
    <row r="90" customFormat="false" ht="12.8" hidden="false" customHeight="false" outlineLevel="0" collapsed="false">
      <c r="A90" s="0" t="n">
        <f aca="false">A89*1.01+1</f>
        <v>144.863267464848</v>
      </c>
    </row>
    <row r="91" customFormat="false" ht="12.8" hidden="false" customHeight="false" outlineLevel="0" collapsed="false">
      <c r="A91" s="0" t="n">
        <f aca="false">A90*1.01+1</f>
        <v>147.311900139497</v>
      </c>
    </row>
    <row r="92" customFormat="false" ht="12.8" hidden="false" customHeight="false" outlineLevel="0" collapsed="false">
      <c r="A92" s="0" t="n">
        <f aca="false">A91*1.01+1</f>
        <v>149.785019140891</v>
      </c>
    </row>
    <row r="93" customFormat="false" ht="12.8" hidden="false" customHeight="false" outlineLevel="0" collapsed="false">
      <c r="A93" s="0" t="n">
        <f aca="false">A92*1.01+1</f>
        <v>152.2828693323</v>
      </c>
    </row>
    <row r="94" customFormat="false" ht="12.8" hidden="false" customHeight="false" outlineLevel="0" collapsed="false">
      <c r="A94" s="0" t="n">
        <f aca="false">A93*1.01+1</f>
        <v>154.805698025623</v>
      </c>
    </row>
    <row r="95" customFormat="false" ht="12.8" hidden="false" customHeight="false" outlineLevel="0" collapsed="false">
      <c r="A95" s="0" t="n">
        <f aca="false">A94*1.01+1</f>
        <v>157.35375500588</v>
      </c>
    </row>
    <row r="96" customFormat="false" ht="12.8" hidden="false" customHeight="false" outlineLevel="0" collapsed="false">
      <c r="A96" s="0" t="n">
        <f aca="false">A95*1.01+1</f>
        <v>159.927292555938</v>
      </c>
    </row>
    <row r="97" customFormat="false" ht="12.8" hidden="false" customHeight="false" outlineLevel="0" collapsed="false">
      <c r="A97" s="0" t="n">
        <f aca="false">A96*1.01+1</f>
        <v>162.526565481498</v>
      </c>
    </row>
    <row r="98" customFormat="false" ht="12.8" hidden="false" customHeight="false" outlineLevel="0" collapsed="false">
      <c r="A98" s="0" t="n">
        <f aca="false">A97*1.01+1</f>
        <v>165.151831136313</v>
      </c>
    </row>
    <row r="99" customFormat="false" ht="12.8" hidden="false" customHeight="false" outlineLevel="0" collapsed="false">
      <c r="A99" s="0" t="n">
        <f aca="false">A98*1.01+1</f>
        <v>167.803349447676</v>
      </c>
    </row>
    <row r="100" customFormat="false" ht="12.8" hidden="false" customHeight="false" outlineLevel="0" collapsed="false">
      <c r="A100" s="0" t="n">
        <f aca="false">A99*1.01+1</f>
        <v>170.481382942153</v>
      </c>
    </row>
    <row r="101" customFormat="false" ht="12.8" hidden="false" customHeight="false" outlineLevel="0" collapsed="false">
      <c r="A101" s="0" t="n">
        <f aca="false">A100*1.01+1</f>
        <v>173.186196771574</v>
      </c>
    </row>
    <row r="102" customFormat="false" ht="12.8" hidden="false" customHeight="false" outlineLevel="0" collapsed="false">
      <c r="A102" s="0" t="n">
        <f aca="false">A101*1.01+1</f>
        <v>175.91805873929</v>
      </c>
    </row>
    <row r="103" customFormat="false" ht="12.8" hidden="false" customHeight="false" outlineLevel="0" collapsed="false">
      <c r="A103" s="0" t="n">
        <f aca="false">A102*1.01+1</f>
        <v>178.677239326683</v>
      </c>
    </row>
    <row r="104" customFormat="false" ht="12.8" hidden="false" customHeight="false" outlineLevel="0" collapsed="false">
      <c r="A104" s="0" t="n">
        <f aca="false">A103*1.01+1</f>
        <v>181.46401171995</v>
      </c>
    </row>
    <row r="105" customFormat="false" ht="12.8" hidden="false" customHeight="false" outlineLevel="0" collapsed="false">
      <c r="A105" s="0" t="n">
        <f aca="false">A104*1.01+1</f>
        <v>184.278651837149</v>
      </c>
    </row>
    <row r="106" customFormat="false" ht="12.8" hidden="false" customHeight="false" outlineLevel="0" collapsed="false">
      <c r="A106" s="0" t="n">
        <f aca="false">A105*1.01+1</f>
        <v>187.121438355521</v>
      </c>
    </row>
    <row r="107" customFormat="false" ht="12.8" hidden="false" customHeight="false" outlineLevel="0" collapsed="false">
      <c r="A107" s="0" t="n">
        <f aca="false">A106*1.01+1</f>
        <v>189.992652739076</v>
      </c>
    </row>
    <row r="108" customFormat="false" ht="12.8" hidden="false" customHeight="false" outlineLevel="0" collapsed="false">
      <c r="A108" s="0" t="n">
        <f aca="false">A107*1.01+1</f>
        <v>192.892579266467</v>
      </c>
    </row>
    <row r="109" customFormat="false" ht="12.8" hidden="false" customHeight="false" outlineLevel="0" collapsed="false">
      <c r="A109" s="0" t="n">
        <f aca="false">A108*1.01+1</f>
        <v>195.821505059131</v>
      </c>
    </row>
    <row r="110" customFormat="false" ht="12.8" hidden="false" customHeight="false" outlineLevel="0" collapsed="false">
      <c r="A110" s="0" t="n">
        <f aca="false">A109*1.01+1</f>
        <v>198.779720109723</v>
      </c>
    </row>
    <row r="111" customFormat="false" ht="12.8" hidden="false" customHeight="false" outlineLevel="0" collapsed="false">
      <c r="A111" s="0" t="n">
        <f aca="false">A110*1.01+1</f>
        <v>201.76751731082</v>
      </c>
    </row>
    <row r="112" customFormat="false" ht="12.8" hidden="false" customHeight="false" outlineLevel="0" collapsed="false">
      <c r="A112" s="0" t="n">
        <f aca="false">A111*1.01+1</f>
        <v>204.785192483928</v>
      </c>
    </row>
    <row r="113" customFormat="false" ht="12.8" hidden="false" customHeight="false" outlineLevel="0" collapsed="false">
      <c r="A113" s="0" t="n">
        <f aca="false">A112*1.01+1</f>
        <v>207.833044408767</v>
      </c>
    </row>
    <row r="114" customFormat="false" ht="12.8" hidden="false" customHeight="false" outlineLevel="0" collapsed="false">
      <c r="A114" s="0" t="n">
        <f aca="false">A113*1.01+1</f>
        <v>210.911374852855</v>
      </c>
    </row>
    <row r="115" customFormat="false" ht="12.8" hidden="false" customHeight="false" outlineLevel="0" collapsed="false">
      <c r="A115" s="0" t="n">
        <f aca="false">A114*1.01+1</f>
        <v>214.020488601384</v>
      </c>
    </row>
    <row r="116" customFormat="false" ht="12.8" hidden="false" customHeight="false" outlineLevel="0" collapsed="false">
      <c r="A116" s="0" t="n">
        <f aca="false">A115*1.01+1</f>
        <v>217.160693487397</v>
      </c>
    </row>
    <row r="117" customFormat="false" ht="12.8" hidden="false" customHeight="false" outlineLevel="0" collapsed="false">
      <c r="A117" s="0" t="n">
        <f aca="false">A116*1.01+1</f>
        <v>220.332300422271</v>
      </c>
    </row>
    <row r="118" customFormat="false" ht="12.8" hidden="false" customHeight="false" outlineLevel="0" collapsed="false">
      <c r="A118" s="0" t="n">
        <f aca="false">A117*1.01+1</f>
        <v>223.535623426494</v>
      </c>
    </row>
    <row r="119" customFormat="false" ht="12.8" hidden="false" customHeight="false" outlineLevel="0" collapsed="false">
      <c r="A119" s="0" t="n">
        <f aca="false">A118*1.01+1</f>
        <v>226.770979660759</v>
      </c>
    </row>
    <row r="120" customFormat="false" ht="12.8" hidden="false" customHeight="false" outlineLevel="0" collapsed="false">
      <c r="A120" s="0" t="n">
        <f aca="false">A119*1.01+1</f>
        <v>230.038689457367</v>
      </c>
    </row>
    <row r="121" customFormat="false" ht="12.8" hidden="false" customHeight="false" outlineLevel="0" collapsed="false">
      <c r="A121" s="0" t="n">
        <f aca="false">A120*1.01+1</f>
        <v>233.33907635194</v>
      </c>
    </row>
    <row r="122" customFormat="false" ht="12.8" hidden="false" customHeight="false" outlineLevel="0" collapsed="false">
      <c r="A122" s="0" t="n">
        <f aca="false">A121*1.01+1</f>
        <v>236.67246711546</v>
      </c>
    </row>
    <row r="123" customFormat="false" ht="12.8" hidden="false" customHeight="false" outlineLevel="0" collapsed="false">
      <c r="A123" s="0" t="n">
        <f aca="false">A122*1.01+1</f>
        <v>240.039191786614</v>
      </c>
    </row>
    <row r="124" customFormat="false" ht="12.8" hidden="false" customHeight="false" outlineLevel="0" collapsed="false">
      <c r="A124" s="0" t="n">
        <f aca="false">A123*1.01+1</f>
        <v>243.43958370448</v>
      </c>
    </row>
    <row r="125" customFormat="false" ht="12.8" hidden="false" customHeight="false" outlineLevel="0" collapsed="false">
      <c r="A125" s="0" t="n">
        <f aca="false">A124*1.01+1</f>
        <v>246.873979541525</v>
      </c>
    </row>
    <row r="126" customFormat="false" ht="12.8" hidden="false" customHeight="false" outlineLevel="0" collapsed="false">
      <c r="A126" s="0" t="n">
        <f aca="false">A125*1.01+1</f>
        <v>250.342719336941</v>
      </c>
    </row>
    <row r="127" customFormat="false" ht="12.8" hidden="false" customHeight="false" outlineLevel="0" collapsed="false">
      <c r="A127" s="0" t="n">
        <f aca="false">A126*1.01+1</f>
        <v>253.84614653031</v>
      </c>
    </row>
    <row r="128" customFormat="false" ht="12.8" hidden="false" customHeight="false" outlineLevel="0" collapsed="false">
      <c r="A128" s="0" t="n">
        <f aca="false">A127*1.01+1</f>
        <v>257.384607995613</v>
      </c>
    </row>
    <row r="129" customFormat="false" ht="12.8" hidden="false" customHeight="false" outlineLevel="0" collapsed="false">
      <c r="A129" s="0" t="n">
        <f aca="false">A128*1.01+1</f>
        <v>260.958454075569</v>
      </c>
    </row>
    <row r="130" customFormat="false" ht="12.8" hidden="false" customHeight="false" outlineLevel="0" collapsed="false">
      <c r="A130" s="0" t="n">
        <f aca="false">A129*1.01+1</f>
        <v>264.568038616325</v>
      </c>
    </row>
    <row r="131" customFormat="false" ht="12.8" hidden="false" customHeight="false" outlineLevel="0" collapsed="false">
      <c r="A131" s="0" t="n">
        <f aca="false">A130*1.01+1</f>
        <v>268.213719002488</v>
      </c>
    </row>
    <row r="132" customFormat="false" ht="12.8" hidden="false" customHeight="false" outlineLevel="0" collapsed="false">
      <c r="A132" s="0" t="n">
        <f aca="false">A131*1.01+1</f>
        <v>271.895856192513</v>
      </c>
    </row>
    <row r="133" customFormat="false" ht="12.8" hidden="false" customHeight="false" outlineLevel="0" collapsed="false">
      <c r="A133" s="0" t="n">
        <f aca="false">A132*1.01+1</f>
        <v>275.614814754438</v>
      </c>
    </row>
    <row r="134" customFormat="false" ht="12.8" hidden="false" customHeight="false" outlineLevel="0" collapsed="false">
      <c r="A134" s="0" t="n">
        <f aca="false">A133*1.01+1</f>
        <v>279.370962901983</v>
      </c>
    </row>
    <row r="135" customFormat="false" ht="12.8" hidden="false" customHeight="false" outlineLevel="0" collapsed="false">
      <c r="A135" s="0" t="n">
        <f aca="false">A134*1.01+1</f>
        <v>283.164672531002</v>
      </c>
    </row>
    <row r="136" customFormat="false" ht="12.8" hidden="false" customHeight="false" outlineLevel="0" collapsed="false">
      <c r="A136" s="0" t="n">
        <f aca="false">A135*1.01+1</f>
        <v>286.996319256312</v>
      </c>
    </row>
    <row r="137" customFormat="false" ht="12.8" hidden="false" customHeight="false" outlineLevel="0" collapsed="false">
      <c r="A137" s="0" t="n">
        <f aca="false">A136*1.01+1</f>
        <v>290.866282448876</v>
      </c>
    </row>
    <row r="138" customFormat="false" ht="12.8" hidden="false" customHeight="false" outlineLevel="0" collapsed="false">
      <c r="A138" s="0" t="n">
        <f aca="false">A137*1.01+1</f>
        <v>294.774945273364</v>
      </c>
    </row>
    <row r="139" customFormat="false" ht="12.8" hidden="false" customHeight="false" outlineLevel="0" collapsed="false">
      <c r="A139" s="0" t="n">
        <f aca="false">A138*1.01+1</f>
        <v>298.722694726098</v>
      </c>
    </row>
    <row r="140" customFormat="false" ht="12.8" hidden="false" customHeight="false" outlineLevel="0" collapsed="false">
      <c r="A140" s="0" t="n">
        <f aca="false">A139*1.01+1</f>
        <v>302.709921673359</v>
      </c>
    </row>
    <row r="141" customFormat="false" ht="12.8" hidden="false" customHeight="false" outlineLevel="0" collapsed="false">
      <c r="A141" s="0" t="n">
        <f aca="false">A140*1.01+1</f>
        <v>306.737020890093</v>
      </c>
    </row>
    <row r="142" customFormat="false" ht="12.8" hidden="false" customHeight="false" outlineLevel="0" collapsed="false">
      <c r="A142" s="0" t="n">
        <f aca="false">A141*1.01+1</f>
        <v>310.804391098993</v>
      </c>
    </row>
    <row r="143" customFormat="false" ht="12.8" hidden="false" customHeight="false" outlineLevel="0" collapsed="false">
      <c r="A143" s="0" t="n">
        <f aca="false">A142*1.01+1</f>
        <v>314.912435009983</v>
      </c>
    </row>
    <row r="144" customFormat="false" ht="12.8" hidden="false" customHeight="false" outlineLevel="0" collapsed="false">
      <c r="A144" s="0" t="n">
        <f aca="false">A143*1.01+1</f>
        <v>319.061559360083</v>
      </c>
    </row>
    <row r="145" customFormat="false" ht="12.8" hidden="false" customHeight="false" outlineLevel="0" collapsed="false">
      <c r="A145" s="0" t="n">
        <f aca="false">A144*1.01+1</f>
        <v>323.252174953684</v>
      </c>
    </row>
    <row r="146" customFormat="false" ht="12.8" hidden="false" customHeight="false" outlineLevel="0" collapsed="false">
      <c r="A146" s="0" t="n">
        <f aca="false">A145*1.01+1</f>
        <v>327.484696703221</v>
      </c>
    </row>
    <row r="147" customFormat="false" ht="12.8" hidden="false" customHeight="false" outlineLevel="0" collapsed="false">
      <c r="A147" s="0" t="n">
        <f aca="false">A146*1.01+1</f>
        <v>331.759543670253</v>
      </c>
    </row>
    <row r="148" customFormat="false" ht="12.8" hidden="false" customHeight="false" outlineLevel="0" collapsed="false">
      <c r="A148" s="0" t="n">
        <f aca="false">A147*1.01+1</f>
        <v>336.077139106956</v>
      </c>
    </row>
    <row r="149" customFormat="false" ht="12.8" hidden="false" customHeight="false" outlineLevel="0" collapsed="false">
      <c r="A149" s="0" t="n">
        <f aca="false">A148*1.01+1</f>
        <v>340.437910498025</v>
      </c>
    </row>
    <row r="150" customFormat="false" ht="12.8" hidden="false" customHeight="false" outlineLevel="0" collapsed="false">
      <c r="A150" s="0" t="n">
        <f aca="false">A149*1.01+1</f>
        <v>344.842289603005</v>
      </c>
    </row>
    <row r="151" customFormat="false" ht="12.8" hidden="false" customHeight="false" outlineLevel="0" collapsed="false">
      <c r="A151" s="0" t="n">
        <f aca="false">A150*1.01+1</f>
        <v>349.290712499035</v>
      </c>
    </row>
    <row r="152" customFormat="false" ht="12.8" hidden="false" customHeight="false" outlineLevel="0" collapsed="false">
      <c r="A152" s="0" t="n">
        <f aca="false">A151*1.01+1</f>
        <v>353.783619624026</v>
      </c>
    </row>
    <row r="153" customFormat="false" ht="12.8" hidden="false" customHeight="false" outlineLevel="0" collapsed="false">
      <c r="A153" s="0" t="n">
        <f aca="false">A152*1.01+1</f>
        <v>358.321455820266</v>
      </c>
    </row>
    <row r="154" customFormat="false" ht="12.8" hidden="false" customHeight="false" outlineLevel="0" collapsed="false">
      <c r="A154" s="0" t="n">
        <f aca="false">A153*1.01+1</f>
        <v>362.904670378469</v>
      </c>
    </row>
    <row r="155" customFormat="false" ht="12.8" hidden="false" customHeight="false" outlineLevel="0" collapsed="false">
      <c r="A155" s="0" t="n">
        <f aca="false">A154*1.01+1</f>
        <v>367.533717082254</v>
      </c>
    </row>
    <row r="156" customFormat="false" ht="12.8" hidden="false" customHeight="false" outlineLevel="0" collapsed="false">
      <c r="A156" s="0" t="n">
        <f aca="false">A155*1.01+1</f>
        <v>372.209054253076</v>
      </c>
    </row>
    <row r="157" customFormat="false" ht="12.8" hidden="false" customHeight="false" outlineLevel="0" collapsed="false">
      <c r="A157" s="0" t="n">
        <f aca="false">A156*1.01+1</f>
        <v>376.931144795607</v>
      </c>
    </row>
    <row r="158" customFormat="false" ht="12.8" hidden="false" customHeight="false" outlineLevel="0" collapsed="false">
      <c r="A158" s="0" t="n">
        <f aca="false">A157*1.01+1</f>
        <v>381.700456243563</v>
      </c>
    </row>
    <row r="159" customFormat="false" ht="12.8" hidden="false" customHeight="false" outlineLevel="0" collapsed="false">
      <c r="A159" s="0" t="n">
        <f aca="false">A158*1.01+1</f>
        <v>386.517460805998</v>
      </c>
    </row>
    <row r="160" customFormat="false" ht="12.8" hidden="false" customHeight="false" outlineLevel="0" collapsed="false">
      <c r="A160" s="0" t="n">
        <f aca="false">A159*1.01+1</f>
        <v>391.382635414058</v>
      </c>
    </row>
    <row r="161" customFormat="false" ht="12.8" hidden="false" customHeight="false" outlineLevel="0" collapsed="false">
      <c r="A161" s="0" t="n">
        <f aca="false">A160*1.01+1</f>
        <v>396.296461768199</v>
      </c>
    </row>
    <row r="162" customFormat="false" ht="12.8" hidden="false" customHeight="false" outlineLevel="0" collapsed="false">
      <c r="A162" s="0" t="n">
        <f aca="false">A161*1.01+1</f>
        <v>401.259426385881</v>
      </c>
    </row>
    <row r="163" customFormat="false" ht="12.8" hidden="false" customHeight="false" outlineLevel="0" collapsed="false">
      <c r="A163" s="0" t="n">
        <f aca="false">A162*1.01+1</f>
        <v>406.27202064974</v>
      </c>
    </row>
    <row r="164" customFormat="false" ht="12.8" hidden="false" customHeight="false" outlineLevel="0" collapsed="false">
      <c r="A164" s="0" t="n">
        <f aca="false">A163*1.01+1</f>
        <v>411.334740856237</v>
      </c>
    </row>
    <row r="165" customFormat="false" ht="12.8" hidden="false" customHeight="false" outlineLevel="0" collapsed="false">
      <c r="A165" s="0" t="n">
        <f aca="false">A164*1.01+1</f>
        <v>416.4480882648</v>
      </c>
    </row>
    <row r="166" customFormat="false" ht="12.8" hidden="false" customHeight="false" outlineLevel="0" collapsed="false">
      <c r="A166" s="0" t="n">
        <f aca="false">A165*1.01+1</f>
        <v>421.612569147448</v>
      </c>
    </row>
    <row r="167" customFormat="false" ht="12.8" hidden="false" customHeight="false" outlineLevel="0" collapsed="false">
      <c r="A167" s="0" t="n">
        <f aca="false">A166*1.01+1</f>
        <v>426.828694838922</v>
      </c>
    </row>
    <row r="168" customFormat="false" ht="12.8" hidden="false" customHeight="false" outlineLevel="0" collapsed="false">
      <c r="A168" s="0" t="n">
        <f aca="false">A167*1.01+1</f>
        <v>432.096981787311</v>
      </c>
    </row>
    <row r="169" customFormat="false" ht="12.8" hidden="false" customHeight="false" outlineLevel="0" collapsed="false">
      <c r="A169" s="0" t="n">
        <f aca="false">A168*1.01+1</f>
        <v>437.417951605184</v>
      </c>
    </row>
    <row r="170" customFormat="false" ht="12.8" hidden="false" customHeight="false" outlineLevel="0" collapsed="false">
      <c r="A170" s="0" t="n">
        <f aca="false">A169*1.01+1</f>
        <v>442.792131121236</v>
      </c>
    </row>
    <row r="171" customFormat="false" ht="12.8" hidden="false" customHeight="false" outlineLevel="0" collapsed="false">
      <c r="A171" s="0" t="n">
        <f aca="false">A170*1.01+1</f>
        <v>448.220052432449</v>
      </c>
    </row>
    <row r="172" customFormat="false" ht="12.8" hidden="false" customHeight="false" outlineLevel="0" collapsed="false">
      <c r="A172" s="0" t="n">
        <f aca="false">A171*1.01+1</f>
        <v>453.702252956773</v>
      </c>
    </row>
    <row r="173" customFormat="false" ht="12.8" hidden="false" customHeight="false" outlineLevel="0" collapsed="false">
      <c r="A173" s="0" t="n">
        <f aca="false">A172*1.01+1</f>
        <v>459.239275486341</v>
      </c>
    </row>
    <row r="174" customFormat="false" ht="12.8" hidden="false" customHeight="false" outlineLevel="0" collapsed="false">
      <c r="A174" s="0" t="n">
        <f aca="false">A173*1.01+1</f>
        <v>464.831668241204</v>
      </c>
    </row>
    <row r="175" customFormat="false" ht="12.8" hidden="false" customHeight="false" outlineLevel="0" collapsed="false">
      <c r="A175" s="0" t="n">
        <f aca="false">A174*1.01+1</f>
        <v>470.479984923616</v>
      </c>
    </row>
    <row r="176" customFormat="false" ht="12.8" hidden="false" customHeight="false" outlineLevel="0" collapsed="false">
      <c r="A176" s="0" t="n">
        <f aca="false">A175*1.01+1</f>
        <v>476.184784772852</v>
      </c>
    </row>
    <row r="177" customFormat="false" ht="12.8" hidden="false" customHeight="false" outlineLevel="0" collapsed="false">
      <c r="A177" s="0" t="n">
        <f aca="false">A176*1.01+1</f>
        <v>481.946632620581</v>
      </c>
    </row>
    <row r="178" customFormat="false" ht="12.8" hidden="false" customHeight="false" outlineLevel="0" collapsed="false">
      <c r="A178" s="0" t="n">
        <f aca="false">A177*1.01+1</f>
        <v>487.766098946787</v>
      </c>
    </row>
    <row r="179" customFormat="false" ht="12.8" hidden="false" customHeight="false" outlineLevel="0" collapsed="false">
      <c r="A179" s="0" t="n">
        <f aca="false">A178*1.01+1</f>
        <v>493.643759936255</v>
      </c>
    </row>
    <row r="180" customFormat="false" ht="12.8" hidden="false" customHeight="false" outlineLevel="0" collapsed="false">
      <c r="A180" s="0" t="n">
        <f aca="false">A179*1.01+1</f>
        <v>499.580197535617</v>
      </c>
    </row>
    <row r="181" customFormat="false" ht="12.8" hidden="false" customHeight="false" outlineLevel="0" collapsed="false">
      <c r="A181" s="0" t="n">
        <f aca="false">A180*1.01+1</f>
        <v>505.575999510973</v>
      </c>
    </row>
    <row r="182" customFormat="false" ht="12.8" hidden="false" customHeight="false" outlineLevel="0" collapsed="false">
      <c r="A182" s="0" t="n">
        <f aca="false">A181*1.01+1</f>
        <v>511.631759506083</v>
      </c>
    </row>
    <row r="183" customFormat="false" ht="12.8" hidden="false" customHeight="false" outlineLevel="0" collapsed="false">
      <c r="A183" s="0" t="n">
        <f aca="false">A182*1.01+1</f>
        <v>517.748077101144</v>
      </c>
    </row>
    <row r="184" customFormat="false" ht="12.8" hidden="false" customHeight="false" outlineLevel="0" collapsed="false">
      <c r="A184" s="0" t="n">
        <f aca="false">A183*1.01+1</f>
        <v>523.925557872155</v>
      </c>
    </row>
    <row r="185" customFormat="false" ht="12.8" hidden="false" customHeight="false" outlineLevel="0" collapsed="false">
      <c r="A185" s="0" t="n">
        <f aca="false">A184*1.01+1</f>
        <v>530.164813450877</v>
      </c>
    </row>
    <row r="186" customFormat="false" ht="12.8" hidden="false" customHeight="false" outlineLevel="0" collapsed="false">
      <c r="A186" s="0" t="n">
        <f aca="false">A185*1.01+1</f>
        <v>536.466461585386</v>
      </c>
    </row>
    <row r="187" customFormat="false" ht="12.8" hidden="false" customHeight="false" outlineLevel="0" collapsed="false">
      <c r="A187" s="0" t="n">
        <f aca="false">A186*1.01+1</f>
        <v>542.83112620124</v>
      </c>
    </row>
    <row r="188" customFormat="false" ht="12.8" hidden="false" customHeight="false" outlineLevel="0" collapsed="false">
      <c r="A188" s="0" t="n">
        <f aca="false">A187*1.01+1</f>
        <v>549.259437463252</v>
      </c>
    </row>
    <row r="189" customFormat="false" ht="12.8" hidden="false" customHeight="false" outlineLevel="0" collapsed="false">
      <c r="A189" s="0" t="n">
        <f aca="false">A188*1.01+1</f>
        <v>555.752031837885</v>
      </c>
    </row>
    <row r="190" customFormat="false" ht="12.8" hidden="false" customHeight="false" outlineLevel="0" collapsed="false">
      <c r="A190" s="0" t="n">
        <f aca="false">A189*1.01+1</f>
        <v>562.309552156263</v>
      </c>
    </row>
    <row r="191" customFormat="false" ht="12.8" hidden="false" customHeight="false" outlineLevel="0" collapsed="false">
      <c r="A191" s="0" t="n">
        <f aca="false">A190*1.01+1</f>
        <v>568.932647677826</v>
      </c>
    </row>
    <row r="192" customFormat="false" ht="12.8" hidden="false" customHeight="false" outlineLevel="0" collapsed="false">
      <c r="A192" s="0" t="n">
        <f aca="false">A191*1.01+1</f>
        <v>575.621974154604</v>
      </c>
    </row>
    <row r="193" customFormat="false" ht="12.8" hidden="false" customHeight="false" outlineLevel="0" collapsed="false">
      <c r="A193" s="0" t="n">
        <f aca="false">A192*1.01+1</f>
        <v>582.37819389615</v>
      </c>
    </row>
    <row r="194" customFormat="false" ht="12.8" hidden="false" customHeight="false" outlineLevel="0" collapsed="false">
      <c r="A194" s="0" t="n">
        <f aca="false">A193*1.01+1</f>
        <v>589.201975835112</v>
      </c>
    </row>
    <row r="195" customFormat="false" ht="12.8" hidden="false" customHeight="false" outlineLevel="0" collapsed="false">
      <c r="A195" s="0" t="n">
        <f aca="false">A194*1.01+1</f>
        <v>596.093995593463</v>
      </c>
    </row>
    <row r="196" customFormat="false" ht="12.8" hidden="false" customHeight="false" outlineLevel="0" collapsed="false">
      <c r="A196" s="0" t="n">
        <f aca="false">A195*1.01+1</f>
        <v>603.054935549397</v>
      </c>
    </row>
    <row r="197" customFormat="false" ht="12.8" hidden="false" customHeight="false" outlineLevel="0" collapsed="false">
      <c r="A197" s="0" t="n">
        <f aca="false">A196*1.01+1</f>
        <v>610.085484904892</v>
      </c>
    </row>
    <row r="198" customFormat="false" ht="12.8" hidden="false" customHeight="false" outlineLevel="0" collapsed="false">
      <c r="A198" s="0" t="n">
        <f aca="false">A197*1.01+1</f>
        <v>617.18633975394</v>
      </c>
    </row>
    <row r="199" customFormat="false" ht="12.8" hidden="false" customHeight="false" outlineLevel="0" collapsed="false">
      <c r="A199" s="0" t="n">
        <f aca="false">A198*1.01+1</f>
        <v>624.35820315148</v>
      </c>
    </row>
    <row r="200" customFormat="false" ht="12.8" hidden="false" customHeight="false" outlineLevel="0" collapsed="false">
      <c r="A200" s="0" t="n">
        <f aca="false">A199*1.01+1</f>
        <v>631.601785182995</v>
      </c>
    </row>
  </sheetData>
  <mergeCells count="2">
    <mergeCell ref="C2:E4"/>
    <mergeCell ref="C6:C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2026-10-14T08:37:51Z</dcterms:modified>
  <cp:revision>1</cp:revision>
  <dc:subject/>
  <dc:title>Derlem lo-butce</dc:title>
</cp:coreProperties>
</file>