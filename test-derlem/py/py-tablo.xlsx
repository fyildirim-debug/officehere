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i" sheetId="1" state="visible" r:id="rId1"/>
    <sheet xmlns:r="http://schemas.openxmlformats.org/officeDocument/2006/relationships" name="Öz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Adetler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'Veri'!B1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'Veri'!$A$2:$A$15</f>
            </numRef>
          </cat>
          <val>
            <numRef>
              <f>'Veri'!$B$2:$B$15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lineChart>
        <grouping val="standard"/>
        <ser>
          <idx val="0"/>
          <order val="0"/>
          <tx>
            <strRef>
              <f>'Veri'!C1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'Veri'!$C$2:$C$30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plotArea>
      <pieChart>
        <varyColors val="1"/>
        <ser>
          <idx val="0"/>
          <order val="0"/>
          <tx>
            <strRef>
              <f>'Veri'!B1</f>
            </strRef>
          </tx>
          <spPr>
            <a:ln xmlns:a="http://schemas.openxmlformats.org/drawingml/2006/main">
              <a:prstDash val="solid"/>
            </a:ln>
          </spPr>
          <val>
            <numRef>
              <f>'Veri'!$B$2:$B$6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Ölçüm</author>
  </authors>
  <commentList>
    <comment ref="A1" authorId="0" shapeId="0">
      <text>
        <t>Ürün adları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14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</cols>
  <sheetData>
    <row r="1">
      <c r="A1" s="1" t="inlineStr">
        <is>
          <t>Ürün</t>
        </is>
      </c>
      <c r="B1" s="1" t="inlineStr">
        <is>
          <t>Adet</t>
        </is>
      </c>
      <c r="C1" s="1" t="inlineStr">
        <is>
          <t>Fiyat</t>
        </is>
      </c>
      <c r="D1" s="1" t="inlineStr">
        <is>
          <t>Tutar</t>
        </is>
      </c>
      <c r="E1" s="1" t="inlineStr">
        <is>
          <t>Tarih</t>
        </is>
      </c>
      <c r="F1" s="1" t="n"/>
      <c r="G1" s="1" t="inlineStr">
        <is>
          <t>Toplam</t>
        </is>
      </c>
      <c r="H1" s="1">
        <f>SUM(D2:D101)</f>
        <v/>
      </c>
      <c r="J1" t="inlineStr">
        <is>
          <t>Birleşik alan</t>
        </is>
      </c>
    </row>
    <row r="2">
      <c r="A2" t="inlineStr">
        <is>
          <t>Ürün 1 ğüş</t>
        </is>
      </c>
      <c r="B2" t="n">
        <v>2</v>
      </c>
      <c r="C2" s="2" t="n">
        <v>3.75</v>
      </c>
      <c r="D2">
        <f>B2*C2</f>
        <v/>
      </c>
      <c r="E2" s="3" t="n">
        <v>45324</v>
      </c>
      <c r="G2" t="inlineStr">
        <is>
          <t>Ortalama</t>
        </is>
      </c>
      <c r="H2">
        <f>AVERAGE(D2:D101)</f>
        <v/>
      </c>
    </row>
    <row r="3">
      <c r="A3" t="inlineStr">
        <is>
          <t>Ürün 2 ğüş</t>
        </is>
      </c>
      <c r="B3" t="n">
        <v>3</v>
      </c>
      <c r="C3" s="2" t="n">
        <v>4</v>
      </c>
      <c r="D3">
        <f>B3*C3</f>
        <v/>
      </c>
      <c r="E3" s="3" t="n">
        <v>45354</v>
      </c>
      <c r="G3" t="inlineStr">
        <is>
          <t>Eğer</t>
        </is>
      </c>
      <c r="H3">
        <f>IF(H1&gt;1000,"Çok","Az")</f>
        <v/>
      </c>
    </row>
    <row r="4">
      <c r="A4" t="inlineStr">
        <is>
          <t>Ürün 3 ğüş</t>
        </is>
      </c>
      <c r="B4" t="n">
        <v>4</v>
      </c>
      <c r="C4" s="2" t="n">
        <v>4.25</v>
      </c>
      <c r="D4">
        <f>B4*C4</f>
        <v/>
      </c>
      <c r="E4" s="3" t="n">
        <v>45386</v>
      </c>
      <c r="G4" t="inlineStr">
        <is>
          <t>Düşey ara</t>
        </is>
      </c>
      <c r="H4">
        <f>VLOOKUP("Ürün 5 ğüş",A2:D101,4,FALSE)</f>
        <v/>
      </c>
    </row>
    <row r="5">
      <c r="A5" t="inlineStr">
        <is>
          <t>Ürün 4 ğüş</t>
        </is>
      </c>
      <c r="B5" t="n">
        <v>5</v>
      </c>
      <c r="C5" s="2" t="n">
        <v>4.5</v>
      </c>
      <c r="D5">
        <f>B5*C5</f>
        <v/>
      </c>
      <c r="E5" s="3" t="n">
        <v>45417</v>
      </c>
    </row>
    <row r="6">
      <c r="A6" t="inlineStr">
        <is>
          <t>Ürün 5 ğüş</t>
        </is>
      </c>
      <c r="B6" t="n">
        <v>6</v>
      </c>
      <c r="C6" s="2" t="n">
        <v>4.75</v>
      </c>
      <c r="D6">
        <f>B6*C6</f>
        <v/>
      </c>
      <c r="E6" s="3" t="n">
        <v>45449</v>
      </c>
    </row>
    <row r="7">
      <c r="A7" t="inlineStr">
        <is>
          <t>Ürün 6 ğüş</t>
        </is>
      </c>
      <c r="B7" t="n">
        <v>7</v>
      </c>
      <c r="C7" s="2" t="n">
        <v>5</v>
      </c>
      <c r="D7">
        <f>B7*C7</f>
        <v/>
      </c>
      <c r="E7" s="3" t="n">
        <v>45480</v>
      </c>
    </row>
    <row r="8">
      <c r="A8" t="inlineStr">
        <is>
          <t>Ürün 7 ğüş</t>
        </is>
      </c>
      <c r="B8" t="n">
        <v>8</v>
      </c>
      <c r="C8" s="2" t="n">
        <v>5.25</v>
      </c>
      <c r="D8">
        <f>B8*C8</f>
        <v/>
      </c>
      <c r="E8" s="3" t="n">
        <v>45512</v>
      </c>
    </row>
    <row r="9">
      <c r="A9" t="inlineStr">
        <is>
          <t>Ürün 8 ğüş</t>
        </is>
      </c>
      <c r="B9" t="n">
        <v>9</v>
      </c>
      <c r="C9" s="2" t="n">
        <v>5.5</v>
      </c>
      <c r="D9">
        <f>B9*C9</f>
        <v/>
      </c>
      <c r="E9" s="3" t="n">
        <v>45544</v>
      </c>
    </row>
    <row r="10">
      <c r="A10" t="inlineStr">
        <is>
          <t>Ürün 9 ğüş</t>
        </is>
      </c>
      <c r="B10" t="n">
        <v>10</v>
      </c>
      <c r="C10" s="2" t="n">
        <v>5.75</v>
      </c>
      <c r="D10">
        <f>B10*C10</f>
        <v/>
      </c>
      <c r="E10" s="3" t="n">
        <v>45575</v>
      </c>
    </row>
    <row r="11">
      <c r="A11" t="inlineStr">
        <is>
          <t>Ürün 10 ğüş</t>
        </is>
      </c>
      <c r="B11" t="n">
        <v>11</v>
      </c>
      <c r="C11" s="2" t="n">
        <v>6</v>
      </c>
      <c r="D11">
        <f>B11*C11</f>
        <v/>
      </c>
      <c r="E11" s="3" t="n">
        <v>45607</v>
      </c>
    </row>
    <row r="12">
      <c r="A12" t="inlineStr">
        <is>
          <t>Ürün 11 ğüş</t>
        </is>
      </c>
      <c r="B12" t="n">
        <v>12</v>
      </c>
      <c r="C12" s="2" t="n">
        <v>6.25</v>
      </c>
      <c r="D12">
        <f>B12*C12</f>
        <v/>
      </c>
      <c r="E12" s="3" t="n">
        <v>45638</v>
      </c>
    </row>
    <row r="13">
      <c r="A13" t="inlineStr">
        <is>
          <t>Ürün 12 ğüş</t>
        </is>
      </c>
      <c r="B13" t="n">
        <v>13</v>
      </c>
      <c r="C13" s="2" t="n">
        <v>6.5</v>
      </c>
      <c r="D13">
        <f>B13*C13</f>
        <v/>
      </c>
      <c r="E13" s="3" t="n">
        <v>45304</v>
      </c>
    </row>
    <row r="14">
      <c r="A14" t="inlineStr">
        <is>
          <t>Ürün 13 ğüş</t>
        </is>
      </c>
      <c r="B14" t="n">
        <v>14</v>
      </c>
      <c r="C14" s="2" t="n">
        <v>6.75</v>
      </c>
      <c r="D14">
        <f>B14*C14</f>
        <v/>
      </c>
      <c r="E14" s="3" t="n">
        <v>45336</v>
      </c>
    </row>
    <row r="15">
      <c r="A15" t="inlineStr">
        <is>
          <t>Ürün 14 ğüş</t>
        </is>
      </c>
      <c r="B15" t="n">
        <v>15</v>
      </c>
      <c r="C15" s="2" t="n">
        <v>7</v>
      </c>
      <c r="D15">
        <f>B15*C15</f>
        <v/>
      </c>
      <c r="E15" s="3" t="n">
        <v>45366</v>
      </c>
    </row>
    <row r="16">
      <c r="A16" t="inlineStr">
        <is>
          <t>Ürün 15 ğüş</t>
        </is>
      </c>
      <c r="B16" t="n">
        <v>16</v>
      </c>
      <c r="C16" s="2" t="n">
        <v>7.25</v>
      </c>
      <c r="D16">
        <f>B16*C16</f>
        <v/>
      </c>
      <c r="E16" s="3" t="n">
        <v>45398</v>
      </c>
    </row>
    <row r="17">
      <c r="A17" t="inlineStr">
        <is>
          <t>Ürün 16 ğüş</t>
        </is>
      </c>
      <c r="B17" t="n">
        <v>17</v>
      </c>
      <c r="C17" s="2" t="n">
        <v>7.5</v>
      </c>
      <c r="D17">
        <f>B17*C17</f>
        <v/>
      </c>
      <c r="E17" s="3" t="n">
        <v>45429</v>
      </c>
    </row>
    <row r="18">
      <c r="A18" t="inlineStr">
        <is>
          <t>Ürün 17 ğüş</t>
        </is>
      </c>
      <c r="B18" t="n">
        <v>1</v>
      </c>
      <c r="C18" s="2" t="n">
        <v>7.75</v>
      </c>
      <c r="D18">
        <f>B18*C18</f>
        <v/>
      </c>
      <c r="E18" s="3" t="n">
        <v>45461</v>
      </c>
    </row>
    <row r="19">
      <c r="A19" t="inlineStr">
        <is>
          <t>Ürün 18 ğüş</t>
        </is>
      </c>
      <c r="B19" t="n">
        <v>2</v>
      </c>
      <c r="C19" s="2" t="n">
        <v>8</v>
      </c>
      <c r="D19">
        <f>B19*C19</f>
        <v/>
      </c>
      <c r="E19" s="3" t="n">
        <v>45492</v>
      </c>
    </row>
    <row r="20">
      <c r="A20" t="inlineStr">
        <is>
          <t>Ürün 19 ğüş</t>
        </is>
      </c>
      <c r="B20" t="n">
        <v>3</v>
      </c>
      <c r="C20" s="2" t="n">
        <v>8.25</v>
      </c>
      <c r="D20">
        <f>B20*C20</f>
        <v/>
      </c>
      <c r="E20" s="3" t="n">
        <v>45524</v>
      </c>
    </row>
    <row r="21">
      <c r="A21" t="inlineStr">
        <is>
          <t>Ürün 20 ğüş</t>
        </is>
      </c>
      <c r="B21" t="n">
        <v>4</v>
      </c>
      <c r="C21" s="2" t="n">
        <v>8.5</v>
      </c>
      <c r="D21">
        <f>B21*C21</f>
        <v/>
      </c>
      <c r="E21" s="3" t="n">
        <v>45556</v>
      </c>
    </row>
    <row r="22">
      <c r="A22" t="inlineStr">
        <is>
          <t>Ürün 21 ğüş</t>
        </is>
      </c>
      <c r="B22" t="n">
        <v>5</v>
      </c>
      <c r="C22" s="2" t="n">
        <v>8.75</v>
      </c>
      <c r="D22">
        <f>B22*C22</f>
        <v/>
      </c>
      <c r="E22" s="3" t="n">
        <v>45587</v>
      </c>
    </row>
    <row r="23">
      <c r="A23" t="inlineStr">
        <is>
          <t>Ürün 22 ğüş</t>
        </is>
      </c>
      <c r="B23" t="n">
        <v>6</v>
      </c>
      <c r="C23" s="2" t="n">
        <v>9</v>
      </c>
      <c r="D23">
        <f>B23*C23</f>
        <v/>
      </c>
      <c r="E23" s="3" t="n">
        <v>45619</v>
      </c>
    </row>
    <row r="24">
      <c r="A24" t="inlineStr">
        <is>
          <t>Ürün 23 ğüş</t>
        </is>
      </c>
      <c r="B24" t="n">
        <v>7</v>
      </c>
      <c r="C24" s="2" t="n">
        <v>9.25</v>
      </c>
      <c r="D24">
        <f>B24*C24</f>
        <v/>
      </c>
      <c r="E24" s="3" t="n">
        <v>45650</v>
      </c>
    </row>
    <row r="25">
      <c r="A25" t="inlineStr">
        <is>
          <t>Ürün 24 ğüş</t>
        </is>
      </c>
      <c r="B25" t="n">
        <v>8</v>
      </c>
      <c r="C25" s="2" t="n">
        <v>9.5</v>
      </c>
      <c r="D25">
        <f>B25*C25</f>
        <v/>
      </c>
      <c r="E25" s="3" t="n">
        <v>45316</v>
      </c>
    </row>
    <row r="26">
      <c r="A26" t="inlineStr">
        <is>
          <t>Ürün 25 ğüş</t>
        </is>
      </c>
      <c r="B26" t="n">
        <v>9</v>
      </c>
      <c r="C26" s="2" t="n">
        <v>9.75</v>
      </c>
      <c r="D26">
        <f>B26*C26</f>
        <v/>
      </c>
      <c r="E26" s="3" t="n">
        <v>45348</v>
      </c>
    </row>
    <row r="27">
      <c r="A27" t="inlineStr">
        <is>
          <t>Ürün 26 ğüş</t>
        </is>
      </c>
      <c r="B27" t="n">
        <v>10</v>
      </c>
      <c r="C27" s="2" t="n">
        <v>10</v>
      </c>
      <c r="D27">
        <f>B27*C27</f>
        <v/>
      </c>
      <c r="E27" s="3" t="n">
        <v>45378</v>
      </c>
    </row>
    <row r="28">
      <c r="A28" t="inlineStr">
        <is>
          <t>Ürün 27 ğüş</t>
        </is>
      </c>
      <c r="B28" t="n">
        <v>11</v>
      </c>
      <c r="C28" s="2" t="n">
        <v>10.25</v>
      </c>
      <c r="D28">
        <f>B28*C28</f>
        <v/>
      </c>
      <c r="E28" s="3" t="n">
        <v>45383</v>
      </c>
    </row>
    <row r="29">
      <c r="A29" t="inlineStr">
        <is>
          <t>Ürün 28 ğüş</t>
        </is>
      </c>
      <c r="B29" t="n">
        <v>12</v>
      </c>
      <c r="C29" s="2" t="n">
        <v>10.5</v>
      </c>
      <c r="D29">
        <f>B29*C29</f>
        <v/>
      </c>
      <c r="E29" s="3" t="n">
        <v>45414</v>
      </c>
    </row>
    <row r="30">
      <c r="A30" t="inlineStr">
        <is>
          <t>Ürün 29 ğüş</t>
        </is>
      </c>
      <c r="B30" t="n">
        <v>13</v>
      </c>
      <c r="C30" s="2" t="n">
        <v>10.75</v>
      </c>
      <c r="D30">
        <f>B30*C30</f>
        <v/>
      </c>
      <c r="E30" s="3" t="n">
        <v>45446</v>
      </c>
    </row>
    <row r="31">
      <c r="A31" t="inlineStr">
        <is>
          <t>Ürün 30 ğüş</t>
        </is>
      </c>
      <c r="B31" t="n">
        <v>14</v>
      </c>
      <c r="C31" s="2" t="n">
        <v>11</v>
      </c>
      <c r="D31">
        <f>B31*C31</f>
        <v/>
      </c>
      <c r="E31" s="3" t="n">
        <v>45477</v>
      </c>
    </row>
    <row r="32">
      <c r="A32" t="inlineStr">
        <is>
          <t>Ürün 31 ğüş</t>
        </is>
      </c>
      <c r="B32" t="n">
        <v>15</v>
      </c>
      <c r="C32" s="2" t="n">
        <v>11.25</v>
      </c>
      <c r="D32">
        <f>B32*C32</f>
        <v/>
      </c>
      <c r="E32" s="3" t="n">
        <v>45509</v>
      </c>
    </row>
    <row r="33">
      <c r="A33" t="inlineStr">
        <is>
          <t>Ürün 32 ğüş</t>
        </is>
      </c>
      <c r="B33" t="n">
        <v>16</v>
      </c>
      <c r="C33" s="2" t="n">
        <v>11.5</v>
      </c>
      <c r="D33">
        <f>B33*C33</f>
        <v/>
      </c>
      <c r="E33" s="3" t="n">
        <v>45541</v>
      </c>
    </row>
    <row r="34">
      <c r="A34" t="inlineStr">
        <is>
          <t>Ürün 33 ğüş</t>
        </is>
      </c>
      <c r="B34" t="n">
        <v>17</v>
      </c>
      <c r="C34" s="2" t="n">
        <v>11.75</v>
      </c>
      <c r="D34">
        <f>B34*C34</f>
        <v/>
      </c>
      <c r="E34" s="3" t="n">
        <v>45572</v>
      </c>
    </row>
    <row r="35">
      <c r="A35" t="inlineStr">
        <is>
          <t>Ürün 34 ğüş</t>
        </is>
      </c>
      <c r="B35" t="n">
        <v>1</v>
      </c>
      <c r="C35" s="2" t="n">
        <v>12</v>
      </c>
      <c r="D35">
        <f>B35*C35</f>
        <v/>
      </c>
      <c r="E35" s="3" t="n">
        <v>45604</v>
      </c>
    </row>
    <row r="36">
      <c r="A36" t="inlineStr">
        <is>
          <t>Ürün 35 ğüş</t>
        </is>
      </c>
      <c r="B36" t="n">
        <v>2</v>
      </c>
      <c r="C36" s="2" t="n">
        <v>12.25</v>
      </c>
      <c r="D36">
        <f>B36*C36</f>
        <v/>
      </c>
      <c r="E36" s="3" t="n">
        <v>45635</v>
      </c>
    </row>
    <row r="37">
      <c r="A37" t="inlineStr">
        <is>
          <t>Ürün 36 ğüş</t>
        </is>
      </c>
      <c r="B37" t="n">
        <v>3</v>
      </c>
      <c r="C37" s="2" t="n">
        <v>12.5</v>
      </c>
      <c r="D37">
        <f>B37*C37</f>
        <v/>
      </c>
      <c r="E37" s="3" t="n">
        <v>45301</v>
      </c>
    </row>
    <row r="38">
      <c r="A38" t="inlineStr">
        <is>
          <t>Ürün 37 ğüş</t>
        </is>
      </c>
      <c r="B38" t="n">
        <v>4</v>
      </c>
      <c r="C38" s="2" t="n">
        <v>12.75</v>
      </c>
      <c r="D38">
        <f>B38*C38</f>
        <v/>
      </c>
      <c r="E38" s="3" t="n">
        <v>45333</v>
      </c>
    </row>
    <row r="39">
      <c r="A39" t="inlineStr">
        <is>
          <t>Ürün 38 ğüş</t>
        </is>
      </c>
      <c r="B39" t="n">
        <v>5</v>
      </c>
      <c r="C39" s="2" t="n">
        <v>13</v>
      </c>
      <c r="D39">
        <f>B39*C39</f>
        <v/>
      </c>
      <c r="E39" s="3" t="n">
        <v>45363</v>
      </c>
    </row>
    <row r="40">
      <c r="A40" t="inlineStr">
        <is>
          <t>Ürün 39 ğüş</t>
        </is>
      </c>
      <c r="B40" t="n">
        <v>6</v>
      </c>
      <c r="C40" s="2" t="n">
        <v>13.25</v>
      </c>
      <c r="D40">
        <f>B40*C40</f>
        <v/>
      </c>
      <c r="E40" s="3" t="n">
        <v>45395</v>
      </c>
    </row>
    <row r="41">
      <c r="A41" t="inlineStr">
        <is>
          <t>Ürün 40 ğüş</t>
        </is>
      </c>
      <c r="B41" t="n">
        <v>7</v>
      </c>
      <c r="C41" s="2" t="n">
        <v>13.5</v>
      </c>
      <c r="D41">
        <f>B41*C41</f>
        <v/>
      </c>
      <c r="E41" s="3" t="n">
        <v>45426</v>
      </c>
    </row>
    <row r="42">
      <c r="A42" t="inlineStr">
        <is>
          <t>Ürün 41 ğüş</t>
        </is>
      </c>
      <c r="B42" t="n">
        <v>8</v>
      </c>
      <c r="C42" s="2" t="n">
        <v>13.75</v>
      </c>
      <c r="D42">
        <f>B42*C42</f>
        <v/>
      </c>
      <c r="E42" s="3" t="n">
        <v>45458</v>
      </c>
    </row>
    <row r="43">
      <c r="A43" t="inlineStr">
        <is>
          <t>Ürün 42 ğüş</t>
        </is>
      </c>
      <c r="B43" t="n">
        <v>9</v>
      </c>
      <c r="C43" s="2" t="n">
        <v>14</v>
      </c>
      <c r="D43">
        <f>B43*C43</f>
        <v/>
      </c>
      <c r="E43" s="3" t="n">
        <v>45489</v>
      </c>
    </row>
    <row r="44">
      <c r="A44" t="inlineStr">
        <is>
          <t>Ürün 43 ğüş</t>
        </is>
      </c>
      <c r="B44" t="n">
        <v>10</v>
      </c>
      <c r="C44" s="2" t="n">
        <v>14.25</v>
      </c>
      <c r="D44">
        <f>B44*C44</f>
        <v/>
      </c>
      <c r="E44" s="3" t="n">
        <v>45521</v>
      </c>
    </row>
    <row r="45">
      <c r="A45" t="inlineStr">
        <is>
          <t>Ürün 44 ğüş</t>
        </is>
      </c>
      <c r="B45" t="n">
        <v>11</v>
      </c>
      <c r="C45" s="2" t="n">
        <v>14.5</v>
      </c>
      <c r="D45">
        <f>B45*C45</f>
        <v/>
      </c>
      <c r="E45" s="3" t="n">
        <v>45553</v>
      </c>
    </row>
    <row r="46">
      <c r="A46" t="inlineStr">
        <is>
          <t>Ürün 45 ğüş</t>
        </is>
      </c>
      <c r="B46" t="n">
        <v>12</v>
      </c>
      <c r="C46" s="2" t="n">
        <v>14.75</v>
      </c>
      <c r="D46">
        <f>B46*C46</f>
        <v/>
      </c>
      <c r="E46" s="3" t="n">
        <v>45584</v>
      </c>
    </row>
    <row r="47">
      <c r="A47" t="inlineStr">
        <is>
          <t>Ürün 46 ğüş</t>
        </is>
      </c>
      <c r="B47" t="n">
        <v>13</v>
      </c>
      <c r="C47" s="2" t="n">
        <v>15</v>
      </c>
      <c r="D47">
        <f>B47*C47</f>
        <v/>
      </c>
      <c r="E47" s="3" t="n">
        <v>45616</v>
      </c>
    </row>
    <row r="48">
      <c r="A48" t="inlineStr">
        <is>
          <t>Ürün 47 ğüş</t>
        </is>
      </c>
      <c r="B48" t="n">
        <v>14</v>
      </c>
      <c r="C48" s="2" t="n">
        <v>15.25</v>
      </c>
      <c r="D48">
        <f>B48*C48</f>
        <v/>
      </c>
      <c r="E48" s="3" t="n">
        <v>45647</v>
      </c>
    </row>
    <row r="49">
      <c r="A49" t="inlineStr">
        <is>
          <t>Ürün 48 ğüş</t>
        </is>
      </c>
      <c r="B49" t="n">
        <v>15</v>
      </c>
      <c r="C49" s="2" t="n">
        <v>15.5</v>
      </c>
      <c r="D49">
        <f>B49*C49</f>
        <v/>
      </c>
      <c r="E49" s="3" t="n">
        <v>45313</v>
      </c>
    </row>
    <row r="50">
      <c r="A50" t="inlineStr">
        <is>
          <t>Ürün 49 ğüş</t>
        </is>
      </c>
      <c r="B50" t="n">
        <v>16</v>
      </c>
      <c r="C50" s="2" t="n">
        <v>15.75</v>
      </c>
      <c r="D50">
        <f>B50*C50</f>
        <v/>
      </c>
      <c r="E50" s="3" t="n">
        <v>45345</v>
      </c>
    </row>
    <row r="51">
      <c r="A51" t="inlineStr">
        <is>
          <t>Ürün 50 ğüş</t>
        </is>
      </c>
      <c r="B51" t="n">
        <v>17</v>
      </c>
      <c r="C51" s="2" t="n">
        <v>16</v>
      </c>
      <c r="D51">
        <f>B51*C51</f>
        <v/>
      </c>
      <c r="E51" s="3" t="n">
        <v>45375</v>
      </c>
    </row>
    <row r="52">
      <c r="A52" t="inlineStr">
        <is>
          <t>Ürün 51 ğüş</t>
        </is>
      </c>
      <c r="B52" t="n">
        <v>1</v>
      </c>
      <c r="C52" s="2" t="n">
        <v>16.25</v>
      </c>
      <c r="D52">
        <f>B52*C52</f>
        <v/>
      </c>
      <c r="E52" s="3" t="n">
        <v>45407</v>
      </c>
    </row>
    <row r="53">
      <c r="A53" t="inlineStr">
        <is>
          <t>Ürün 52 ğüş</t>
        </is>
      </c>
      <c r="B53" t="n">
        <v>2</v>
      </c>
      <c r="C53" s="2" t="n">
        <v>16.5</v>
      </c>
      <c r="D53">
        <f>B53*C53</f>
        <v/>
      </c>
      <c r="E53" s="3" t="n">
        <v>45438</v>
      </c>
    </row>
    <row r="54">
      <c r="A54" t="inlineStr">
        <is>
          <t>Ürün 53 ğüş</t>
        </is>
      </c>
      <c r="B54" t="n">
        <v>3</v>
      </c>
      <c r="C54" s="2" t="n">
        <v>16.75</v>
      </c>
      <c r="D54">
        <f>B54*C54</f>
        <v/>
      </c>
      <c r="E54" s="3" t="n">
        <v>45470</v>
      </c>
    </row>
    <row r="55">
      <c r="A55" t="inlineStr">
        <is>
          <t>Ürün 54 ğüş</t>
        </is>
      </c>
      <c r="B55" t="n">
        <v>4</v>
      </c>
      <c r="C55" s="2" t="n">
        <v>17</v>
      </c>
      <c r="D55">
        <f>B55*C55</f>
        <v/>
      </c>
      <c r="E55" s="3" t="n">
        <v>45474</v>
      </c>
    </row>
    <row r="56">
      <c r="A56" t="inlineStr">
        <is>
          <t>Ürün 55 ğüş</t>
        </is>
      </c>
      <c r="B56" t="n">
        <v>5</v>
      </c>
      <c r="C56" s="2" t="n">
        <v>17.25</v>
      </c>
      <c r="D56">
        <f>B56*C56</f>
        <v/>
      </c>
      <c r="E56" s="3" t="n">
        <v>45506</v>
      </c>
    </row>
    <row r="57">
      <c r="A57" t="inlineStr">
        <is>
          <t>Ürün 56 ğüş</t>
        </is>
      </c>
      <c r="B57" t="n">
        <v>6</v>
      </c>
      <c r="C57" s="2" t="n">
        <v>17.5</v>
      </c>
      <c r="D57">
        <f>B57*C57</f>
        <v/>
      </c>
      <c r="E57" s="3" t="n">
        <v>45538</v>
      </c>
    </row>
    <row r="58">
      <c r="A58" t="inlineStr">
        <is>
          <t>Ürün 57 ğüş</t>
        </is>
      </c>
      <c r="B58" t="n">
        <v>7</v>
      </c>
      <c r="C58" s="2" t="n">
        <v>17.75</v>
      </c>
      <c r="D58">
        <f>B58*C58</f>
        <v/>
      </c>
      <c r="E58" s="3" t="n">
        <v>45569</v>
      </c>
    </row>
    <row r="59">
      <c r="A59" t="inlineStr">
        <is>
          <t>Ürün 58 ğüş</t>
        </is>
      </c>
      <c r="B59" t="n">
        <v>8</v>
      </c>
      <c r="C59" s="2" t="n">
        <v>18</v>
      </c>
      <c r="D59">
        <f>B59*C59</f>
        <v/>
      </c>
      <c r="E59" s="3" t="n">
        <v>45601</v>
      </c>
    </row>
    <row r="60">
      <c r="A60" t="inlineStr">
        <is>
          <t>Ürün 59 ğüş</t>
        </is>
      </c>
      <c r="B60" t="n">
        <v>9</v>
      </c>
      <c r="C60" s="2" t="n">
        <v>18.25</v>
      </c>
      <c r="D60">
        <f>B60*C60</f>
        <v/>
      </c>
      <c r="E60" s="3" t="n">
        <v>45632</v>
      </c>
    </row>
    <row r="61">
      <c r="A61" t="inlineStr">
        <is>
          <t>Ürün 60 ğüş</t>
        </is>
      </c>
      <c r="B61" t="n">
        <v>10</v>
      </c>
      <c r="C61" s="2" t="n">
        <v>18.5</v>
      </c>
      <c r="D61">
        <f>B61*C61</f>
        <v/>
      </c>
      <c r="E61" s="3" t="n">
        <v>45298</v>
      </c>
    </row>
    <row r="62">
      <c r="A62" t="inlineStr">
        <is>
          <t>Ürün 61 ğüş</t>
        </is>
      </c>
      <c r="B62" t="n">
        <v>11</v>
      </c>
      <c r="C62" s="2" t="n">
        <v>18.75</v>
      </c>
      <c r="D62">
        <f>B62*C62</f>
        <v/>
      </c>
      <c r="E62" s="3" t="n">
        <v>45330</v>
      </c>
    </row>
    <row r="63">
      <c r="A63" t="inlineStr">
        <is>
          <t>Ürün 62 ğüş</t>
        </is>
      </c>
      <c r="B63" t="n">
        <v>12</v>
      </c>
      <c r="C63" s="2" t="n">
        <v>19</v>
      </c>
      <c r="D63">
        <f>B63*C63</f>
        <v/>
      </c>
      <c r="E63" s="3" t="n">
        <v>45360</v>
      </c>
    </row>
    <row r="64">
      <c r="A64" t="inlineStr">
        <is>
          <t>Ürün 63 ğüş</t>
        </is>
      </c>
      <c r="B64" t="n">
        <v>13</v>
      </c>
      <c r="C64" s="2" t="n">
        <v>19.25</v>
      </c>
      <c r="D64">
        <f>B64*C64</f>
        <v/>
      </c>
      <c r="E64" s="3" t="n">
        <v>45392</v>
      </c>
    </row>
    <row r="65">
      <c r="A65" t="inlineStr">
        <is>
          <t>Ürün 64 ğüş</t>
        </is>
      </c>
      <c r="B65" t="n">
        <v>14</v>
      </c>
      <c r="C65" s="2" t="n">
        <v>19.5</v>
      </c>
      <c r="D65">
        <f>B65*C65</f>
        <v/>
      </c>
      <c r="E65" s="3" t="n">
        <v>45423</v>
      </c>
    </row>
    <row r="66">
      <c r="A66" t="inlineStr">
        <is>
          <t>Ürün 65 ğüş</t>
        </is>
      </c>
      <c r="B66" t="n">
        <v>15</v>
      </c>
      <c r="C66" s="2" t="n">
        <v>19.75</v>
      </c>
      <c r="D66">
        <f>B66*C66</f>
        <v/>
      </c>
      <c r="E66" s="3" t="n">
        <v>45455</v>
      </c>
    </row>
    <row r="67">
      <c r="A67" t="inlineStr">
        <is>
          <t>Ürün 66 ğüş</t>
        </is>
      </c>
      <c r="B67" t="n">
        <v>16</v>
      </c>
      <c r="C67" s="2" t="n">
        <v>20</v>
      </c>
      <c r="D67">
        <f>B67*C67</f>
        <v/>
      </c>
      <c r="E67" s="3" t="n">
        <v>45486</v>
      </c>
    </row>
    <row r="68">
      <c r="A68" t="inlineStr">
        <is>
          <t>Ürün 67 ğüş</t>
        </is>
      </c>
      <c r="B68" t="n">
        <v>17</v>
      </c>
      <c r="C68" s="2" t="n">
        <v>20.25</v>
      </c>
      <c r="D68">
        <f>B68*C68</f>
        <v/>
      </c>
      <c r="E68" s="3" t="n">
        <v>45518</v>
      </c>
    </row>
    <row r="69">
      <c r="A69" t="inlineStr">
        <is>
          <t>Ürün 68 ğüş</t>
        </is>
      </c>
      <c r="B69" t="n">
        <v>1</v>
      </c>
      <c r="C69" s="2" t="n">
        <v>20.5</v>
      </c>
      <c r="D69">
        <f>B69*C69</f>
        <v/>
      </c>
      <c r="E69" s="3" t="n">
        <v>45550</v>
      </c>
    </row>
    <row r="70">
      <c r="A70" t="inlineStr">
        <is>
          <t>Ürün 69 ğüş</t>
        </is>
      </c>
      <c r="B70" t="n">
        <v>2</v>
      </c>
      <c r="C70" s="2" t="n">
        <v>20.75</v>
      </c>
      <c r="D70">
        <f>B70*C70</f>
        <v/>
      </c>
      <c r="E70" s="3" t="n">
        <v>45581</v>
      </c>
    </row>
    <row r="71">
      <c r="A71" t="inlineStr">
        <is>
          <t>Ürün 70 ğüş</t>
        </is>
      </c>
      <c r="B71" t="n">
        <v>3</v>
      </c>
      <c r="C71" s="2" t="n">
        <v>21</v>
      </c>
      <c r="D71">
        <f>B71*C71</f>
        <v/>
      </c>
      <c r="E71" s="3" t="n">
        <v>45613</v>
      </c>
    </row>
    <row r="72">
      <c r="A72" t="inlineStr">
        <is>
          <t>Ürün 71 ğüş</t>
        </is>
      </c>
      <c r="B72" t="n">
        <v>4</v>
      </c>
      <c r="C72" s="2" t="n">
        <v>21.25</v>
      </c>
      <c r="D72">
        <f>B72*C72</f>
        <v/>
      </c>
      <c r="E72" s="3" t="n">
        <v>45644</v>
      </c>
    </row>
    <row r="73">
      <c r="A73" t="inlineStr">
        <is>
          <t>Ürün 72 ğüş</t>
        </is>
      </c>
      <c r="B73" t="n">
        <v>5</v>
      </c>
      <c r="C73" s="2" t="n">
        <v>21.5</v>
      </c>
      <c r="D73">
        <f>B73*C73</f>
        <v/>
      </c>
      <c r="E73" s="3" t="n">
        <v>45310</v>
      </c>
    </row>
    <row r="74">
      <c r="A74" t="inlineStr">
        <is>
          <t>Ürün 73 ğüş</t>
        </is>
      </c>
      <c r="B74" t="n">
        <v>6</v>
      </c>
      <c r="C74" s="2" t="n">
        <v>21.75</v>
      </c>
      <c r="D74">
        <f>B74*C74</f>
        <v/>
      </c>
      <c r="E74" s="3" t="n">
        <v>45342</v>
      </c>
    </row>
    <row r="75">
      <c r="A75" t="inlineStr">
        <is>
          <t>Ürün 74 ğüş</t>
        </is>
      </c>
      <c r="B75" t="n">
        <v>7</v>
      </c>
      <c r="C75" s="2" t="n">
        <v>22</v>
      </c>
      <c r="D75">
        <f>B75*C75</f>
        <v/>
      </c>
      <c r="E75" s="3" t="n">
        <v>45372</v>
      </c>
    </row>
    <row r="76">
      <c r="A76" t="inlineStr">
        <is>
          <t>Ürün 75 ğüş</t>
        </is>
      </c>
      <c r="B76" t="n">
        <v>8</v>
      </c>
      <c r="C76" s="2" t="n">
        <v>22.25</v>
      </c>
      <c r="D76">
        <f>B76*C76</f>
        <v/>
      </c>
      <c r="E76" s="3" t="n">
        <v>45404</v>
      </c>
    </row>
    <row r="77">
      <c r="A77" t="inlineStr">
        <is>
          <t>Ürün 76 ğüş</t>
        </is>
      </c>
      <c r="B77" t="n">
        <v>9</v>
      </c>
      <c r="C77" s="2" t="n">
        <v>22.5</v>
      </c>
      <c r="D77">
        <f>B77*C77</f>
        <v/>
      </c>
      <c r="E77" s="3" t="n">
        <v>45435</v>
      </c>
    </row>
    <row r="78">
      <c r="A78" t="inlineStr">
        <is>
          <t>Ürün 77 ğüş</t>
        </is>
      </c>
      <c r="B78" t="n">
        <v>10</v>
      </c>
      <c r="C78" s="2" t="n">
        <v>22.75</v>
      </c>
      <c r="D78">
        <f>B78*C78</f>
        <v/>
      </c>
      <c r="E78" s="3" t="n">
        <v>45467</v>
      </c>
    </row>
    <row r="79">
      <c r="A79" t="inlineStr">
        <is>
          <t>Ürün 78 ğüş</t>
        </is>
      </c>
      <c r="B79" t="n">
        <v>11</v>
      </c>
      <c r="C79" s="2" t="n">
        <v>23</v>
      </c>
      <c r="D79">
        <f>B79*C79</f>
        <v/>
      </c>
      <c r="E79" s="3" t="n">
        <v>45498</v>
      </c>
    </row>
    <row r="80">
      <c r="A80" t="inlineStr">
        <is>
          <t>Ürün 79 ğüş</t>
        </is>
      </c>
      <c r="B80" t="n">
        <v>12</v>
      </c>
      <c r="C80" s="2" t="n">
        <v>23.25</v>
      </c>
      <c r="D80">
        <f>B80*C80</f>
        <v/>
      </c>
      <c r="E80" s="3" t="n">
        <v>45530</v>
      </c>
    </row>
    <row r="81">
      <c r="A81" t="inlineStr">
        <is>
          <t>Ürün 80 ğüş</t>
        </is>
      </c>
      <c r="B81" t="n">
        <v>13</v>
      </c>
      <c r="C81" s="2" t="n">
        <v>23.5</v>
      </c>
      <c r="D81">
        <f>B81*C81</f>
        <v/>
      </c>
      <c r="E81" s="3" t="n">
        <v>45562</v>
      </c>
    </row>
    <row r="82">
      <c r="A82" t="inlineStr">
        <is>
          <t>Ürün 81 ğüş</t>
        </is>
      </c>
      <c r="B82" t="n">
        <v>14</v>
      </c>
      <c r="C82" s="2" t="n">
        <v>23.75</v>
      </c>
      <c r="D82">
        <f>B82*C82</f>
        <v/>
      </c>
      <c r="E82" s="3" t="n">
        <v>45566</v>
      </c>
    </row>
    <row r="83">
      <c r="A83" t="inlineStr">
        <is>
          <t>Ürün 82 ğüş</t>
        </is>
      </c>
      <c r="B83" t="n">
        <v>15</v>
      </c>
      <c r="C83" s="2" t="n">
        <v>24</v>
      </c>
      <c r="D83">
        <f>B83*C83</f>
        <v/>
      </c>
      <c r="E83" s="3" t="n">
        <v>45598</v>
      </c>
    </row>
    <row r="84">
      <c r="A84" t="inlineStr">
        <is>
          <t>Ürün 83 ğüş</t>
        </is>
      </c>
      <c r="B84" t="n">
        <v>16</v>
      </c>
      <c r="C84" s="2" t="n">
        <v>24.25</v>
      </c>
      <c r="D84">
        <f>B84*C84</f>
        <v/>
      </c>
      <c r="E84" s="3" t="n">
        <v>45629</v>
      </c>
    </row>
    <row r="85">
      <c r="A85" t="inlineStr">
        <is>
          <t>Ürün 84 ğüş</t>
        </is>
      </c>
      <c r="B85" t="n">
        <v>17</v>
      </c>
      <c r="C85" s="2" t="n">
        <v>24.5</v>
      </c>
      <c r="D85">
        <f>B85*C85</f>
        <v/>
      </c>
      <c r="E85" s="3" t="n">
        <v>45295</v>
      </c>
    </row>
    <row r="86">
      <c r="A86" t="inlineStr">
        <is>
          <t>Ürün 85 ğüş</t>
        </is>
      </c>
      <c r="B86" t="n">
        <v>1</v>
      </c>
      <c r="C86" s="2" t="n">
        <v>24.75</v>
      </c>
      <c r="D86">
        <f>B86*C86</f>
        <v/>
      </c>
      <c r="E86" s="3" t="n">
        <v>45327</v>
      </c>
    </row>
    <row r="87">
      <c r="A87" t="inlineStr">
        <is>
          <t>Ürün 86 ğüş</t>
        </is>
      </c>
      <c r="B87" t="n">
        <v>2</v>
      </c>
      <c r="C87" s="2" t="n">
        <v>25</v>
      </c>
      <c r="D87">
        <f>B87*C87</f>
        <v/>
      </c>
      <c r="E87" s="3" t="n">
        <v>45357</v>
      </c>
    </row>
    <row r="88">
      <c r="A88" t="inlineStr">
        <is>
          <t>Ürün 87 ğüş</t>
        </is>
      </c>
      <c r="B88" t="n">
        <v>3</v>
      </c>
      <c r="C88" s="2" t="n">
        <v>25.25</v>
      </c>
      <c r="D88">
        <f>B88*C88</f>
        <v/>
      </c>
      <c r="E88" s="3" t="n">
        <v>45389</v>
      </c>
    </row>
    <row r="89">
      <c r="A89" t="inlineStr">
        <is>
          <t>Ürün 88 ğüş</t>
        </is>
      </c>
      <c r="B89" t="n">
        <v>4</v>
      </c>
      <c r="C89" s="2" t="n">
        <v>25.5</v>
      </c>
      <c r="D89">
        <f>B89*C89</f>
        <v/>
      </c>
      <c r="E89" s="3" t="n">
        <v>45420</v>
      </c>
    </row>
    <row r="90">
      <c r="A90" t="inlineStr">
        <is>
          <t>Ürün 89 ğüş</t>
        </is>
      </c>
      <c r="B90" t="n">
        <v>5</v>
      </c>
      <c r="C90" s="2" t="n">
        <v>25.75</v>
      </c>
      <c r="D90">
        <f>B90*C90</f>
        <v/>
      </c>
      <c r="E90" s="3" t="n">
        <v>45452</v>
      </c>
    </row>
    <row r="91">
      <c r="A91" t="inlineStr">
        <is>
          <t>Ürün 90 ğüş</t>
        </is>
      </c>
      <c r="B91" t="n">
        <v>6</v>
      </c>
      <c r="C91" s="2" t="n">
        <v>26</v>
      </c>
      <c r="D91">
        <f>B91*C91</f>
        <v/>
      </c>
      <c r="E91" s="3" t="n">
        <v>45483</v>
      </c>
    </row>
    <row r="92">
      <c r="A92" t="inlineStr">
        <is>
          <t>Ürün 91 ğüş</t>
        </is>
      </c>
      <c r="B92" t="n">
        <v>7</v>
      </c>
      <c r="C92" s="2" t="n">
        <v>26.25</v>
      </c>
      <c r="D92">
        <f>B92*C92</f>
        <v/>
      </c>
      <c r="E92" s="3" t="n">
        <v>45515</v>
      </c>
    </row>
    <row r="93">
      <c r="A93" t="inlineStr">
        <is>
          <t>Ürün 92 ğüş</t>
        </is>
      </c>
      <c r="B93" t="n">
        <v>8</v>
      </c>
      <c r="C93" s="2" t="n">
        <v>26.5</v>
      </c>
      <c r="D93">
        <f>B93*C93</f>
        <v/>
      </c>
      <c r="E93" s="3" t="n">
        <v>45547</v>
      </c>
    </row>
    <row r="94">
      <c r="A94" t="inlineStr">
        <is>
          <t>Ürün 93 ğüş</t>
        </is>
      </c>
      <c r="B94" t="n">
        <v>9</v>
      </c>
      <c r="C94" s="2" t="n">
        <v>26.75</v>
      </c>
      <c r="D94">
        <f>B94*C94</f>
        <v/>
      </c>
      <c r="E94" s="3" t="n">
        <v>45578</v>
      </c>
    </row>
    <row r="95">
      <c r="A95" t="inlineStr">
        <is>
          <t>Ürün 94 ğüş</t>
        </is>
      </c>
      <c r="B95" t="n">
        <v>10</v>
      </c>
      <c r="C95" s="2" t="n">
        <v>27</v>
      </c>
      <c r="D95">
        <f>B95*C95</f>
        <v/>
      </c>
      <c r="E95" s="3" t="n">
        <v>45610</v>
      </c>
    </row>
    <row r="96">
      <c r="A96" t="inlineStr">
        <is>
          <t>Ürün 95 ğüş</t>
        </is>
      </c>
      <c r="B96" t="n">
        <v>11</v>
      </c>
      <c r="C96" s="2" t="n">
        <v>27.25</v>
      </c>
      <c r="D96">
        <f>B96*C96</f>
        <v/>
      </c>
      <c r="E96" s="3" t="n">
        <v>45641</v>
      </c>
    </row>
    <row r="97">
      <c r="A97" t="inlineStr">
        <is>
          <t>Ürün 96 ğüş</t>
        </is>
      </c>
      <c r="B97" t="n">
        <v>12</v>
      </c>
      <c r="C97" s="2" t="n">
        <v>27.5</v>
      </c>
      <c r="D97">
        <f>B97*C97</f>
        <v/>
      </c>
      <c r="E97" s="3" t="n">
        <v>45307</v>
      </c>
    </row>
    <row r="98">
      <c r="A98" t="inlineStr">
        <is>
          <t>Ürün 97 ğüş</t>
        </is>
      </c>
      <c r="B98" t="n">
        <v>13</v>
      </c>
      <c r="C98" s="2" t="n">
        <v>27.75</v>
      </c>
      <c r="D98">
        <f>B98*C98</f>
        <v/>
      </c>
      <c r="E98" s="3" t="n">
        <v>45339</v>
      </c>
    </row>
    <row r="99">
      <c r="A99" t="inlineStr">
        <is>
          <t>Ürün 98 ğüş</t>
        </is>
      </c>
      <c r="B99" t="n">
        <v>14</v>
      </c>
      <c r="C99" s="2" t="n">
        <v>28</v>
      </c>
      <c r="D99">
        <f>B99*C99</f>
        <v/>
      </c>
      <c r="E99" s="3" t="n">
        <v>45369</v>
      </c>
    </row>
    <row r="100">
      <c r="A100" t="inlineStr">
        <is>
          <t>Ürün 99 ğüş</t>
        </is>
      </c>
      <c r="B100" t="n">
        <v>15</v>
      </c>
      <c r="C100" s="2" t="n">
        <v>28.25</v>
      </c>
      <c r="D100">
        <f>B100*C100</f>
        <v/>
      </c>
      <c r="E100" s="3" t="n">
        <v>45401</v>
      </c>
    </row>
    <row r="101">
      <c r="A101" t="inlineStr">
        <is>
          <t>Ürün 100 ğüş</t>
        </is>
      </c>
      <c r="B101" t="n">
        <v>16</v>
      </c>
      <c r="C101" s="2" t="n">
        <v>28.5</v>
      </c>
      <c r="D101">
        <f>B101*C101</f>
        <v/>
      </c>
      <c r="E101" s="3" t="n">
        <v>45432</v>
      </c>
    </row>
  </sheetData>
  <mergeCells count="1">
    <mergeCell ref="J1:L2"/>
  </mergeCells>
  <conditionalFormatting sqref="D2:D101">
    <cfRule type="cellIs" priority="1" operator="greaterThan" dxfId="0">
      <formula>100</formula>
    </cfRule>
  </conditionalFormatting>
  <conditionalFormatting sqref="B2:B101">
    <cfRule type="colorScale" priority="2">
      <colorScale>
        <cfvo type="min"/>
        <cfvo type="max"/>
        <color rgb="00F8696B"/>
        <color rgb="0063BE7B"/>
      </colorScale>
    </cfRule>
  </conditionalFormatting>
  <dataValidations count="1">
    <dataValidation sqref="M2:M20" showDropDown="0" showInputMessage="0" showErrorMessage="0" allowBlank="1" type="list">
      <formula1>"Evet,Hayır"</formula1>
    </dataValidation>
  </dataValidations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Toplam</t>
        </is>
      </c>
      <c r="B1">
        <f>Veri!H1</f>
        <v/>
      </c>
    </row>
    <row r="2">
      <c r="A2" t="inlineStr">
        <is>
          <t>Sayım</t>
        </is>
      </c>
      <c r="B2">
        <f>COUNTA(Veri!A2:A101)</f>
        <v/>
      </c>
    </row>
    <row r="3">
      <c r="A3" t="inlineStr">
        <is>
          <t>Metin</t>
        </is>
      </c>
      <c r="B3">
        <f>CONCATENATE("Toplam=",TEXT(B1,"0.00"))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2026-10-14T08:38:35Z</dcterms:created>
  <dcterms:modified xmlns:dcterms="http://purl.org/dc/terms/" xmlns:xsi="http://www.w3.org/2001/XMLSchema-instance" xsi:type="dcterms:W3CDTF">2026-10-14T08:38:35Z</dcterms:modified>
</cp:coreProperties>
</file>