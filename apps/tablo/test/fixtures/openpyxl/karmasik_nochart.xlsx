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ütçe" sheetId="1" state="visible" r:id="rId1"/>
    <sheet xmlns:r="http://schemas.openxmlformats.org/officeDocument/2006/relationships" name="Satışlar" sheetId="2" state="visible" r:id="rId2"/>
    <sheet xmlns:r="http://schemas.openxmlformats.org/officeDocument/2006/relationships" name="Gizli" sheetId="3" state="hidden" r:id="rId3"/>
    <sheet xmlns:r="http://schemas.openxmlformats.org/officeDocument/2006/relationships" name="Biçimler" sheetId="4" state="visible" r:id="rId4"/>
  </sheets>
  <definedNames>
    <definedName name="Toplam_Tutar">Bütçe!$C$10</definedName>
    <definedName name="_xlnm._FilterDatabase" localSheetId="0" hidden="1">'Bütçe'!$A$2:$F$9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.MM.YYYY"/>
    <numFmt numFmtId="165" formatCode="#,##0.00 &quot;₺&quot;"/>
    <numFmt numFmtId="166" formatCode="#,##0.00 &quot;₺&quot;;[Red]-#,##0.00 &quot;₺&quot;"/>
    <numFmt numFmtId="167" formatCode="D MMMM YYYY"/>
    <numFmt numFmtId="168" formatCode="H:MM"/>
    <numFmt numFmtId="169" formatCode="[$-tr-TR]D MMMM YYYY DDDD"/>
    <numFmt numFmtId="170" formatCode="[Red]0.0;[Blue]-0.0"/>
    <numFmt numFmtId="171" formatCode="0.0,,&quot;M&quot;"/>
    <numFmt numFmtId="172" formatCode="&quot;Değer: &quot;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color rgb="000563C1"/>
      <u val="single"/>
    </font>
    <font>
      <name val="Arial"/>
      <b val="1"/>
      <i val="1"/>
      <color rgb="00C00000"/>
      <sz val="14"/>
      <u val="single"/>
    </font>
    <font>
      <strike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double">
        <color rgb="00000000"/>
      </bottom>
    </border>
    <border>
      <left style="thick"/>
      <right style="thick"/>
      <top style="thick"/>
      <bottom style="thick"/>
    </border>
    <border>
      <bottom style="dashed">
        <color rgb="00FF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4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indent="2"/>
    </xf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Test</author>
  </authors>
  <commentList>
    <comment ref="A3" authorId="0" shapeId="0">
      <text>
        <t>Kira sözleşmesi Ocak'ta yenilenecek</t>
      </text>
    </comment>
  </commentList>
</comments>
</file>

<file path=xl/tables/table1.xml><?xml version="1.0" encoding="utf-8"?>
<table xmlns="http://schemas.openxmlformats.org/spreadsheetml/2006/main" id="1" name="SatisTablosu" displayName="SatisTablosu" ref="A1:E13" headerRowCount="1">
  <autoFilter ref="A1:E13"/>
  <tableColumns count="5">
    <tableColumn id="1" name="Ay"/>
    <tableColumn id="2" name="Bölge"/>
    <tableColumn id="3" name="Adet"/>
    <tableColumn id="4" name="Birim Fiyat"/>
    <tableColumn id="5" name="Tuta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5" max="5"/>
  </cols>
  <sheetData>
    <row r="1" ht="30" customHeight="1">
      <c r="A1" s="1" t="inlineStr">
        <is>
          <t>2026 Aile Bütçesi</t>
        </is>
      </c>
    </row>
    <row r="2">
      <c r="A2" s="2" t="inlineStr">
        <is>
          <t>Kalem</t>
        </is>
      </c>
      <c r="B2" s="2" t="inlineStr">
        <is>
          <t>Tarih</t>
        </is>
      </c>
      <c r="C2" s="2" t="inlineStr">
        <is>
          <t>Tutar</t>
        </is>
      </c>
      <c r="D2" s="2" t="inlineStr">
        <is>
          <t>KDV</t>
        </is>
      </c>
      <c r="E2" s="2" t="inlineStr">
        <is>
          <t>Toplam</t>
        </is>
      </c>
      <c r="F2" s="2" t="inlineStr">
        <is>
          <t>Kategori</t>
        </is>
      </c>
    </row>
    <row r="3">
      <c r="A3" s="3" t="inlineStr">
        <is>
          <t>Kira</t>
        </is>
      </c>
      <c r="B3" s="35" t="n">
        <v>46296</v>
      </c>
      <c r="C3" s="36" t="n">
        <v>15000</v>
      </c>
      <c r="D3" s="6" t="n">
        <v>0</v>
      </c>
      <c r="E3" s="37">
        <f>C3*(1+D3)</f>
        <v/>
      </c>
      <c r="F3" s="3" t="inlineStr">
        <is>
          <t>Sabit</t>
        </is>
      </c>
    </row>
    <row r="4">
      <c r="A4" s="3" t="inlineStr">
        <is>
          <t>Elektrik</t>
        </is>
      </c>
      <c r="B4" s="35" t="n">
        <v>46300</v>
      </c>
      <c r="C4" s="36" t="n">
        <v>1250.75</v>
      </c>
      <c r="D4" s="6" t="n">
        <v>0.2</v>
      </c>
      <c r="E4" s="37">
        <f>C4*(1+D4)</f>
        <v/>
      </c>
      <c r="F4" s="3" t="inlineStr">
        <is>
          <t>Fatura</t>
        </is>
      </c>
    </row>
    <row r="5">
      <c r="A5" s="3" t="inlineStr">
        <is>
          <t>Su</t>
        </is>
      </c>
      <c r="B5" s="35" t="n">
        <v>46302</v>
      </c>
      <c r="C5" s="36" t="n">
        <v>430</v>
      </c>
      <c r="D5" s="6" t="n">
        <v>0.1</v>
      </c>
      <c r="E5" s="37">
        <f>C5*(1+D5)</f>
        <v/>
      </c>
      <c r="F5" s="3" t="inlineStr">
        <is>
          <t>Fatura</t>
        </is>
      </c>
    </row>
    <row r="6" hidden="1">
      <c r="A6" s="3" t="inlineStr">
        <is>
          <t>İnternet</t>
        </is>
      </c>
      <c r="B6" s="35" t="n">
        <v>46307</v>
      </c>
      <c r="C6" s="36" t="n">
        <v>599.9</v>
      </c>
      <c r="D6" s="6" t="n">
        <v>0.2</v>
      </c>
      <c r="E6" s="37">
        <f>C6*(1+D6)</f>
        <v/>
      </c>
      <c r="F6" s="3" t="inlineStr">
        <is>
          <t>Fatura</t>
        </is>
      </c>
    </row>
    <row r="7">
      <c r="A7" s="3" t="inlineStr">
        <is>
          <t>Market</t>
        </is>
      </c>
      <c r="B7" s="35" t="n">
        <v>46310</v>
      </c>
      <c r="C7" s="36" t="n">
        <v>8750</v>
      </c>
      <c r="D7" s="6" t="n">
        <v>0.01</v>
      </c>
      <c r="E7" s="37">
        <f>C7*(1+D7)</f>
        <v/>
      </c>
      <c r="F7" s="3" t="inlineStr">
        <is>
          <t>Değişken</t>
        </is>
      </c>
    </row>
    <row r="8">
      <c r="A8" s="3" t="inlineStr">
        <is>
          <t>Ulaşım</t>
        </is>
      </c>
      <c r="B8" s="35" t="n">
        <v>46315</v>
      </c>
      <c r="C8" s="36" t="n">
        <v>2100</v>
      </c>
      <c r="D8" s="6" t="n">
        <v>0.2</v>
      </c>
      <c r="E8" s="37">
        <f>C8*(1+D8)</f>
        <v/>
      </c>
      <c r="F8" s="3" t="inlineStr">
        <is>
          <t>Değişken</t>
        </is>
      </c>
    </row>
    <row r="9">
      <c r="A9" s="3" t="inlineStr">
        <is>
          <t>Çocuk ödemeleri — uzun açıklama satırı</t>
        </is>
      </c>
      <c r="B9" s="35" t="n">
        <v>46320</v>
      </c>
      <c r="C9" s="36" t="n">
        <v>3200</v>
      </c>
      <c r="D9" s="6" t="n">
        <v>0</v>
      </c>
      <c r="E9" s="37">
        <f>C9*(1+D9)</f>
        <v/>
      </c>
      <c r="F9" s="3" t="inlineStr">
        <is>
          <t>Değişken</t>
        </is>
      </c>
    </row>
    <row r="10">
      <c r="A10" s="8" t="inlineStr">
        <is>
          <t>Toplam</t>
        </is>
      </c>
      <c r="C10" s="38">
        <f>SUM(C3:C9)</f>
        <v/>
      </c>
      <c r="E10" s="38">
        <f>SUM(E3:E9)</f>
        <v/>
      </c>
    </row>
    <row r="11">
      <c r="A11" t="inlineStr">
        <is>
          <t>Fatura toplamı</t>
        </is>
      </c>
      <c r="E11" s="38">
        <f>SUMIF(F3:F9,"Fatura",E3:E9)</f>
        <v/>
      </c>
    </row>
    <row r="12">
      <c r="A12" t="inlineStr">
        <is>
          <t>En yüksek kalem</t>
        </is>
      </c>
      <c r="E12">
        <f>INDEX(A3:A9,MATCH(MAX(E3:E9),E3:E9,0))</f>
        <v/>
      </c>
    </row>
    <row r="13">
      <c r="A13" t="inlineStr">
        <is>
          <t>Bugün</t>
        </is>
      </c>
      <c r="E13" s="39">
        <f>TODAY()</f>
        <v/>
      </c>
    </row>
    <row r="14">
      <c r="A14" t="inlineStr">
        <is>
          <t>Köprü</t>
        </is>
      </c>
      <c r="E14" s="11" t="inlineStr">
        <is>
          <t>https://example.com</t>
        </is>
      </c>
    </row>
  </sheetData>
  <autoFilter ref="A2:F9"/>
  <mergeCells count="1">
    <mergeCell ref="A1:F1"/>
  </mergeCells>
  <conditionalFormatting sqref="E3:E9">
    <cfRule type="cellIs" priority="1" operator="greaterThan" dxfId="0">
      <formula>5000</formula>
    </cfRule>
  </conditionalFormatting>
  <conditionalFormatting sqref="C3:C9">
    <cfRule type="dataBar" priority="2">
      <dataBar>
        <cfvo type="min"/>
        <cfvo type="max"/>
        <color rgb="00638EC6"/>
      </dataBar>
    </cfRule>
  </conditionalFormatting>
  <conditionalFormatting sqref="D3:D9">
    <cfRule type="colorScale" priority="3">
      <colorScale>
        <cfvo type="min"/>
        <cfvo type="max"/>
        <color rgb="0063BE7B"/>
        <color rgb="00F8696B"/>
      </colorScale>
    </cfRule>
  </conditionalFormatting>
  <dataValidations count="1">
    <dataValidation sqref="F3:F9" showDropDown="0" showInputMessage="0" showErrorMessage="0" allowBlank="1" type="list">
      <formula1>"Sabit,Fatura,Değişken"</formula1>
    </dataValidation>
  </dataValidations>
  <hyperlinks>
    <hyperlink xmlns:r="http://schemas.openxmlformats.org/officeDocument/2006/relationships" ref="E14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Bölge</t>
        </is>
      </c>
      <c r="C1" t="inlineStr">
        <is>
          <t>Adet</t>
        </is>
      </c>
      <c r="D1" t="inlineStr">
        <is>
          <t>Birim Fiyat</t>
        </is>
      </c>
      <c r="E1" t="inlineStr">
        <is>
          <t>Tutar</t>
        </is>
      </c>
    </row>
    <row r="2">
      <c r="A2" t="inlineStr">
        <is>
          <t>Ocak</t>
        </is>
      </c>
      <c r="B2" t="inlineStr">
        <is>
          <t>Ege</t>
        </is>
      </c>
      <c r="C2" t="n">
        <v>13</v>
      </c>
      <c r="D2" t="n">
        <v>61.23</v>
      </c>
      <c r="E2">
        <f>C2*D2</f>
        <v/>
      </c>
    </row>
    <row r="3">
      <c r="A3" t="inlineStr">
        <is>
          <t>Ocak</t>
        </is>
      </c>
      <c r="B3" t="inlineStr">
        <is>
          <t>Marmara</t>
        </is>
      </c>
      <c r="C3" t="n">
        <v>9</v>
      </c>
      <c r="D3" t="n">
        <v>32.96</v>
      </c>
      <c r="E3">
        <f>C3*D3</f>
        <v/>
      </c>
    </row>
    <row r="4">
      <c r="A4" t="inlineStr">
        <is>
          <t>Şubat</t>
        </is>
      </c>
      <c r="B4" t="inlineStr">
        <is>
          <t>Ege</t>
        </is>
      </c>
      <c r="C4" t="n">
        <v>36</v>
      </c>
      <c r="D4" t="n">
        <v>78.48999999999999</v>
      </c>
      <c r="E4">
        <f>C4*D4</f>
        <v/>
      </c>
    </row>
    <row r="5">
      <c r="A5" t="inlineStr">
        <is>
          <t>Şubat</t>
        </is>
      </c>
      <c r="B5" t="inlineStr">
        <is>
          <t>Marmara</t>
        </is>
      </c>
      <c r="C5" t="n">
        <v>35</v>
      </c>
      <c r="D5" t="n">
        <v>68.64</v>
      </c>
      <c r="E5">
        <f>C5*D5</f>
        <v/>
      </c>
    </row>
    <row r="6">
      <c r="A6" t="inlineStr">
        <is>
          <t>Mart</t>
        </is>
      </c>
      <c r="B6" t="inlineStr">
        <is>
          <t>Ege</t>
        </is>
      </c>
      <c r="C6" t="n">
        <v>18</v>
      </c>
      <c r="D6" t="n">
        <v>18.45</v>
      </c>
      <c r="E6">
        <f>C6*D6</f>
        <v/>
      </c>
    </row>
    <row r="7">
      <c r="A7" t="inlineStr">
        <is>
          <t>Mart</t>
        </is>
      </c>
      <c r="B7" t="inlineStr">
        <is>
          <t>Marmara</t>
        </is>
      </c>
      <c r="C7" t="n">
        <v>6</v>
      </c>
      <c r="D7" t="n">
        <v>90.40000000000001</v>
      </c>
      <c r="E7">
        <f>C7*D7</f>
        <v/>
      </c>
    </row>
    <row r="8">
      <c r="A8" t="inlineStr">
        <is>
          <t>Nisan</t>
        </is>
      </c>
      <c r="B8" t="inlineStr">
        <is>
          <t>Ege</t>
        </is>
      </c>
      <c r="C8" t="n">
        <v>29</v>
      </c>
      <c r="D8" t="n">
        <v>48.95</v>
      </c>
      <c r="E8">
        <f>C8*D8</f>
        <v/>
      </c>
    </row>
    <row r="9">
      <c r="A9" t="inlineStr">
        <is>
          <t>Nisan</t>
        </is>
      </c>
      <c r="B9" t="inlineStr">
        <is>
          <t>Marmara</t>
        </is>
      </c>
      <c r="C9" t="n">
        <v>5</v>
      </c>
      <c r="D9" t="n">
        <v>72.62</v>
      </c>
      <c r="E9">
        <f>C9*D9</f>
        <v/>
      </c>
    </row>
    <row r="10">
      <c r="A10" t="inlineStr">
        <is>
          <t>Mayıs</t>
        </is>
      </c>
      <c r="B10" t="inlineStr">
        <is>
          <t>Ege</t>
        </is>
      </c>
      <c r="C10" t="n">
        <v>22</v>
      </c>
      <c r="D10" t="n">
        <v>74.94</v>
      </c>
      <c r="E10">
        <f>C10*D10</f>
        <v/>
      </c>
    </row>
    <row r="11">
      <c r="A11" t="inlineStr">
        <is>
          <t>Mayıs</t>
        </is>
      </c>
      <c r="B11" t="inlineStr">
        <is>
          <t>Marmara</t>
        </is>
      </c>
      <c r="C11" t="n">
        <v>19</v>
      </c>
      <c r="D11" t="n">
        <v>63.2</v>
      </c>
      <c r="E11">
        <f>C11*D11</f>
        <v/>
      </c>
    </row>
    <row r="12">
      <c r="A12" t="inlineStr">
        <is>
          <t>Haziran</t>
        </is>
      </c>
      <c r="B12" t="inlineStr">
        <is>
          <t>Ege</t>
        </is>
      </c>
      <c r="C12" t="n">
        <v>11</v>
      </c>
      <c r="D12" t="n">
        <v>91.13</v>
      </c>
      <c r="E12">
        <f>C12*D12</f>
        <v/>
      </c>
    </row>
    <row r="13">
      <c r="A13" t="inlineStr">
        <is>
          <t>Haziran</t>
        </is>
      </c>
      <c r="B13" t="inlineStr">
        <is>
          <t>Marmara</t>
        </is>
      </c>
      <c r="C13" t="n">
        <v>6</v>
      </c>
      <c r="D13" t="n">
        <v>12.01</v>
      </c>
      <c r="E13">
        <f>C13*D13</f>
        <v/>
      </c>
    </row>
    <row r="15">
      <c r="A15" t="inlineStr">
        <is>
          <t>Bütçe toplamı (sayfalar arası)</t>
        </is>
      </c>
      <c r="E15">
        <f>Bütçe!C10</f>
        <v/>
      </c>
    </row>
    <row r="16">
      <c r="A16" t="inlineStr">
        <is>
          <t>Ad ile</t>
        </is>
      </c>
      <c r="E16">
        <f>Toplam_Tutar*2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gizli sayfa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t="inlineStr">
        <is>
          <t>General</t>
        </is>
      </c>
      <c r="B1" t="n">
        <v>1234567.891</v>
      </c>
      <c r="C1" t="n">
        <v>-0.5</v>
      </c>
    </row>
    <row r="2">
      <c r="A2" t="inlineStr">
        <is>
          <t>0</t>
        </is>
      </c>
      <c r="B2" s="12" t="n">
        <v>1234567.891</v>
      </c>
      <c r="C2" s="12" t="n">
        <v>-0.5</v>
      </c>
    </row>
    <row r="3">
      <c r="A3" t="inlineStr">
        <is>
          <t>0.00</t>
        </is>
      </c>
      <c r="B3" s="13" t="n">
        <v>1234567.891</v>
      </c>
      <c r="C3" s="13" t="n">
        <v>-0.5</v>
      </c>
    </row>
    <row r="4">
      <c r="A4" t="inlineStr">
        <is>
          <t>#,##0</t>
        </is>
      </c>
      <c r="B4" s="14" t="n">
        <v>1234567.891</v>
      </c>
      <c r="C4" s="14" t="n">
        <v>-0.5</v>
      </c>
    </row>
    <row r="5">
      <c r="A5" t="inlineStr">
        <is>
          <t>#,##0.00</t>
        </is>
      </c>
      <c r="B5" s="15" t="n">
        <v>1234567.891</v>
      </c>
      <c r="C5" s="15" t="n">
        <v>-0.5</v>
      </c>
    </row>
    <row r="6">
      <c r="A6" t="inlineStr">
        <is>
          <t>0%</t>
        </is>
      </c>
      <c r="B6" s="16" t="n">
        <v>1234567.891</v>
      </c>
      <c r="C6" s="16" t="n">
        <v>-0.5</v>
      </c>
    </row>
    <row r="7">
      <c r="A7" t="inlineStr">
        <is>
          <t>0.00%</t>
        </is>
      </c>
      <c r="B7" s="17" t="n">
        <v>1234567.891</v>
      </c>
      <c r="C7" s="17" t="n">
        <v>-0.5</v>
      </c>
    </row>
    <row r="8">
      <c r="A8" t="inlineStr">
        <is>
          <t>0.00E+00</t>
        </is>
      </c>
      <c r="B8" s="18" t="n">
        <v>1234567.891</v>
      </c>
      <c r="C8" s="18" t="n">
        <v>-0.5</v>
      </c>
    </row>
    <row r="9">
      <c r="A9" t="inlineStr">
        <is>
          <t># ?/?</t>
        </is>
      </c>
      <c r="B9" s="19" t="n">
        <v>1234567.891</v>
      </c>
      <c r="C9" s="19" t="n">
        <v>-0.5</v>
      </c>
    </row>
    <row r="10">
      <c r="A10" t="inlineStr">
        <is>
          <t>DD.MM.YYYY</t>
        </is>
      </c>
      <c r="B10" s="39" t="n">
        <v>46307.604</v>
      </c>
      <c r="C10" s="39" t="n">
        <v>-0.5</v>
      </c>
    </row>
    <row r="11">
      <c r="A11" t="inlineStr">
        <is>
          <t>D MMMM YYYY</t>
        </is>
      </c>
      <c r="B11" s="40" t="n">
        <v>46307.604</v>
      </c>
      <c r="C11" s="40" t="n">
        <v>-0.5</v>
      </c>
    </row>
    <row r="12">
      <c r="A12" t="inlineStr">
        <is>
          <t>H:MM</t>
        </is>
      </c>
      <c r="B12" s="41" t="n">
        <v>46307.604</v>
      </c>
      <c r="C12" s="41" t="n">
        <v>-0.5</v>
      </c>
    </row>
    <row r="13">
      <c r="A13" t="inlineStr">
        <is>
          <t>[$-tr-TR]D MMMM YYYY DDDD</t>
        </is>
      </c>
      <c r="B13" s="42" t="n">
        <v>46307.604</v>
      </c>
      <c r="C13" s="42" t="n">
        <v>-0.5</v>
      </c>
    </row>
    <row r="14">
      <c r="A14" t="inlineStr">
        <is>
          <t>#,##0.00 "₺"</t>
        </is>
      </c>
      <c r="B14" s="38" t="n">
        <v>1234567.891</v>
      </c>
      <c r="C14" s="38" t="n">
        <v>-0.5</v>
      </c>
    </row>
    <row r="15">
      <c r="A15" t="inlineStr">
        <is>
          <t>@</t>
        </is>
      </c>
      <c r="B15" s="23" t="n">
        <v>1234567.891</v>
      </c>
      <c r="C15" s="23" t="n">
        <v>-0.5</v>
      </c>
    </row>
    <row r="16">
      <c r="A16" t="inlineStr">
        <is>
          <t>[Red]0.0;[Blue]-0.0</t>
        </is>
      </c>
      <c r="B16" s="43" t="n">
        <v>1234567.891</v>
      </c>
      <c r="C16" s="43" t="n">
        <v>-0.5</v>
      </c>
    </row>
    <row r="17">
      <c r="A17" t="inlineStr">
        <is>
          <t>0.0,,"M"</t>
        </is>
      </c>
      <c r="B17" s="44" t="n">
        <v>1234567.891</v>
      </c>
      <c r="C17" s="44" t="n">
        <v>-0.5</v>
      </c>
    </row>
    <row r="18">
      <c r="A18" t="inlineStr">
        <is>
          <t>"Değer: "0</t>
        </is>
      </c>
      <c r="B18" s="45" t="n">
        <v>46307.604</v>
      </c>
      <c r="C18" s="45" t="n">
        <v>-0.5</v>
      </c>
    </row>
    <row r="20">
      <c r="A20" s="27" t="inlineStr">
        <is>
          <t>Dikey</t>
        </is>
      </c>
      <c r="B20" s="28" t="inlineStr">
        <is>
          <t>Sarılmış uzun bir metin örneği buraya yazılır</t>
        </is>
      </c>
      <c r="C20" s="29" t="inlineStr">
        <is>
          <t>Girintili</t>
        </is>
      </c>
    </row>
    <row r="22">
      <c r="A22" s="30" t="inlineStr">
        <is>
          <t>Kalın İtalik Altı Çizili</t>
        </is>
      </c>
    </row>
    <row r="23">
      <c r="A23" s="31" t="inlineStr">
        <is>
          <t>Üstü çizili</t>
        </is>
      </c>
    </row>
    <row r="24">
      <c r="A24" s="32" t="inlineStr">
        <is>
          <t>Çift alt kenarlık</t>
        </is>
      </c>
    </row>
    <row r="25">
      <c r="A25" s="33" t="inlineStr">
        <is>
          <t>Kalın kenarlık</t>
        </is>
      </c>
    </row>
    <row r="26">
      <c r="A26" s="34" t="inlineStr">
        <is>
          <t>Kesikli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2026-10-12T03:55:21Z</dcterms:created>
  <dcterms:modified xmlns:dcterms="http://purl.org/dc/terms/" xmlns:xsi="http://www.w3.org/2001/XMLSchema-instance" xsi:type="dcterms:W3CDTF">2026-10-12T04:05:19Z</dcterms:modified>
</cp:coreProperties>
</file>