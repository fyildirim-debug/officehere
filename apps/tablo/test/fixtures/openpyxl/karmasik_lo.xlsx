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ütçe" sheetId="1" state="visible" r:id="rId3"/>
    <sheet name="Satışlar" sheetId="2" state="visible" r:id="rId4"/>
    <sheet name="Gizli" sheetId="3" state="hidden" r:id="rId5"/>
    <sheet name="Biçimler" sheetId="4" state="visible" r:id="rId6"/>
  </sheets>
  <definedNames>
    <definedName function="false" hidden="true" localSheetId="0" name="_xlnm._FilterDatabase" vbProcedure="false">Bütçe!$A$2:$F$9</definedName>
    <definedName function="false" hidden="false" name="Toplam_Tutar" vbProcedure="false">Bütçe!$C$10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Kira sözleşmesi Ocak'ta yenilenecek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<sst xmlns="http://schemas.openxmlformats.org/spreadsheetml/2006/main" count="85" uniqueCount="63">
  <si>
    <t xml:space="preserve">2026 Aile Bütçesi</t>
  </si>
  <si>
    <t xml:space="preserve">Kalem</t>
  </si>
  <si>
    <t xml:space="preserve">Tarih</t>
  </si>
  <si>
    <t xml:space="preserve">Tutar</t>
  </si>
  <si>
    <t xml:space="preserve">KDV</t>
  </si>
  <si>
    <t xml:space="preserve">Toplam</t>
  </si>
  <si>
    <t xml:space="preserve">Kategori</t>
  </si>
  <si>
    <t xml:space="preserve">Kira</t>
  </si>
  <si>
    <t xml:space="preserve">Sabit</t>
  </si>
  <si>
    <t xml:space="preserve">Elektrik</t>
  </si>
  <si>
    <t xml:space="preserve">Fatura</t>
  </si>
  <si>
    <t xml:space="preserve">Su</t>
  </si>
  <si>
    <t xml:space="preserve">İnternet</t>
  </si>
  <si>
    <t xml:space="preserve">Market</t>
  </si>
  <si>
    <t xml:space="preserve">Değişken</t>
  </si>
  <si>
    <t xml:space="preserve">Ulaşım</t>
  </si>
  <si>
    <t xml:space="preserve">Çocuk ödemeleri — uzun açıklama satırı</t>
  </si>
  <si>
    <t xml:space="preserve">Fatura toplamı</t>
  </si>
  <si>
    <t xml:space="preserve">En yüksek kalem</t>
  </si>
  <si>
    <t xml:space="preserve">Bugün</t>
  </si>
  <si>
    <t xml:space="preserve">Köprü</t>
  </si>
  <si>
    <t xml:space="preserve">https://example.com</t>
  </si>
  <si>
    <t xml:space="preserve">Ay</t>
  </si>
  <si>
    <t xml:space="preserve">Bölge</t>
  </si>
  <si>
    <t xml:space="preserve">Adet</t>
  </si>
  <si>
    <t xml:space="preserve">Birim Fiyat</t>
  </si>
  <si>
    <t xml:space="preserve">Ocak</t>
  </si>
  <si>
    <t xml:space="preserve">Ege</t>
  </si>
  <si>
    <t xml:space="preserve">Marmara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</si>
  <si>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</si>
  <si>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</si>
  <si>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</si>
  <si>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</si>
  <si>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</si>
  <si>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Bütçe toplamı (sayfalar arası)</t>
  </si>
  <si>
    <t xml:space="preserve">Ad ile</t>
  </si>
  <si>
    <t xml:space="preserve">gizli sayfa</t>
  </si>
  <si>
    <t xml:space="preserve">General</t>
  </si>
  <si>
    <t xml:space="preserve">0</t>
  </si>
  <si>
    <t xml:space="preserve">0.00</t>
  </si>
  <si>
    <t xml:space="preserve">#,##0</t>
  </si>
  <si>
    <t xml:space="preserve">#,##0.00</t>
  </si>
  <si>
    <t xml:space="preserve">0%</t>
  </si>
  <si>
    <t xml:space="preserve">0.00%</t>
  </si>
  <si>
    <t xml:space="preserve">0.00E+00</t>
  </si>
  <si>
    <t xml:space="preserve"># ?/?</t>
  </si>
  <si>
    <t xml:space="preserve">DD.MM.YYYY</t>
  </si>
  <si>
    <t xml:space="preserve">D MMMM YYYY</t>
  </si>
  <si>
    <t xml:space="preserve">H:MM</t>
  </si>
  <si>
    <t xml:space="preserve">[$-tr-TR]D MMMM YYYY DDDD</t>
  </si>
  <si>
    <t xml:space="preserve">#,##0.00 "₺"</t>
  </si>
  <si>
    <t xml:space="preserve">@</t>
  </si>
  <si>
    <t xml:space="preserve">[Red]0.0;[Blue]-0.0</t>
  </si>
  <si>
    <t xml:space="preserve">0.0,,"M"</t>
  </si>
  <si>
    <t xml:space="preserve">"Değer: "0</t>
  </si>
  <si>
    <t xml:space="preserve">Dikey</t>
  </si>
  <si>
    <t xml:space="preserve">Sarılmış uzun bir metin örneği buraya yazılır</t>
  </si>
  <si>
    <t xml:space="preserve">Girintili</t>
  </si>
  <si>
    <t xml:space="preserve">Kalın İtalik Altı Çizili</t>
  </si>
  <si>
    <t xml:space="preserve">Üstü çizili</t>
  </si>
  <si>
    <t xml:space="preserve">Çift alt kenarlık</t>
  </si>
  <si>
    <t xml:space="preserve">Kalın kenarlık</t>
  </si>
  <si>
    <t xml:space="preserve">Kesikli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</si>
</sst>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d\.mm\.yyyy"/>
    <numFmt numFmtId="166" formatCode="#,##0.00&quot; ₺&quot;"/>
    <numFmt numFmtId="167" formatCode="0%"/>
    <numFmt numFmtId="168" formatCode="#,##0.00&quot; ₺&quot;;[RED]\-#,##0.00&quot; ₺&quot;"/>
    <numFmt numFmtId="169" formatCode="0"/>
    <numFmt numFmtId="170" formatCode="0.00"/>
    <numFmt numFmtId="171" formatCode="#,##0"/>
    <numFmt numFmtId="172" formatCode="#,##0.00"/>
    <numFmt numFmtId="173" formatCode="0.00%"/>
    <numFmt numFmtId="174" formatCode="0.00E+00"/>
    <numFmt numFmtId="175" formatCode="# ?/?"/>
    <numFmt numFmtId="176" formatCode="d\ mmmm\ yyyy"/>
    <numFmt numFmtId="177" formatCode="h:mm"/>
    <numFmt numFmtId="178" formatCode="@"/>
    <numFmt numFmtId="179" formatCode="[RED]0.0;[BLUE]\-0.0"/>
    <numFmt numFmtId="180" formatCode="0.0,,\M"/>
    <numFmt numFmtId="181" formatCode="&quot;Değer: &quot;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i val="true"/>
      <u val="single"/>
      <sz val="14"/>
      <color rgb="FFC00000"/>
      <name val="Arial"/>
      <family val="0"/>
      <charset val="1"/>
    </font>
    <font>
      <strike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/>
      <bottom style="double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/>
      <top/>
      <bottom style="dashed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ABA7B"/>
          <bgColor rgb="FF000000"/>
        </patternFill>
      </fill>
    </dxf>
    <dxf>
      <fill>
        <patternFill patternType="solid">
          <fgColor rgb="FFAD947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AA64F"/>
      <rgbColor rgb="FF800080"/>
      <rgbColor rgb="FF4672A8"/>
      <rgbColor rgb="FFC0C0C0"/>
      <rgbColor rgb="FF878787"/>
      <rgbColor rgb="FF9999FF"/>
      <rgbColor rgb="FFAB4744"/>
      <rgbColor rgb="FFFFFFCC"/>
      <rgbColor rgb="FFDDEBF7"/>
      <rgbColor rgb="FF660066"/>
      <rgbColor rgb="FFDC853E"/>
      <rgbColor rgb="FF0563C1"/>
      <rgbColor rgb="FFD9D9D9"/>
      <rgbColor rgb="FF000080"/>
      <rgbColor rgb="FFFF00FF"/>
      <rgbColor rgb="FFFFFF00"/>
      <rgbColor rgb="FF00FFFF"/>
      <rgbColor rgb="FF800080"/>
      <rgbColor rgb="FFC00000"/>
      <rgbColor rgb="FF4F81BD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725990"/>
      <rgbColor rgb="FF999999"/>
      <rgbColor rgb="FF003366"/>
      <rgbColor rgb="FF4299B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Kalem bazında toplam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Bütçe!E2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Bütçe!$A$3:$A$9</c:f>
              <c:strCache>
                <c:ptCount val="6"/>
                <c:pt idx="0">
                  <c:v>Kira</c:v>
                </c:pt>
                <c:pt idx="1">
                  <c:v>Elektrik</c:v>
                </c:pt>
                <c:pt idx="2">
                  <c:v>Su</c:v>
                </c:pt>
                <c:pt idx="3">
                  <c:v>Market</c:v>
                </c:pt>
                <c:pt idx="4">
                  <c:v>Ulaşım</c:v>
                </c:pt>
                <c:pt idx="5">
                  <c:v>Çocuk ödemeleri — uzun açıklama satırı</c:v>
                </c:pt>
              </c:strCache>
            </c:strRef>
          </c:cat>
          <c:val>
            <c:numRef>
              <c:f>Bütçe!$E$3:$E$9</c:f>
              <c:numCache>
                <c:formatCode>#,##0.00" ₺";[RED]\-#,##0.00" ₺"</c:formatCode>
                <c:ptCount val="6"/>
                <c:pt idx="0">
                  <c:v>15000</c:v>
                </c:pt>
                <c:pt idx="1">
                  <c:v>1500.9</c:v>
                </c:pt>
                <c:pt idx="2">
                  <c:v>473</c:v>
                </c:pt>
                <c:pt idx="3">
                  <c:v>8837.5</c:v>
                </c:pt>
                <c:pt idx="4">
                  <c:v>2520</c:v>
                </c:pt>
                <c:pt idx="5">
                  <c:v>3200</c:v>
                </c:pt>
              </c:numCache>
            </c:numRef>
          </c:val>
        </c:ser>
        <c:gapWidth val="150"/>
        <c:overlap val="0"/>
        <c:axId val="70371021"/>
        <c:axId val="740547"/>
      </c:barChart>
      <c:catAx>
        <c:axId val="703710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547"/>
        <c:crosses val="autoZero"/>
        <c:auto val="1"/>
        <c:lblAlgn val="ctr"/>
        <c:lblOffset val="100"/>
        <c:noMultiLvlLbl val="0"/>
      </c:catAx>
      <c:valAx>
        <c:axId val="740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₺&quot;;[RED]\-#,##0.00&quot; ₺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71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Dağılım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Bütçe!C2</c:f>
              <c:strCache>
                <c:ptCount val="1"/>
                <c:pt idx="0">
                  <c:v>Tutar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Bütçe!$A$3:$A$9</c:f>
              <c:strCache>
                <c:ptCount val="6"/>
                <c:pt idx="0">
                  <c:v>Kira</c:v>
                </c:pt>
                <c:pt idx="1">
                  <c:v>Elektrik</c:v>
                </c:pt>
                <c:pt idx="2">
                  <c:v>Su</c:v>
                </c:pt>
                <c:pt idx="3">
                  <c:v>Market</c:v>
                </c:pt>
                <c:pt idx="4">
                  <c:v>Ulaşım</c:v>
                </c:pt>
                <c:pt idx="5">
                  <c:v>Çocuk ödemeleri — uzun açıklama satırı</c:v>
                </c:pt>
              </c:strCache>
            </c:strRef>
          </c:cat>
          <c:val>
            <c:numRef>
              <c:f>Bütçe!$C$3:$C$9</c:f>
              <c:numCache>
                <c:formatCode>#,##0.00" ₺"</c:formatCode>
                <c:ptCount val="6"/>
                <c:pt idx="0">
                  <c:v>15000</c:v>
                </c:pt>
                <c:pt idx="1">
                  <c:v>1250.75</c:v>
                </c:pt>
                <c:pt idx="2">
                  <c:v>430</c:v>
                </c:pt>
                <c:pt idx="3">
                  <c:v>8750</c:v>
                </c:pt>
                <c:pt idx="4">
                  <c:v>2100</c:v>
                </c:pt>
                <c:pt idx="5">
                  <c:v>3200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Aylık tutar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Satışlar!E1</c:f>
              <c:strCache>
                <c:ptCount val="1"/>
                <c:pt idx="0">
                  <c:v>Tutar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Satışlar!$E$2:$E$13</c:f>
              <c:numCache>
                <c:formatCode>General</c:formatCode>
                <c:ptCount val="12"/>
                <c:pt idx="0">
                  <c:v>795.99</c:v>
                </c:pt>
                <c:pt idx="1">
                  <c:v>296.64</c:v>
                </c:pt>
                <c:pt idx="2">
                  <c:v>2825.64</c:v>
                </c:pt>
                <c:pt idx="3">
                  <c:v>2402.4</c:v>
                </c:pt>
                <c:pt idx="4">
                  <c:v>332.1</c:v>
                </c:pt>
                <c:pt idx="5">
                  <c:v>542.4</c:v>
                </c:pt>
                <c:pt idx="6">
                  <c:v>1419.55</c:v>
                </c:pt>
                <c:pt idx="7">
                  <c:v>363.1</c:v>
                </c:pt>
                <c:pt idx="8">
                  <c:v>1648.68</c:v>
                </c:pt>
                <c:pt idx="9">
                  <c:v>1200.8</c:v>
                </c:pt>
                <c:pt idx="10">
                  <c:v>1002.43</c:v>
                </c:pt>
                <c:pt idx="11">
                  <c:v>72.06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604168"/>
        <c:axId val="20851254"/>
      </c:lineChart>
      <c:catAx>
        <c:axId val="1760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51254"/>
        <c:crosses val="autoZero"/>
        <c:auto val="1"/>
        <c:lblAlgn val="ctr"/>
        <c:lblOffset val="100"/>
        <c:noMultiLvlLbl val="0"/>
      </c:catAx>
      <c:valAx>
        <c:axId val="208512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04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15</xdr:col>
      <xdr:colOff>507600</xdr:colOff>
      <xdr:row>15</xdr:row>
      <xdr:rowOff>53640</xdr:rowOff>
    </xdr:to>
    <xdr:graphicFrame>
      <xdr:nvGraphicFramePr>
        <xdr:cNvPr id="0" name="Chart 1"/>
        <xdr:cNvGraphicFramePr/>
      </xdr:nvGraphicFramePr>
      <xdr:xfrm>
        <a:off x="676836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20880</xdr:rowOff>
    </xdr:from>
    <xdr:to>
      <xdr:col>15</xdr:col>
      <xdr:colOff>507600</xdr:colOff>
      <xdr:row>32</xdr:row>
      <xdr:rowOff>53640</xdr:rowOff>
    </xdr:to>
    <xdr:graphicFrame>
      <xdr:nvGraphicFramePr>
        <xdr:cNvPr id="1" name="Chart 2"/>
        <xdr:cNvGraphicFramePr/>
      </xdr:nvGraphicFramePr>
      <xdr:xfrm>
        <a:off x="676836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507600</xdr:colOff>
      <xdr:row>15</xdr:row>
      <xdr:rowOff>32400</xdr:rowOff>
    </xdr:to>
    <xdr:graphicFrame>
      <xdr:nvGraphicFramePr>
        <xdr:cNvPr id="2" name="Chart 1"/>
        <xdr:cNvGraphicFramePr/>
      </xdr:nvGraphicFramePr>
      <xdr:xfrm>
        <a:off x="366912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tisTablosu" displayName="SatisTablosu" ref="A1:E13" headerRowCount="1" totalsRowCount="0" totalsRowShown="0">
  <autoFilter ref="A1:E13"/>
  <tableColumns count="5">
    <tableColumn id="1" name="Ay"/>
    <tableColumn id="2" name="Bölge"/>
    <tableColumn id="3" name="Adet"/>
    <tableColumn id="4" name="Birim Fiyat"/>
    <tableColumn id="5" name="Tut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8.3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4" t="n">
        <v>46296</v>
      </c>
      <c r="C3" s="5" t="n">
        <v>15000</v>
      </c>
      <c r="D3" s="6" t="n">
        <v>0</v>
      </c>
      <c r="E3" s="7" t="n">
        <f aca="false">C3*(1+D3)</f>
        <v>15000</v>
      </c>
      <c r="F3" s="3" t="s">
        <v>8</v>
      </c>
    </row>
    <row r="4" customFormat="false" ht="15" hidden="false" customHeight="false" outlineLevel="0" collapsed="false">
      <c r="A4" s="3" t="s">
        <v>9</v>
      </c>
      <c r="B4" s="4" t="n">
        <v>46300</v>
      </c>
      <c r="C4" s="5" t="n">
        <v>1250.75</v>
      </c>
      <c r="D4" s="6" t="n">
        <v>0.2</v>
      </c>
      <c r="E4" s="7" t="n">
        <f aca="false">C4*(1+D4)</f>
        <v>1500.9</v>
      </c>
      <c r="F4" s="3" t="s">
        <v>10</v>
      </c>
    </row>
    <row r="5" customFormat="false" ht="15" hidden="false" customHeight="false" outlineLevel="0" collapsed="false">
      <c r="A5" s="3" t="s">
        <v>11</v>
      </c>
      <c r="B5" s="4" t="n">
        <v>46302</v>
      </c>
      <c r="C5" s="5" t="n">
        <v>430</v>
      </c>
      <c r="D5" s="6" t="n">
        <v>0.1</v>
      </c>
      <c r="E5" s="7" t="n">
        <f aca="false">C5*(1+D5)</f>
        <v>473</v>
      </c>
      <c r="F5" s="3" t="s">
        <v>10</v>
      </c>
    </row>
    <row r="6" customFormat="false" ht="15" hidden="true" customHeight="false" outlineLevel="0" collapsed="false">
      <c r="A6" s="3" t="s">
        <v>12</v>
      </c>
      <c r="B6" s="4" t="n">
        <v>46307</v>
      </c>
      <c r="C6" s="5" t="n">
        <v>599.9</v>
      </c>
      <c r="D6" s="6" t="n">
        <v>0.2</v>
      </c>
      <c r="E6" s="7" t="n">
        <f aca="false">C6*(1+D6)</f>
        <v>719.88</v>
      </c>
      <c r="F6" s="3" t="s">
        <v>10</v>
      </c>
    </row>
    <row r="7" customFormat="false" ht="15" hidden="false" customHeight="false" outlineLevel="0" collapsed="false">
      <c r="A7" s="3" t="s">
        <v>13</v>
      </c>
      <c r="B7" s="4" t="n">
        <v>46310</v>
      </c>
      <c r="C7" s="5" t="n">
        <v>8750</v>
      </c>
      <c r="D7" s="6" t="n">
        <v>0.01</v>
      </c>
      <c r="E7" s="7" t="n">
        <f aca="false">C7*(1+D7)</f>
        <v>8837.5</v>
      </c>
      <c r="F7" s="3" t="s">
        <v>14</v>
      </c>
    </row>
    <row r="8" customFormat="false" ht="15" hidden="false" customHeight="false" outlineLevel="0" collapsed="false">
      <c r="A8" s="3" t="s">
        <v>15</v>
      </c>
      <c r="B8" s="4" t="n">
        <v>46315</v>
      </c>
      <c r="C8" s="5" t="n">
        <v>2100</v>
      </c>
      <c r="D8" s="6" t="n">
        <v>0.2</v>
      </c>
      <c r="E8" s="7" t="n">
        <f aca="false">C8*(1+D8)</f>
        <v>2520</v>
      </c>
      <c r="F8" s="3" t="s">
        <v>14</v>
      </c>
    </row>
    <row r="9" customFormat="false" ht="15" hidden="false" customHeight="false" outlineLevel="0" collapsed="false">
      <c r="A9" s="3" t="s">
        <v>16</v>
      </c>
      <c r="B9" s="4" t="n">
        <v>46320</v>
      </c>
      <c r="C9" s="5" t="n">
        <v>3200</v>
      </c>
      <c r="D9" s="6" t="n">
        <v>0</v>
      </c>
      <c r="E9" s="7" t="n">
        <f aca="false">C9*(1+D9)</f>
        <v>3200</v>
      </c>
      <c r="F9" s="3" t="s">
        <v>14</v>
      </c>
    </row>
    <row r="10" customFormat="false" ht="15" hidden="false" customHeight="false" outlineLevel="0" collapsed="false">
      <c r="A10" s="8" t="s">
        <v>5</v>
      </c>
      <c r="C10" s="9" t="n">
        <f aca="false">SUM(C3:C9)</f>
        <v>31330.65</v>
      </c>
      <c r="E10" s="9" t="n">
        <f aca="false">SUM(E3:E9)</f>
        <v>32251.28</v>
      </c>
    </row>
    <row r="11" customFormat="false" ht="15" hidden="false" customHeight="false" outlineLevel="0" collapsed="false">
      <c r="A11" s="0" t="s">
        <v>17</v>
      </c>
      <c r="E11" s="9" t="n">
        <f aca="false">SUMIF(F3:F9,"Fatura",E3:E9)</f>
        <v>2693.78</v>
      </c>
    </row>
    <row r="12" customFormat="false" ht="15" hidden="false" customHeight="false" outlineLevel="0" collapsed="false">
      <c r="A12" s="0" t="s">
        <v>18</v>
      </c>
      <c r="E12" s="0" t="str">
        <f aca="false">INDEX(A3:A9,MATCH(MAX(E3:E9),E3:E9,0))</f>
        <v>Kira</v>
      </c>
    </row>
    <row r="13" customFormat="false" ht="15" hidden="false" customHeight="false" outlineLevel="0" collapsed="false">
      <c r="A13" s="0" t="s">
        <v>19</v>
      </c>
      <c r="E13" s="10" t="n">
        <f aca="true">TODAY()</f>
        <v>46307</v>
      </c>
    </row>
    <row r="14" customFormat="false" ht="15" hidden="false" customHeight="false" outlineLevel="0" collapsed="false">
      <c r="A14" s="0" t="s">
        <v>20</v>
      </c>
      <c r="E14" s="11" t="s">
        <v>21</v>
      </c>
    </row>
  </sheetData>
  <autoFilter ref="A2:F9"/>
  <mergeCells count="1">
    <mergeCell ref="A1:F1"/>
  </mergeCells>
  <conditionalFormatting sqref="E3:E9">
    <cfRule type="cellIs" priority="2" operator="greaterThan" aboveAverage="0" equalAverage="0" bottom="0" percent="0" rank="0" text="" dxfId="10">
      <formula>5000</formula>
    </cfRule>
  </conditionalFormatting>
  <conditionalFormatting sqref="C3:C9"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{105492B1-6759-4A7F-A349-D247AEA0E887}</x14:id>
        </ext>
      </extLst>
    </cfRule>
  </conditionalFormatting>
  <conditionalFormatting sqref="D3:D9">
    <cfRule type="colorScale" priority="4">
      <colorScale>
        <cfvo type="min" val="0"/>
        <cfvo type="max" val="0"/>
        <color rgb="FF63BE7B"/>
        <color rgb="FFF8696B"/>
      </colorScale>
    </cfRule>
  </conditionalFormatting>
  <dataValidations count="1">
    <dataValidation allowBlank="true" errorStyle="stop" operator="between" showDropDown="false" showErrorMessage="false" showInputMessage="false" sqref="F3:F9" type="list">
      <formula1>"Sabit,Fatura,Değişken"</formula1>
      <formula2>0</formula2>
    </dataValidation>
  </dataValidations>
  <hyperlinks>
    <hyperlink ref="E14" r:id="rId2" display="https://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5492B1-6759-4A7F-A349-D247AEA0E887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C3:C9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3</v>
      </c>
    </row>
    <row r="2" customFormat="false" ht="15" hidden="false" customHeight="false" outlineLevel="0" collapsed="false">
      <c r="A2" s="0" t="s">
        <v>26</v>
      </c>
      <c r="B2" s="0" t="s">
        <v>27</v>
      </c>
      <c r="C2" s="0" t="n">
        <v>13</v>
      </c>
      <c r="D2" s="0" t="n">
        <v>61.23</v>
      </c>
      <c r="E2" s="0" t="n">
        <f aca="false">C2*D2</f>
        <v>795.99</v>
      </c>
    </row>
    <row r="3" customFormat="false" ht="15" hidden="false" customHeight="false" outlineLevel="0" collapsed="false">
      <c r="A3" s="0" t="s">
        <v>26</v>
      </c>
      <c r="B3" s="0" t="s">
        <v>28</v>
      </c>
      <c r="C3" s="0" t="n">
        <v>9</v>
      </c>
      <c r="D3" s="0" t="n">
        <v>32.96</v>
      </c>
      <c r="E3" s="0" t="n">
        <f aca="false">C3*D3</f>
        <v>296.64</v>
      </c>
    </row>
    <row r="4" customFormat="false" ht="15" hidden="false" customHeight="false" outlineLevel="0" collapsed="false">
      <c r="A4" s="0" t="s">
        <v>29</v>
      </c>
      <c r="B4" s="0" t="s">
        <v>27</v>
      </c>
      <c r="C4" s="0" t="n">
        <v>36</v>
      </c>
      <c r="D4" s="0" t="n">
        <v>78.49</v>
      </c>
      <c r="E4" s="0" t="n">
        <f aca="false">C4*D4</f>
        <v>2825.64</v>
      </c>
    </row>
    <row r="5" customFormat="false" ht="15" hidden="false" customHeight="false" outlineLevel="0" collapsed="false">
      <c r="A5" s="0" t="s">
        <v>29</v>
      </c>
      <c r="B5" s="0" t="s">
        <v>28</v>
      </c>
      <c r="C5" s="0" t="n">
        <v>35</v>
      </c>
      <c r="D5" s="0" t="n">
        <v>68.64</v>
      </c>
      <c r="E5" s="0" t="n">
        <f aca="false">C5*D5</f>
        <v>2402.4</v>
      </c>
    </row>
    <row r="6" customFormat="false" ht="15" hidden="false" customHeight="false" outlineLevel="0" collapsed="false">
      <c r="A6" s="0" t="s">
        <v>30</v>
      </c>
      <c r="B6" s="0" t="s">
        <v>27</v>
      </c>
      <c r="C6" s="0" t="n">
        <v>18</v>
      </c>
      <c r="D6" s="0" t="n">
        <v>18.45</v>
      </c>
      <c r="E6" s="0" t="n">
        <f aca="false">C6*D6</f>
        <v>332.1</v>
      </c>
    </row>
    <row r="7" customFormat="false" ht="15" hidden="false" customHeight="false" outlineLevel="0" collapsed="false">
      <c r="A7" s="0" t="s">
        <v>30</v>
      </c>
      <c r="B7" s="0" t="s">
        <v>28</v>
      </c>
      <c r="C7" s="0" t="n">
        <v>6</v>
      </c>
      <c r="D7" s="0" t="n">
        <v>90.4</v>
      </c>
      <c r="E7" s="0" t="n">
        <f aca="false">C7*D7</f>
        <v>542.4</v>
      </c>
    </row>
    <row r="8" customFormat="false" ht="15" hidden="false" customHeight="false" outlineLevel="0" collapsed="false">
      <c r="A8" s="0" t="s">
        <v>31</v>
      </c>
      <c r="B8" s="0" t="s">
        <v>27</v>
      </c>
      <c r="C8" s="0" t="n">
        <v>29</v>
      </c>
      <c r="D8" s="0" t="n">
        <v>48.95</v>
      </c>
      <c r="E8" s="0" t="n">
        <f aca="false">C8*D8</f>
        <v>1419.55</v>
      </c>
    </row>
    <row r="9" customFormat="false" ht="15" hidden="false" customHeight="false" outlineLevel="0" collapsed="false">
      <c r="A9" s="0" t="s">
        <v>31</v>
      </c>
      <c r="B9" s="0" t="s">
        <v>28</v>
      </c>
      <c r="C9" s="0" t="n">
        <v>5</v>
      </c>
      <c r="D9" s="0" t="n">
        <v>72.62</v>
      </c>
      <c r="E9" s="0" t="n">
        <f aca="false">C9*D9</f>
        <v>363.1</v>
      </c>
    </row>
    <row r="10" customFormat="false" ht="15" hidden="false" customHeight="false" outlineLevel="0" collapsed="false">
      <c r="A10" s="0" t="s">
        <v>32</v>
      </c>
      <c r="B10" s="0" t="s">
        <v>27</v>
      </c>
      <c r="C10" s="0" t="n">
        <v>22</v>
      </c>
      <c r="D10" s="0" t="n">
        <v>74.94</v>
      </c>
      <c r="E10" s="0" t="n">
        <f aca="false">C10*D10</f>
        <v>1648.68</v>
      </c>
    </row>
    <row r="11" customFormat="false" ht="15" hidden="false" customHeight="false" outlineLevel="0" collapsed="false">
      <c r="A11" s="0" t="s">
        <v>32</v>
      </c>
      <c r="B11" s="0" t="s">
        <v>28</v>
      </c>
      <c r="C11" s="0" t="n">
        <v>19</v>
      </c>
      <c r="D11" s="0" t="n">
        <v>63.2</v>
      </c>
      <c r="E11" s="0" t="n">
        <f aca="false">C11*D11</f>
        <v>1200.8</v>
      </c>
    </row>
    <row r="12" customFormat="false" ht="15" hidden="false" customHeight="false" outlineLevel="0" collapsed="false">
      <c r="A12" s="0" t="s">
        <v>33</v>
      </c>
      <c r="B12" s="0" t="s">
        <v>27</v>
      </c>
      <c r="C12" s="0" t="n">
        <v>11</v>
      </c>
      <c r="D12" s="0" t="n">
        <v>91.13</v>
      </c>
      <c r="E12" s="0" t="n">
        <f aca="false">C12*D12</f>
        <v>1002.43</v>
      </c>
    </row>
    <row r="13" customFormat="false" ht="15" hidden="false" customHeight="false" outlineLevel="0" collapsed="false">
      <c r="A13" s="0" t="s">
        <v>33</v>
      </c>
      <c r="B13" s="0" t="s">
        <v>28</v>
      </c>
      <c r="C13" s="0" t="n">
        <v>6</v>
      </c>
      <c r="D13" s="0" t="n">
        <v>12.01</v>
      </c>
      <c r="E13" s="0" t="n">
        <f aca="false">C13*D13</f>
        <v>72.06</v>
      </c>
    </row>
    <row r="15" customFormat="false" ht="15" hidden="false" customHeight="false" outlineLevel="0" collapsed="false">
      <c r="A15" s="0" t="s">
        <v>34</v>
      </c>
      <c r="E15" s="9" t="n">
        <f aca="false">Bütçe!C10</f>
        <v>31330.65</v>
      </c>
    </row>
    <row r="16" customFormat="false" ht="15" hidden="false" customHeight="false" outlineLevel="0" collapsed="false">
      <c r="A16" s="0" t="s">
        <v>35</v>
      </c>
      <c r="E16" s="0" t="n">
        <f aca="false">Toplam_Tutar*2</f>
        <v>62661.3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0" t="s">
        <v>37</v>
      </c>
      <c r="B1" s="0" t="n">
        <v>1234567.891</v>
      </c>
      <c r="C1" s="0" t="n">
        <v>-0.5</v>
      </c>
    </row>
    <row r="2" customFormat="false" ht="15" hidden="false" customHeight="false" outlineLevel="0" collapsed="false">
      <c r="A2" s="0" t="s">
        <v>38</v>
      </c>
      <c r="B2" s="13" t="n">
        <v>1234567.891</v>
      </c>
      <c r="C2" s="13" t="n">
        <v>-0.5</v>
      </c>
    </row>
    <row r="3" customFormat="false" ht="15" hidden="false" customHeight="false" outlineLevel="0" collapsed="false">
      <c r="A3" s="0" t="s">
        <v>39</v>
      </c>
      <c r="B3" s="14" t="n">
        <v>1234567.891</v>
      </c>
      <c r="C3" s="14" t="n">
        <v>-0.5</v>
      </c>
    </row>
    <row r="4" customFormat="false" ht="15" hidden="false" customHeight="false" outlineLevel="0" collapsed="false">
      <c r="A4" s="0" t="s">
        <v>40</v>
      </c>
      <c r="B4" s="15" t="n">
        <v>1234567.891</v>
      </c>
      <c r="C4" s="15" t="n">
        <v>-0.5</v>
      </c>
    </row>
    <row r="5" customFormat="false" ht="15" hidden="false" customHeight="false" outlineLevel="0" collapsed="false">
      <c r="A5" s="0" t="s">
        <v>41</v>
      </c>
      <c r="B5" s="16" t="n">
        <v>1234567.891</v>
      </c>
      <c r="C5" s="16" t="n">
        <v>-0.5</v>
      </c>
    </row>
    <row r="6" customFormat="false" ht="15" hidden="false" customHeight="false" outlineLevel="0" collapsed="false">
      <c r="A6" s="0" t="s">
        <v>42</v>
      </c>
      <c r="B6" s="17" t="n">
        <v>1234567.891</v>
      </c>
      <c r="C6" s="17" t="n">
        <v>-0.5</v>
      </c>
    </row>
    <row r="7" customFormat="false" ht="15" hidden="false" customHeight="false" outlineLevel="0" collapsed="false">
      <c r="A7" s="0" t="s">
        <v>43</v>
      </c>
      <c r="B7" s="18" t="n">
        <v>1234567.891</v>
      </c>
      <c r="C7" s="18" t="n">
        <v>-0.5</v>
      </c>
    </row>
    <row r="8" customFormat="false" ht="15" hidden="false" customHeight="false" outlineLevel="0" collapsed="false">
      <c r="A8" s="0" t="s">
        <v>44</v>
      </c>
      <c r="B8" s="19" t="n">
        <v>1234567.891</v>
      </c>
      <c r="C8" s="19" t="n">
        <v>-0.5</v>
      </c>
    </row>
    <row r="9" customFormat="false" ht="15" hidden="false" customHeight="false" outlineLevel="0" collapsed="false">
      <c r="A9" s="0" t="s">
        <v>45</v>
      </c>
      <c r="B9" s="20" t="n">
        <v>1234567.891</v>
      </c>
      <c r="C9" s="20" t="n">
        <v>-0.5</v>
      </c>
    </row>
    <row r="10" customFormat="false" ht="15" hidden="false" customHeight="false" outlineLevel="0" collapsed="false">
      <c r="A10" s="0" t="s">
        <v>46</v>
      </c>
      <c r="B10" s="10" t="n">
        <v>46307.604</v>
      </c>
      <c r="C10" s="10" t="n">
        <v>-0.5</v>
      </c>
    </row>
    <row r="11" customFormat="false" ht="15" hidden="false" customHeight="false" outlineLevel="0" collapsed="false">
      <c r="A11" s="0" t="s">
        <v>47</v>
      </c>
      <c r="B11" s="21" t="n">
        <v>46307.604</v>
      </c>
      <c r="C11" s="21" t="n">
        <v>-0.5</v>
      </c>
    </row>
    <row r="12" customFormat="false" ht="15" hidden="false" customHeight="false" outlineLevel="0" collapsed="false">
      <c r="A12" s="0" t="s">
        <v>48</v>
      </c>
      <c r="B12" s="22" t="n">
        <v>46307.604</v>
      </c>
      <c r="C12" s="22" t="n">
        <v>-0.5</v>
      </c>
    </row>
    <row r="13" customFormat="false" ht="15" hidden="false" customHeight="false" outlineLevel="0" collapsed="false">
      <c r="A13" s="0" t="s">
        <v>49</v>
      </c>
      <c r="B13" s="23" t="n">
        <v>46307.604</v>
      </c>
      <c r="C13" s="23" t="n">
        <v>-0.5</v>
      </c>
    </row>
    <row r="14" customFormat="false" ht="15" hidden="false" customHeight="false" outlineLevel="0" collapsed="false">
      <c r="A14" s="0" t="s">
        <v>50</v>
      </c>
      <c r="B14" s="9" t="n">
        <v>1234567.891</v>
      </c>
      <c r="C14" s="9" t="n">
        <v>-0.5</v>
      </c>
    </row>
    <row r="15" customFormat="false" ht="15" hidden="false" customHeight="false" outlineLevel="0" collapsed="false">
      <c r="A15" s="0" t="s">
        <v>51</v>
      </c>
      <c r="B15" s="24" t="n">
        <v>1234567.891</v>
      </c>
      <c r="C15" s="24" t="n">
        <v>-0.5</v>
      </c>
    </row>
    <row r="16" customFormat="false" ht="15" hidden="false" customHeight="false" outlineLevel="0" collapsed="false">
      <c r="A16" s="0" t="s">
        <v>52</v>
      </c>
      <c r="B16" s="25" t="n">
        <v>1234567.891</v>
      </c>
      <c r="C16" s="25" t="n">
        <v>-0.5</v>
      </c>
    </row>
    <row r="17" customFormat="false" ht="15" hidden="false" customHeight="false" outlineLevel="0" collapsed="false">
      <c r="A17" s="0" t="s">
        <v>53</v>
      </c>
      <c r="B17" s="26" t="n">
        <v>1234567.891</v>
      </c>
      <c r="C17" s="26" t="n">
        <v>-0.5</v>
      </c>
    </row>
    <row r="18" customFormat="false" ht="15" hidden="false" customHeight="false" outlineLevel="0" collapsed="false">
      <c r="A18" s="0" t="s">
        <v>54</v>
      </c>
      <c r="B18" s="27" t="n">
        <v>46307.604</v>
      </c>
      <c r="C18" s="27" t="n">
        <v>-0.5</v>
      </c>
    </row>
    <row r="20" customFormat="false" ht="28.35" hidden="false" customHeight="false" outlineLevel="0" collapsed="false">
      <c r="A20" s="28" t="s">
        <v>55</v>
      </c>
      <c r="B20" s="29" t="s">
        <v>56</v>
      </c>
      <c r="C20" s="30" t="s">
        <v>57</v>
      </c>
    </row>
    <row r="22" customFormat="false" ht="17.35" hidden="false" customHeight="false" outlineLevel="0" collapsed="false">
      <c r="A22" s="31" t="s">
        <v>58</v>
      </c>
    </row>
    <row r="23" customFormat="false" ht="15" hidden="false" customHeight="false" outlineLevel="0" collapsed="false">
      <c r="A23" s="32" t="s">
        <v>59</v>
      </c>
    </row>
    <row r="24" customFormat="false" ht="15" hidden="false" customHeight="false" outlineLevel="0" collapsed="false">
      <c r="A24" s="33" t="s">
        <v>60</v>
      </c>
    </row>
    <row r="25" customFormat="false" ht="15" hidden="false" customHeight="false" outlineLevel="0" collapsed="false">
      <c r="A25" s="34" t="s">
        <v>61</v>
      </c>
    </row>
    <row r="26" customFormat="false" ht="15" hidden="false" customHeight="false" outlineLevel="0" collapsed="false">
      <c r="A26" s="35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2026-10-12T03:55:21Z</dcterms:created>
  <dc:creator>openpyxl</dc:creator>
  <dc:description/>
  <dc:language>en-US</dc:language>
  <cp:lastModifiedBy/>
  <dcterms:modified xsi:type="dcterms:W3CDTF">2026-10-12T03:55:21Z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